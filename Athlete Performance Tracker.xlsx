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26.xml" ContentType="application/vnd.openxmlformats-officedocument.drawingml.chart+xml"/>
  <Override PartName="/xl/charts/chart14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Tracker" sheetId="2" state="visible" r:id="rId4"/>
    <sheet name="Workout Log" sheetId="3" state="visible" r:id="rId5"/>
    <sheet name="Cardio &amp; HYROX Log" sheetId="4" state="visible" r:id="rId6"/>
    <sheet name="Recovery Tracker" sheetId="5" state="visible" r:id="rId7"/>
    <sheet name="Nutrition Tracker" sheetId="6" state="visible" r:id="rId8"/>
    <sheet name="Weekly Dashboard" sheetId="7" state="visible" r:id="rId9"/>
    <sheet name="Monthly Dashboard" sheetId="8" state="visible" r:id="rId10"/>
    <sheet name="Personal Record (PR) Tracker" sheetId="9" state="visible" r:id="rId11"/>
    <sheet name="Goals &amp; Settings" sheetId="10" state="visible" r:id="rId12"/>
  </sheets>
  <definedNames>
    <definedName function="false" hidden="false" localSheetId="3" name="_xlnm.Print_Area" vbProcedure="false">'Cardio &amp; HYROX Log'!$A$1:$J$304,'Cardio &amp; HYROX Log'!$L$1:$N$10</definedName>
    <definedName function="false" hidden="false" localSheetId="3" name="_xlnm.Print_Titles" vbProcedure="false">'Cardio &amp; HYROX Log'!$4:$4</definedName>
    <definedName function="false" hidden="false" localSheetId="1" name="_xlnm.Print_Area" vbProcedure="false">'Daily Tracker'!$A$1:$AC$369,'Daily Tracker'!$AE$1:$AG$14</definedName>
    <definedName function="false" hidden="false" localSheetId="1" name="_xlnm.Print_Titles" vbProcedure="false">'Daily Tracker'!$4:$4</definedName>
    <definedName function="false" hidden="false" localSheetId="0" name="_xlnm.Print_Area" vbProcedure="false">Dashboard!$A$1:$T$130</definedName>
    <definedName function="false" hidden="false" localSheetId="9" name="_xlnm.Print_Area" vbProcedure="false">'Goals &amp; Settings'!$A$1:$I$36</definedName>
    <definedName function="false" hidden="false" localSheetId="7" name="_xlnm.Print_Area" vbProcedure="false">'Monthly Dashboard'!$A$1:$R$16,'Monthly Dashboard'!$A$19:$Y$110</definedName>
    <definedName function="false" hidden="false" localSheetId="7" name="_xlnm.Print_Titles" vbProcedure="false">'Monthly Dashboard'!$4:$4</definedName>
    <definedName function="false" hidden="false" localSheetId="5" name="_xlnm.Print_Area" vbProcedure="false">'Nutrition Tracker'!$A$1:$M$369</definedName>
    <definedName function="false" hidden="false" localSheetId="5" name="_xlnm.Print_Titles" vbProcedure="false">'Nutrition Tracker'!$4:$4</definedName>
    <definedName function="false" hidden="false" localSheetId="8" name="_xlnm.Print_Area" vbProcedure="false">'Personal Record (PR) Tracker'!$A$1:$F$17,'Personal Record (PR) Tracker'!$A$20:$S$65</definedName>
    <definedName function="false" hidden="false" localSheetId="8" name="_xlnm.Print_Titles" vbProcedure="false">'Personal Record (PR) Tracker'!$6:$6</definedName>
    <definedName function="false" hidden="false" localSheetId="4" name="_xlnm.Print_Area" vbProcedure="false">'Recovery Tracker'!$A$1:$I$369</definedName>
    <definedName function="false" hidden="false" localSheetId="4" name="_xlnm.Print_Titles" vbProcedure="false">'Recovery Tracker'!$4:$4</definedName>
    <definedName function="false" hidden="false" localSheetId="6" name="_xlnm.Print_Area" vbProcedure="false">'Weekly Dashboard'!$A$1:$M$57,'Weekly Dashboard'!$A$60:$Y$95</definedName>
    <definedName function="false" hidden="false" localSheetId="6" name="_xlnm.Print_Titles" vbProcedure="false">'Weekly Dashboard'!$4:$4</definedName>
    <definedName function="false" hidden="false" localSheetId="2" name="_xlnm.Print_Area" vbProcedure="false">'Workout Log'!$A$1:$P$504,'Workout Log'!$R$1:$T$11</definedName>
    <definedName function="false" hidden="false" localSheetId="2" name="_xlnm.Print_Titles" vbProcedure="false">'Workout Log'!$4:$4</definedName>
    <definedName function="false" hidden="false" name="AthleteName" vbProcedure="false">'Goals &amp; Settings'!$C$5</definedName>
    <definedName function="false" hidden="false" name="CalorieGoal" vbProcedure="false">'Goals &amp; Settings'!$C$15</definedName>
    <definedName function="false" hidden="false" name="CarbGoal" vbProcedure="false">'Goals &amp; Settings'!$C$17</definedName>
    <definedName function="false" hidden="false" name="CardioExerciseList" vbProcedure="false">'Goals &amp; Settings'!$F$28:$F$36</definedName>
    <definedName function="false" hidden="false" name="FatGoal" vbProcedure="false">'Goals &amp; Settings'!$C$18</definedName>
    <definedName function="false" hidden="false" name="FiberGoal" vbProcedure="false">'Goals &amp; Settings'!$C$19</definedName>
    <definedName function="false" hidden="false" name="HRVGoal" vbProcedure="false">'Goals &amp; Settings'!$C$22</definedName>
    <definedName function="false" hidden="false" name="ProteinGoal" vbProcedure="false">'Goals &amp; Settings'!$C$16</definedName>
    <definedName function="false" hidden="false" name="RHRExcellent" vbProcedure="false">'Goals &amp; Settings'!$C$23</definedName>
    <definedName function="false" hidden="false" name="RHRPoor" vbProcedure="false">'Goals &amp; Settings'!$C$24</definedName>
    <definedName function="false" hidden="false" name="SessionsGoal" vbProcedure="false">'Goals &amp; Settings'!$C$14</definedName>
    <definedName function="false" hidden="false" name="SleepGoal" vbProcedure="false">'Goals &amp; Settings'!$C$12</definedName>
    <definedName function="false" hidden="false" name="StartDate" vbProcedure="false">'Goals &amp; Settings'!$C$6</definedName>
    <definedName function="false" hidden="false" name="StartWeight" vbProcedure="false">'Goals &amp; Settings'!$C$7</definedName>
    <definedName function="false" hidden="false" name="StepGoal" vbProcedure="false">'Goals &amp; Settings'!$C$11</definedName>
    <definedName function="false" hidden="false" name="WaterGoal" vbProcedure="false">'Goals &amp; Settings'!$C$13</definedName>
    <definedName function="false" hidden="false" name="WeightGoal" vbProcedure="false">'Goals &amp; Settings'!$C$8</definedName>
    <definedName function="false" hidden="false" name="WorkoutTypeList" vbProcedure="false">'Goals &amp; Settings'!$C$28:$C$36</definedName>
    <definedName function="false" hidden="false" name="YesNoList" vbProcedure="false">'Goals &amp; Settings'!$I$28:$I$29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EXAMPLE ROW — overwrite with your own data (or delete the values).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EXAMPLE ROW — overwrite with your own data (or delete the values).</t>
        </r>
      </text>
    </comment>
  </commentList>
</comments>
</file>

<file path=xl/sharedStrings.xml><?xml version="1.0" encoding="utf-8"?>
<sst xmlns="http://schemas.openxmlformats.org/spreadsheetml/2006/main" count="303" uniqueCount="235">
  <si>
    <t xml:space="preserve">🏆  ATHLETE PERFORMANCE DASHBOARD</t>
  </si>
  <si>
    <t xml:space="preserve">KEY PERFORMANCE INDICATORS</t>
  </si>
  <si>
    <t xml:space="preserve">TOTAL STEPS</t>
  </si>
  <si>
    <t xml:space="preserve">AVG DAILY STEPS</t>
  </si>
  <si>
    <t xml:space="preserve">AVG SLEEP</t>
  </si>
  <si>
    <t xml:space="preserve">WORKOUT SESSIONS</t>
  </si>
  <si>
    <t xml:space="preserve">TRAINING HOURS</t>
  </si>
  <si>
    <t xml:space="preserve">CALORIES BURNED</t>
  </si>
  <si>
    <t xml:space="preserve">WATER INTAKE</t>
  </si>
  <si>
    <t xml:space="preserve">CURRENT WEIGHT</t>
  </si>
  <si>
    <t xml:space="preserve">WEIGHT CHANGE</t>
  </si>
  <si>
    <t xml:space="preserve">ACTIVITY STREAK</t>
  </si>
  <si>
    <t xml:space="preserve">WORKOUT COMPLIANCE %</t>
  </si>
  <si>
    <t xml:space="preserve">RECOVERY SCORE</t>
  </si>
  <si>
    <t xml:space="preserve">out of 100</t>
  </si>
  <si>
    <t xml:space="preserve">MONTHLY GOAL COMPLETION</t>
  </si>
  <si>
    <t xml:space="preserve">Avg Athlete Score, this month</t>
  </si>
  <si>
    <t xml:space="preserve">STREAK TRACKER</t>
  </si>
  <si>
    <t xml:space="preserve">WORKOUT STREAK</t>
  </si>
  <si>
    <t xml:space="preserve">STEP GOAL STREAK</t>
  </si>
  <si>
    <t xml:space="preserve">SLEEP GOAL STREAK</t>
  </si>
  <si>
    <t xml:space="preserve">HYDRATION STREAK</t>
  </si>
  <si>
    <t xml:space="preserve">days in a row</t>
  </si>
  <si>
    <t xml:space="preserve">ACHIEVEMENT BADGES</t>
  </si>
  <si>
    <t xml:space="preserve">First Workout</t>
  </si>
  <si>
    <t xml:space="preserve">5-Workout Streak</t>
  </si>
  <si>
    <t xml:space="preserve">10-Workout Streak</t>
  </si>
  <si>
    <t xml:space="preserve">30-Workout Streak</t>
  </si>
  <si>
    <t xml:space="preserve">100,000 Steps Week</t>
  </si>
  <si>
    <t xml:space="preserve">Perfect Recovery Week</t>
  </si>
  <si>
    <t xml:space="preserve">Sleep Champion (7-day)</t>
  </si>
  <si>
    <t xml:space="preserve">Hydration Master (7-day)</t>
  </si>
  <si>
    <t xml:space="preserve">New PR (last 7 days)</t>
  </si>
  <si>
    <t xml:space="preserve">Monthly Consistency Award</t>
  </si>
  <si>
    <t xml:space="preserve">TRENDS &amp; ANALYTICS</t>
  </si>
  <si>
    <t xml:space="preserve">📅  DAILY TRACKER</t>
  </si>
  <si>
    <t xml:space="preserve">Blue cells = enter your data. All other columns calculate automatically.</t>
  </si>
  <si>
    <t xml:space="preserve">Date</t>
  </si>
  <si>
    <t xml:space="preserve">Day</t>
  </si>
  <si>
    <t xml:space="preserve">Wk #</t>
  </si>
  <si>
    <t xml:space="preserve">Month</t>
  </si>
  <si>
    <t xml:space="preserve">Steps</t>
  </si>
  <si>
    <t xml:space="preserve">Sleep (hrs)</t>
  </si>
  <si>
    <t xml:space="preserve">Weight (kg)</t>
  </si>
  <si>
    <t xml:space="preserve">Body Fat %</t>
  </si>
  <si>
    <t xml:space="preserve">Water (L)</t>
  </si>
  <si>
    <t xml:space="preserve">Cal. In</t>
  </si>
  <si>
    <t xml:space="preserve">Cal. Burned</t>
  </si>
  <si>
    <t xml:space="preserve">Workout Type</t>
  </si>
  <si>
    <t xml:space="preserve">Duration (min)</t>
  </si>
  <si>
    <t xml:space="preserve">RPE</t>
  </si>
  <si>
    <t xml:space="preserve">Mood</t>
  </si>
  <si>
    <t xml:space="preserve">Energy</t>
  </si>
  <si>
    <t xml:space="preserve">Recovery</t>
  </si>
  <si>
    <t xml:space="preserve">Stress</t>
  </si>
  <si>
    <t xml:space="preserve">Notes</t>
  </si>
  <si>
    <t xml:space="preserve">Step Goal %</t>
  </si>
  <si>
    <t xml:space="preserve">Sleep Goal %</t>
  </si>
  <si>
    <t xml:space="preserve">Water Goal %</t>
  </si>
  <si>
    <t xml:space="preserve">Daily Goal %</t>
  </si>
  <si>
    <t xml:space="preserve">WO Day</t>
  </si>
  <si>
    <t xml:space="preserve">Workout Streak</t>
  </si>
  <si>
    <t xml:space="preserve">Step Streak</t>
  </si>
  <si>
    <t xml:space="preserve">Sleep Streak</t>
  </si>
  <si>
    <t xml:space="preserve">Water Streak</t>
  </si>
  <si>
    <t xml:space="preserve">Athlete Score</t>
  </si>
  <si>
    <t xml:space="preserve">THIS WEEK / THIS MONTH — LIVE SNAPSHOT</t>
  </si>
  <si>
    <t xml:space="preserve">Powerlifting</t>
  </si>
  <si>
    <t xml:space="preserve">Heavy squat day, felt strong. EXAMPLE ROW — overwrite with your own data (or delete the values).</t>
  </si>
  <si>
    <t xml:space="preserve">This Week — Total Steps</t>
  </si>
  <si>
    <t xml:space="preserve">This Week — Avg Sleep</t>
  </si>
  <si>
    <t xml:space="preserve">This Week — Workouts</t>
  </si>
  <si>
    <t xml:space="preserve">This Week — Total Water (L)</t>
  </si>
  <si>
    <t xml:space="preserve">This Month — Total Steps</t>
  </si>
  <si>
    <t xml:space="preserve">This Month — Avg Sleep</t>
  </si>
  <si>
    <t xml:space="preserve">This Month — Workouts</t>
  </si>
  <si>
    <t xml:space="preserve">Current Workout Streak</t>
  </si>
  <si>
    <t xml:space="preserve">Longest Workout Streak</t>
  </si>
  <si>
    <t xml:space="preserve">🏋️  WORKOUT LOG</t>
  </si>
  <si>
    <t xml:space="preserve">Log every set. Volume, 1RM and PRs calculate automatically.</t>
  </si>
  <si>
    <t xml:space="preserve">Exercise</t>
  </si>
  <si>
    <t xml:space="preserve">Sets</t>
  </si>
  <si>
    <t xml:space="preserve">Reps</t>
  </si>
  <si>
    <t xml:space="preserve">Weight Lifted (kg)</t>
  </si>
  <si>
    <t xml:space="preserve">Total Volume</t>
  </si>
  <si>
    <t xml:space="preserve">PR Achieved</t>
  </si>
  <si>
    <t xml:space="preserve">Est. 1RM</t>
  </si>
  <si>
    <t xml:space="preserve">Squat 1RM</t>
  </si>
  <si>
    <t xml:space="preserve">Bench 1RM</t>
  </si>
  <si>
    <t xml:space="preserve">Deadlift 1RM</t>
  </si>
  <si>
    <t xml:space="preserve">LIVE VOLUME &amp; LOAD SNAPSHOT</t>
  </si>
  <si>
    <t xml:space="preserve">Squat Best</t>
  </si>
  <si>
    <t xml:space="preserve">Bench Best</t>
  </si>
  <si>
    <t xml:space="preserve">Deadlift Best</t>
  </si>
  <si>
    <t xml:space="preserve">Total Best</t>
  </si>
  <si>
    <t xml:space="preserve">Back Squat</t>
  </si>
  <si>
    <t xml:space="preserve">EXAMPLE ROW — overwrite with your own data (or delete the values).</t>
  </si>
  <si>
    <t xml:space="preserve">Bench Press</t>
  </si>
  <si>
    <t xml:space="preserve">This Week — Total Volume (kg)</t>
  </si>
  <si>
    <t xml:space="preserve">Deadlift</t>
  </si>
  <si>
    <t xml:space="preserve">New deadlift PR</t>
  </si>
  <si>
    <t xml:space="preserve">This Week — Avg Intensity (RPE)</t>
  </si>
  <si>
    <t xml:space="preserve">Top single</t>
  </si>
  <si>
    <t xml:space="preserve">This Week — Training Load</t>
  </si>
  <si>
    <t xml:space="preserve">This Month — Total Volume (kg)</t>
  </si>
  <si>
    <t xml:space="preserve">This Month — Avg Intensity (RPE)</t>
  </si>
  <si>
    <t xml:space="preserve">Lifetime Total Volume (kg)</t>
  </si>
  <si>
    <t xml:space="preserve">🏃  CARDIO &amp; HYROX LOG</t>
  </si>
  <si>
    <t xml:space="preserve">Distance-based pace calculates automatically. Leave distance blank for rep-based movements.</t>
  </si>
  <si>
    <t xml:space="preserve">Distance (km)</t>
  </si>
  <si>
    <t xml:space="preserve">Time (h:mm:ss)</t>
  </si>
  <si>
    <t xml:space="preserve">Pace (min/km)</t>
  </si>
  <si>
    <t xml:space="preserve">Calories</t>
  </si>
  <si>
    <t xml:space="preserve">Avg HR</t>
  </si>
  <si>
    <t xml:space="preserve">Max HR</t>
  </si>
  <si>
    <t xml:space="preserve">LIVE CARDIO SNAPSHOT</t>
  </si>
  <si>
    <t xml:space="preserve">Running</t>
  </si>
  <si>
    <t xml:space="preserve">This Week — Total Distance (km)</t>
  </si>
  <si>
    <t xml:space="preserve">This Week — Total Calories</t>
  </si>
  <si>
    <t xml:space="preserve">This Week — Sessions</t>
  </si>
  <si>
    <t xml:space="preserve">This Week — Avg Pace (min/km)</t>
  </si>
  <si>
    <t xml:space="preserve">This Month — Total Distance (km)</t>
  </si>
  <si>
    <t xml:space="preserve">This Month — Total Calories</t>
  </si>
  <si>
    <t xml:space="preserve">🛌  RECOVERY TRACKER</t>
  </si>
  <si>
    <t xml:space="preserve">Sleep auto-pulls from Daily Tracker. Recovery Score (0-100) calculates automatically.</t>
  </si>
  <si>
    <t xml:space="preserve">HRV (ms)</t>
  </si>
  <si>
    <t xml:space="preserve">Resting HR (bpm)</t>
  </si>
  <si>
    <t xml:space="preserve">Recovery Score</t>
  </si>
  <si>
    <t xml:space="preserve">Muscle Soreness</t>
  </si>
  <si>
    <t xml:space="preserve">Stress Level</t>
  </si>
  <si>
    <t xml:space="preserve">Fatigue</t>
  </si>
  <si>
    <t xml:space="preserve">🥗  NUTRITION TRACKER</t>
  </si>
  <si>
    <t xml:space="preserve">Water auto-pulls from Daily Tracker. Percent columns compare intake to your Goals &amp; Settings targets.</t>
  </si>
  <si>
    <t xml:space="preserve">Protein (g)</t>
  </si>
  <si>
    <t xml:space="preserve">Carbs (g)</t>
  </si>
  <si>
    <t xml:space="preserve">Fat (g)</t>
  </si>
  <si>
    <t xml:space="preserve">Fiber (g)</t>
  </si>
  <si>
    <t xml:space="preserve">Calories %</t>
  </si>
  <si>
    <t xml:space="preserve">Protein %</t>
  </si>
  <si>
    <t xml:space="preserve">Carbs %</t>
  </si>
  <si>
    <t xml:space="preserve">Fat %</t>
  </si>
  <si>
    <t xml:space="preserve">Fiber %</t>
  </si>
  <si>
    <t xml:space="preserve">Water %</t>
  </si>
  <si>
    <t xml:space="preserve">📊  WEEKLY DASHBOARD</t>
  </si>
  <si>
    <t xml:space="preserve">Automatic week-by-week rollups from every log sheet — nothing to enter here.</t>
  </si>
  <si>
    <t xml:space="preserve">Week Start</t>
  </si>
  <si>
    <t xml:space="preserve">Total Steps</t>
  </si>
  <si>
    <t xml:space="preserve">Avg Steps/Day</t>
  </si>
  <si>
    <t xml:space="preserve">Avg Sleep (hrs)</t>
  </si>
  <si>
    <t xml:space="preserve">Workout Sessions</t>
  </si>
  <si>
    <t xml:space="preserve">Total Workout Time (min)</t>
  </si>
  <si>
    <t xml:space="preserve">Calories Burned</t>
  </si>
  <si>
    <t xml:space="preserve">Water Intake (L)</t>
  </si>
  <si>
    <t xml:space="preserve">Avg Weight (kg)</t>
  </si>
  <si>
    <t xml:space="preserve">Weight Change (kg)</t>
  </si>
  <si>
    <t xml:space="preserve">Avg Recovery Score</t>
  </si>
  <si>
    <t xml:space="preserve">Training Load</t>
  </si>
  <si>
    <t xml:space="preserve">🗓  MONTHLY DASHBOARD</t>
  </si>
  <si>
    <t xml:space="preserve">12-month rollup, computed automatically from every log sheet.</t>
  </si>
  <si>
    <t xml:space="preserve">Avg Daily Steps</t>
  </si>
  <si>
    <t xml:space="preserve">Total Workouts</t>
  </si>
  <si>
    <t xml:space="preserve">Total Training Hours</t>
  </si>
  <si>
    <t xml:space="preserve">Best Training Week</t>
  </si>
  <si>
    <t xml:space="preserve">Longest Streak (days)</t>
  </si>
  <si>
    <t xml:space="preserve">Recovery Trend</t>
  </si>
  <si>
    <t xml:space="preserve">Workout Compliance %</t>
  </si>
  <si>
    <t xml:space="preserve">WORKOUT TYPE DISTRIBUTION (FULL YEAR)</t>
  </si>
  <si>
    <t xml:space="preserve">Jan</t>
  </si>
  <si>
    <t xml:space="preserve">Feb</t>
  </si>
  <si>
    <t xml:space="preserve">CrossFit</t>
  </si>
  <si>
    <t xml:space="preserve">Mar</t>
  </si>
  <si>
    <t xml:space="preserve">HYROX</t>
  </si>
  <si>
    <t xml:space="preserve">Apr</t>
  </si>
  <si>
    <t xml:space="preserve">Strength</t>
  </si>
  <si>
    <t xml:space="preserve">May</t>
  </si>
  <si>
    <t xml:space="preserve">Jun</t>
  </si>
  <si>
    <t xml:space="preserve">Conditioning</t>
  </si>
  <si>
    <t xml:space="preserve">Jul</t>
  </si>
  <si>
    <t xml:space="preserve">Aug</t>
  </si>
  <si>
    <t xml:space="preserve">Mobility</t>
  </si>
  <si>
    <t xml:space="preserve">Sep</t>
  </si>
  <si>
    <t xml:space="preserve">Rest Day</t>
  </si>
  <si>
    <t xml:space="preserve">Oct</t>
  </si>
  <si>
    <t xml:space="preserve">Nov</t>
  </si>
  <si>
    <t xml:space="preserve">Dec</t>
  </si>
  <si>
    <t xml:space="preserve">🏆  PERSONAL RECORD TRACKER</t>
  </si>
  <si>
    <t xml:space="preserve">PRs are detected automatically from the Workout Log — nothing to enter here.</t>
  </si>
  <si>
    <t xml:space="preserve">ESTIMATED TOTAL (BEST 1RMS)</t>
  </si>
  <si>
    <t xml:space="preserve">NEW PR IN LAST 7 DAYS</t>
  </si>
  <si>
    <t xml:space="preserve">Lift</t>
  </si>
  <si>
    <t xml:space="preserve">Rep Scheme</t>
  </si>
  <si>
    <t xml:space="preserve">Lifetime PR (kg)</t>
  </si>
  <si>
    <t xml:space="preserve">Current PR (kg)</t>
  </si>
  <si>
    <t xml:space="preserve">Previous PR (kg)</t>
  </si>
  <si>
    <t xml:space="preserve">Date Achieved</t>
  </si>
  <si>
    <t xml:space="preserve">Squat</t>
  </si>
  <si>
    <t xml:space="preserve">1RM</t>
  </si>
  <si>
    <t xml:space="preserve">3RM</t>
  </si>
  <si>
    <t xml:space="preserve">5RM</t>
  </si>
  <si>
    <t xml:space="preserve">Powerlifting Total (best 1RM each)</t>
  </si>
  <si>
    <t xml:space="preserve">⚙  GOALS &amp; SETTINGS</t>
  </si>
  <si>
    <t xml:space="preserve">Edit the highlighted cells — every dashboard and log updates automatically.</t>
  </si>
  <si>
    <t xml:space="preserve">PROFILE &amp; CALENDAR</t>
  </si>
  <si>
    <t xml:space="preserve">Athlete Name</t>
  </si>
  <si>
    <t xml:space="preserve">Athlete</t>
  </si>
  <si>
    <t xml:space="preserve">Tracker Start Date</t>
  </si>
  <si>
    <t xml:space="preserve">Starting Weight (kg)</t>
  </si>
  <si>
    <t xml:space="preserve">Weight Goal (kg)</t>
  </si>
  <si>
    <t xml:space="preserve">DAILY TARGETS</t>
  </si>
  <si>
    <t xml:space="preserve">Daily Steps Goal</t>
  </si>
  <si>
    <t xml:space="preserve">Sleep Goal (hours)</t>
  </si>
  <si>
    <t xml:space="preserve">Water Goal (L)</t>
  </si>
  <si>
    <t xml:space="preserve">Workout Sessions Goal (/week)</t>
  </si>
  <si>
    <t xml:space="preserve">Calorie Goal (kcal/day)</t>
  </si>
  <si>
    <t xml:space="preserve">Protein Goal (g/day)</t>
  </si>
  <si>
    <t xml:space="preserve">Carbohydrate Goal (g/day)</t>
  </si>
  <si>
    <t xml:space="preserve">Fat Goal (g/day)</t>
  </si>
  <si>
    <t xml:space="preserve">Fiber Goal (g/day)</t>
  </si>
  <si>
    <t xml:space="preserve">RECOVERY BASELINES</t>
  </si>
  <si>
    <t xml:space="preserve">HRV Target (ms)</t>
  </si>
  <si>
    <t xml:space="preserve">Resting HR — Excellent (bpm)</t>
  </si>
  <si>
    <t xml:space="preserve">Resting HR — Poor (bpm)</t>
  </si>
  <si>
    <t xml:space="preserve">DROPDOWN LISTS (EDITABLE — USED ACROSS EVERY LOG SHEET)</t>
  </si>
  <si>
    <t xml:space="preserve">Cardio / HYROX Exercise</t>
  </si>
  <si>
    <t xml:space="preserve">Yes/No</t>
  </si>
  <si>
    <t xml:space="preserve">Yes</t>
  </si>
  <si>
    <t xml:space="preserve">Rowing</t>
  </si>
  <si>
    <t xml:space="preserve">No</t>
  </si>
  <si>
    <t xml:space="preserve">SkiErg</t>
  </si>
  <si>
    <t xml:space="preserve">BikeErg</t>
  </si>
  <si>
    <t xml:space="preserve">Burpees</t>
  </si>
  <si>
    <t xml:space="preserve">Farmers Carry</t>
  </si>
  <si>
    <t xml:space="preserve">Wall Balls</t>
  </si>
  <si>
    <t xml:space="preserve">Sandbag Lunges</t>
  </si>
  <si>
    <t xml:space="preserve">Walking Lunges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</si>
</sst>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&quot; hrs&quot;"/>
    <numFmt numFmtId="167" formatCode="#,##0.0&quot; hrs&quot;"/>
    <numFmt numFmtId="168" formatCode="#,##0&quot; L&quot;"/>
    <numFmt numFmtId="169" formatCode="0.0&quot; kg&quot;"/>
    <numFmt numFmtId="170" formatCode="\+0.0&quot; kg&quot;;\-0.0&quot; kg&quot;;0.0&quot; kg&quot;"/>
    <numFmt numFmtId="171" formatCode="0&quot; days&quot;"/>
    <numFmt numFmtId="172" formatCode="0%"/>
    <numFmt numFmtId="173" formatCode="0"/>
    <numFmt numFmtId="174" formatCode="0\%"/>
    <numFmt numFmtId="175" formatCode="ddd\ d\-mmm\-yy"/>
    <numFmt numFmtId="176" formatCode="0.0"/>
    <numFmt numFmtId="177" formatCode="0.0\%"/>
    <numFmt numFmtId="178" formatCode="d\-mmm\-yy"/>
    <numFmt numFmtId="179" formatCode="0.00"/>
    <numFmt numFmtId="180" formatCode="h:mm:ss"/>
    <numFmt numFmtId="181" formatCode="General"/>
    <numFmt numFmtId="182" formatCode="#,##0&quot; kg&quot;"/>
    <numFmt numFmtId="183" formatCode="@"/>
    <numFmt numFmtId="184" formatCode="#,##0.0"/>
    <numFmt numFmtId="185" formatCode="#,##0.0&quot; kg&quot;"/>
    <numFmt numFmtId="186" formatCode="yyyy\-mm\-dd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8FAFC"/>
      <name val="Arial"/>
      <family val="0"/>
      <charset val="1"/>
    </font>
    <font>
      <i val="true"/>
      <sz val="10"/>
      <color rgb="FF3B82F6"/>
      <name val="Arial"/>
      <family val="0"/>
      <charset val="1"/>
    </font>
    <font>
      <b val="true"/>
      <sz val="10"/>
      <color rgb="FFF8FAFC"/>
      <name val="Arial"/>
      <family val="0"/>
      <charset val="1"/>
    </font>
    <font>
      <b val="true"/>
      <sz val="12"/>
      <color rgb="FFF8FAFC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18"/>
      <color rgb="FFF8FAFC"/>
      <name val="Arial"/>
      <family val="0"/>
      <charset val="1"/>
    </font>
    <font>
      <i val="true"/>
      <sz val="8"/>
      <color rgb="FF3B82F6"/>
      <name val="Arial"/>
      <family val="0"/>
      <charset val="1"/>
    </font>
    <font>
      <b val="true"/>
      <i val="true"/>
      <sz val="10.5"/>
      <color rgb="FFF59E0B"/>
      <name val="Arial"/>
      <family val="0"/>
      <charset val="1"/>
    </font>
    <font>
      <b val="true"/>
      <sz val="13"/>
      <color rgb="FFF8FAF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F172A"/>
      <name val="Arial"/>
      <family val="0"/>
      <charset val="1"/>
    </font>
    <font>
      <sz val="10"/>
      <color rgb="FF374151"/>
      <name val="Arial"/>
      <family val="0"/>
      <charset val="1"/>
    </font>
    <font>
      <sz val="10"/>
      <color rgb="FF1D4ED8"/>
      <name val="Arial"/>
      <family val="0"/>
      <charset val="1"/>
    </font>
    <font>
      <sz val="9.5"/>
      <color rgb="FF374151"/>
      <name val="Arial"/>
      <family val="0"/>
      <charset val="1"/>
    </font>
    <font>
      <b val="true"/>
      <sz val="10.5"/>
      <color rgb="FF3B82F6"/>
      <name val="Arial"/>
      <family val="0"/>
      <charset val="1"/>
    </font>
    <font>
      <sz val="10"/>
      <name val="Arial"/>
      <family val="2"/>
    </font>
    <font>
      <b val="true"/>
      <sz val="10"/>
      <color rgb="FF374151"/>
      <name val="Arial"/>
      <family val="0"/>
      <charset val="1"/>
    </font>
    <font>
      <b val="true"/>
      <sz val="10"/>
      <color rgb="FF3B82F6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1"/>
      <color rgb="FFF8FAFC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sz val="10.5"/>
      <color rgb="FF1F2937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16213A"/>
      </patternFill>
    </fill>
    <fill>
      <patternFill patternType="solid">
        <fgColor rgb="FF3B82F6"/>
        <bgColor rgb="FF4A7EBB"/>
      </patternFill>
    </fill>
    <fill>
      <patternFill patternType="solid">
        <fgColor rgb="FF16213A"/>
        <bgColor rgb="FF1F2937"/>
      </patternFill>
    </fill>
    <fill>
      <patternFill patternType="solid">
        <fgColor rgb="FFF2F5FA"/>
        <bgColor rgb="FFF8FAFC"/>
      </patternFill>
    </fill>
    <fill>
      <patternFill patternType="solid">
        <fgColor rgb="FFFFFDF0"/>
        <bgColor rgb="FFFFFFFF"/>
      </patternFill>
    </fill>
    <fill>
      <patternFill patternType="solid">
        <fgColor rgb="FFFFFFFF"/>
        <bgColor rgb="FFFAFBFF"/>
      </patternFill>
    </fill>
    <fill>
      <patternFill patternType="solid">
        <fgColor rgb="FFFAFBFF"/>
        <bgColor rgb="FFF8FAFC"/>
      </patternFill>
    </fill>
    <fill>
      <patternFill patternType="solid">
        <fgColor rgb="FFFFF7CC"/>
        <bgColor rgb="FFFFFDF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ck">
        <color rgb="FF3B82F6"/>
      </left>
      <right/>
      <top/>
      <bottom/>
      <diagonal/>
    </border>
    <border diagonalUp="false" diagonalDown="false">
      <left style="thin">
        <color rgb="FF2C3B57"/>
      </left>
      <right style="thin">
        <color rgb="FF2C3B57"/>
      </right>
      <top style="medium">
        <color rgb="FF3B82F6"/>
      </top>
      <bottom/>
      <diagonal/>
    </border>
    <border diagonalUp="false" diagonalDown="false">
      <left style="thin">
        <color rgb="FF2C3B57"/>
      </left>
      <right style="thin">
        <color rgb="FF2C3B57"/>
      </right>
      <top/>
      <bottom style="thin">
        <color rgb="FF2C3B57"/>
      </bottom>
      <diagonal/>
    </border>
    <border diagonalUp="false" diagonalDown="false">
      <left style="thin">
        <color rgb="FF2C3B57"/>
      </left>
      <right style="thin">
        <color rgb="FF2C3B57"/>
      </right>
      <top/>
      <bottom/>
      <diagonal/>
    </border>
    <border diagonalUp="false" diagonalDown="false">
      <left style="thick">
        <color rgb="FFEF4444"/>
      </left>
      <right/>
      <top/>
      <bottom/>
      <diagonal/>
    </border>
    <border diagonalUp="false" diagonalDown="false">
      <left style="thick">
        <color rgb="FFF59E0B"/>
      </left>
      <right/>
      <top/>
      <bottom/>
      <diagonal/>
    </border>
    <border diagonalUp="false" diagonalDown="false">
      <left/>
      <right/>
      <top style="medium">
        <color rgb="FFF59E0B"/>
      </top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ck">
        <color rgb="FF22C55E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9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9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9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0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6" fontId="20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0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1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7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0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1" fontId="23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3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3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3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1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8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28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EC4899"/>
      <rgbColor rgb="FF00FFFF"/>
      <rgbColor rgb="FF800000"/>
      <rgbColor rgb="FF008000"/>
      <rgbColor rgb="FF000080"/>
      <rgbColor rgb="FF8AA64F"/>
      <rgbColor rgb="FF800080"/>
      <rgbColor rgb="FF4672A8"/>
      <rgbColor rgb="FFB8CD97"/>
      <rgbColor rgb="FF878787"/>
      <rgbColor rgb="FF93A9CE"/>
      <rgbColor rgb="FFAB4744"/>
      <rgbColor rgb="FFFFF7CC"/>
      <rgbColor rgb="FFF2F5FA"/>
      <rgbColor rgb="FF660066"/>
      <rgbColor rgb="FFDC853E"/>
      <rgbColor rgb="FF1D4ED8"/>
      <rgbColor rgb="FFD9DEE7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F8FAFC"/>
      <rgbColor rgb="FFD9D9D9"/>
      <rgbColor rgb="FFFFFDF0"/>
      <rgbColor rgb="FF4F81BD"/>
      <rgbColor rgb="FFD09493"/>
      <rgbColor rgb="FF8B5CF6"/>
      <rgbColor rgb="FFFAFBFF"/>
      <rgbColor rgb="FF3B82F6"/>
      <rgbColor rgb="FF22C55E"/>
      <rgbColor rgb="FF98B855"/>
      <rgbColor rgb="FFFFCC00"/>
      <rgbColor rgb="FFF59E0B"/>
      <rgbColor rgb="FFF97316"/>
      <rgbColor rgb="FF725990"/>
      <rgbColor rgb="FF94A3B8"/>
      <rgbColor rgb="FF16213A"/>
      <rgbColor rgb="FF4299B0"/>
      <rgbColor rgb="FF0F172A"/>
      <rgbColor rgb="FF374151"/>
      <rgbColor rgb="FFEF4444"/>
      <rgbColor rgb="FFBE4B48"/>
      <rgbColor rgb="FF2C3B57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Steps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Tracker'!E4</c:f>
              <c:strCache>
                <c:ptCount val="1"/>
                <c:pt idx="0">
                  <c:v>Steps</c:v>
                </c:pt>
              </c:strCache>
            </c:strRef>
          </c:tx>
          <c:spPr>
            <a:solidFill>
              <a:srgbClr val="3b82f6"/>
            </a:solidFill>
            <a:ln w="28440">
              <a:solidFill>
                <a:srgbClr val="3b82f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Tracker'!$A$5:$A$369</c:f>
              <c:strCache>
                <c:ptCount val="365"/>
                <c:pt idx="0">
                  <c:v>Thu 1-Jan-26</c:v>
                </c:pt>
                <c:pt idx="1">
                  <c:v>Fri 2-Jan-26</c:v>
                </c:pt>
                <c:pt idx="2">
                  <c:v>Sat 3-Jan-26</c:v>
                </c:pt>
                <c:pt idx="3">
                  <c:v>Sun 4-Jan-26</c:v>
                </c:pt>
                <c:pt idx="4">
                  <c:v>Mon 5-Jan-26</c:v>
                </c:pt>
                <c:pt idx="5">
                  <c:v>Tue 6-Jan-26</c:v>
                </c:pt>
                <c:pt idx="6">
                  <c:v>Wed 7-Jan-26</c:v>
                </c:pt>
                <c:pt idx="7">
                  <c:v>Thu 8-Jan-26</c:v>
                </c:pt>
                <c:pt idx="8">
                  <c:v>Fri 9-Jan-26</c:v>
                </c:pt>
                <c:pt idx="9">
                  <c:v>Sat 10-Jan-26</c:v>
                </c:pt>
                <c:pt idx="10">
                  <c:v>Sun 11-Jan-26</c:v>
                </c:pt>
                <c:pt idx="11">
                  <c:v>Mon 12-Jan-26</c:v>
                </c:pt>
                <c:pt idx="12">
                  <c:v>Tue 13-Jan-26</c:v>
                </c:pt>
                <c:pt idx="13">
                  <c:v>Wed 14-Jan-26</c:v>
                </c:pt>
                <c:pt idx="14">
                  <c:v>Thu 15-Jan-26</c:v>
                </c:pt>
                <c:pt idx="15">
                  <c:v>Fri 16-Jan-26</c:v>
                </c:pt>
                <c:pt idx="16">
                  <c:v>Sat 17-Jan-26</c:v>
                </c:pt>
                <c:pt idx="17">
                  <c:v>Sun 18-Jan-26</c:v>
                </c:pt>
                <c:pt idx="18">
                  <c:v>Mon 19-Jan-26</c:v>
                </c:pt>
                <c:pt idx="19">
                  <c:v>Tue 20-Jan-26</c:v>
                </c:pt>
                <c:pt idx="20">
                  <c:v>Wed 21-Jan-26</c:v>
                </c:pt>
                <c:pt idx="21">
                  <c:v>Thu 22-Jan-26</c:v>
                </c:pt>
                <c:pt idx="22">
                  <c:v>Fri 23-Jan-26</c:v>
                </c:pt>
                <c:pt idx="23">
                  <c:v>Sat 24-Jan-26</c:v>
                </c:pt>
                <c:pt idx="24">
                  <c:v>Sun 25-Jan-26</c:v>
                </c:pt>
                <c:pt idx="25">
                  <c:v>Mon 26-Jan-26</c:v>
                </c:pt>
                <c:pt idx="26">
                  <c:v>Tue 27-Jan-26</c:v>
                </c:pt>
                <c:pt idx="27">
                  <c:v>Wed 28-Jan-26</c:v>
                </c:pt>
                <c:pt idx="28">
                  <c:v>Thu 29-Jan-26</c:v>
                </c:pt>
                <c:pt idx="29">
                  <c:v>Fri 30-Jan-26</c:v>
                </c:pt>
                <c:pt idx="30">
                  <c:v>Sat 31-Jan-26</c:v>
                </c:pt>
                <c:pt idx="31">
                  <c:v>Sun 1-Feb-26</c:v>
                </c:pt>
                <c:pt idx="32">
                  <c:v>Mon 2-Feb-26</c:v>
                </c:pt>
                <c:pt idx="33">
                  <c:v>Tue 3-Feb-26</c:v>
                </c:pt>
                <c:pt idx="34">
                  <c:v>Wed 4-Feb-26</c:v>
                </c:pt>
                <c:pt idx="35">
                  <c:v>Thu 5-Feb-26</c:v>
                </c:pt>
                <c:pt idx="36">
                  <c:v>Fri 6-Feb-26</c:v>
                </c:pt>
                <c:pt idx="37">
                  <c:v>Sat 7-Feb-26</c:v>
                </c:pt>
                <c:pt idx="38">
                  <c:v>Sun 8-Feb-26</c:v>
                </c:pt>
                <c:pt idx="39">
                  <c:v>Mon 9-Feb-26</c:v>
                </c:pt>
                <c:pt idx="40">
                  <c:v>Tue 10-Feb-26</c:v>
                </c:pt>
                <c:pt idx="41">
                  <c:v>Wed 11-Feb-26</c:v>
                </c:pt>
                <c:pt idx="42">
                  <c:v>Thu 12-Feb-26</c:v>
                </c:pt>
                <c:pt idx="43">
                  <c:v>Fri 13-Feb-26</c:v>
                </c:pt>
                <c:pt idx="44">
                  <c:v>Sat 14-Feb-26</c:v>
                </c:pt>
                <c:pt idx="45">
                  <c:v>Sun 15-Feb-26</c:v>
                </c:pt>
                <c:pt idx="46">
                  <c:v>Mon 16-Feb-26</c:v>
                </c:pt>
                <c:pt idx="47">
                  <c:v>Tue 17-Feb-26</c:v>
                </c:pt>
                <c:pt idx="48">
                  <c:v>Wed 18-Feb-26</c:v>
                </c:pt>
                <c:pt idx="49">
                  <c:v>Thu 19-Feb-26</c:v>
                </c:pt>
                <c:pt idx="50">
                  <c:v>Fri 20-Feb-26</c:v>
                </c:pt>
                <c:pt idx="51">
                  <c:v>Sat 21-Feb-26</c:v>
                </c:pt>
                <c:pt idx="52">
                  <c:v>Sun 22-Feb-26</c:v>
                </c:pt>
                <c:pt idx="53">
                  <c:v>Mon 23-Feb-26</c:v>
                </c:pt>
                <c:pt idx="54">
                  <c:v>Tue 24-Feb-26</c:v>
                </c:pt>
                <c:pt idx="55">
                  <c:v>Wed 25-Feb-26</c:v>
                </c:pt>
                <c:pt idx="56">
                  <c:v>Thu 26-Feb-26</c:v>
                </c:pt>
                <c:pt idx="57">
                  <c:v>Fri 27-Feb-26</c:v>
                </c:pt>
                <c:pt idx="58">
                  <c:v>Sat 28-Feb-26</c:v>
                </c:pt>
                <c:pt idx="59">
                  <c:v>Sun 1-Mar-26</c:v>
                </c:pt>
                <c:pt idx="60">
                  <c:v>Mon 2-Mar-26</c:v>
                </c:pt>
                <c:pt idx="61">
                  <c:v>Tue 3-Mar-26</c:v>
                </c:pt>
                <c:pt idx="62">
                  <c:v>Wed 4-Mar-26</c:v>
                </c:pt>
                <c:pt idx="63">
                  <c:v>Thu 5-Mar-26</c:v>
                </c:pt>
                <c:pt idx="64">
                  <c:v>Fri 6-Mar-26</c:v>
                </c:pt>
                <c:pt idx="65">
                  <c:v>Sat 7-Mar-26</c:v>
                </c:pt>
                <c:pt idx="66">
                  <c:v>Sun 8-Mar-26</c:v>
                </c:pt>
                <c:pt idx="67">
                  <c:v>Mon 9-Mar-26</c:v>
                </c:pt>
                <c:pt idx="68">
                  <c:v>Tue 10-Mar-26</c:v>
                </c:pt>
                <c:pt idx="69">
                  <c:v>Wed 11-Mar-26</c:v>
                </c:pt>
                <c:pt idx="70">
                  <c:v>Thu 12-Mar-26</c:v>
                </c:pt>
                <c:pt idx="71">
                  <c:v>Fri 13-Mar-26</c:v>
                </c:pt>
                <c:pt idx="72">
                  <c:v>Sat 14-Mar-26</c:v>
                </c:pt>
                <c:pt idx="73">
                  <c:v>Sun 15-Mar-26</c:v>
                </c:pt>
                <c:pt idx="74">
                  <c:v>Mon 16-Mar-26</c:v>
                </c:pt>
                <c:pt idx="75">
                  <c:v>Tue 17-Mar-26</c:v>
                </c:pt>
                <c:pt idx="76">
                  <c:v>Wed 18-Mar-26</c:v>
                </c:pt>
                <c:pt idx="77">
                  <c:v>Thu 19-Mar-26</c:v>
                </c:pt>
                <c:pt idx="78">
                  <c:v>Fri 20-Mar-26</c:v>
                </c:pt>
                <c:pt idx="79">
                  <c:v>Sat 21-Mar-26</c:v>
                </c:pt>
                <c:pt idx="80">
                  <c:v>Sun 22-Mar-26</c:v>
                </c:pt>
                <c:pt idx="81">
                  <c:v>Mon 23-Mar-26</c:v>
                </c:pt>
                <c:pt idx="82">
                  <c:v>Tue 24-Mar-26</c:v>
                </c:pt>
                <c:pt idx="83">
                  <c:v>Wed 25-Mar-26</c:v>
                </c:pt>
                <c:pt idx="84">
                  <c:v>Thu 26-Mar-26</c:v>
                </c:pt>
                <c:pt idx="85">
                  <c:v>Fri 27-Mar-26</c:v>
                </c:pt>
                <c:pt idx="86">
                  <c:v>Sat 28-Mar-26</c:v>
                </c:pt>
                <c:pt idx="87">
                  <c:v>Sun 29-Mar-26</c:v>
                </c:pt>
                <c:pt idx="88">
                  <c:v>Mon 30-Mar-26</c:v>
                </c:pt>
                <c:pt idx="89">
                  <c:v>Tue 31-Mar-26</c:v>
                </c:pt>
                <c:pt idx="90">
                  <c:v>Wed 1-Apr-26</c:v>
                </c:pt>
                <c:pt idx="91">
                  <c:v>Thu 2-Apr-26</c:v>
                </c:pt>
                <c:pt idx="92">
                  <c:v>Fri 3-Apr-26</c:v>
                </c:pt>
                <c:pt idx="93">
                  <c:v>Sat 4-Apr-26</c:v>
                </c:pt>
                <c:pt idx="94">
                  <c:v>Sun 5-Apr-26</c:v>
                </c:pt>
                <c:pt idx="95">
                  <c:v>Mon 6-Apr-26</c:v>
                </c:pt>
                <c:pt idx="96">
                  <c:v>Tue 7-Apr-26</c:v>
                </c:pt>
                <c:pt idx="97">
                  <c:v>Wed 8-Apr-26</c:v>
                </c:pt>
                <c:pt idx="98">
                  <c:v>Thu 9-Apr-26</c:v>
                </c:pt>
                <c:pt idx="99">
                  <c:v>Fri 10-Apr-26</c:v>
                </c:pt>
                <c:pt idx="100">
                  <c:v>Sat 11-Apr-26</c:v>
                </c:pt>
                <c:pt idx="101">
                  <c:v>Sun 12-Apr-26</c:v>
                </c:pt>
                <c:pt idx="102">
                  <c:v>Mon 13-Apr-26</c:v>
                </c:pt>
                <c:pt idx="103">
                  <c:v>Tue 14-Apr-26</c:v>
                </c:pt>
                <c:pt idx="104">
                  <c:v>Wed 15-Apr-26</c:v>
                </c:pt>
                <c:pt idx="105">
                  <c:v>Thu 16-Apr-26</c:v>
                </c:pt>
                <c:pt idx="106">
                  <c:v>Fri 17-Apr-26</c:v>
                </c:pt>
                <c:pt idx="107">
                  <c:v>Sat 18-Apr-26</c:v>
                </c:pt>
                <c:pt idx="108">
                  <c:v>Sun 19-Apr-26</c:v>
                </c:pt>
                <c:pt idx="109">
                  <c:v>Mon 20-Apr-26</c:v>
                </c:pt>
                <c:pt idx="110">
                  <c:v>Tue 21-Apr-26</c:v>
                </c:pt>
                <c:pt idx="111">
                  <c:v>Wed 22-Apr-26</c:v>
                </c:pt>
                <c:pt idx="112">
                  <c:v>Thu 23-Apr-26</c:v>
                </c:pt>
                <c:pt idx="113">
                  <c:v>Fri 24-Apr-26</c:v>
                </c:pt>
                <c:pt idx="114">
                  <c:v>Sat 25-Apr-26</c:v>
                </c:pt>
                <c:pt idx="115">
                  <c:v>Sun 26-Apr-26</c:v>
                </c:pt>
                <c:pt idx="116">
                  <c:v>Mon 27-Apr-26</c:v>
                </c:pt>
                <c:pt idx="117">
                  <c:v>Tue 28-Apr-26</c:v>
                </c:pt>
                <c:pt idx="118">
                  <c:v>Wed 29-Apr-26</c:v>
                </c:pt>
                <c:pt idx="119">
                  <c:v>Thu 30-Apr-26</c:v>
                </c:pt>
                <c:pt idx="120">
                  <c:v>Fri 1-May-26</c:v>
                </c:pt>
                <c:pt idx="121">
                  <c:v>Sat 2-May-26</c:v>
                </c:pt>
                <c:pt idx="122">
                  <c:v>Sun 3-May-26</c:v>
                </c:pt>
                <c:pt idx="123">
                  <c:v>Mon 4-May-26</c:v>
                </c:pt>
                <c:pt idx="124">
                  <c:v>Tue 5-May-26</c:v>
                </c:pt>
                <c:pt idx="125">
                  <c:v>Wed 6-May-26</c:v>
                </c:pt>
                <c:pt idx="126">
                  <c:v>Thu 7-May-26</c:v>
                </c:pt>
                <c:pt idx="127">
                  <c:v>Fri 8-May-26</c:v>
                </c:pt>
                <c:pt idx="128">
                  <c:v>Sat 9-May-26</c:v>
                </c:pt>
                <c:pt idx="129">
                  <c:v>Sun 10-May-26</c:v>
                </c:pt>
                <c:pt idx="130">
                  <c:v>Mon 11-May-26</c:v>
                </c:pt>
                <c:pt idx="131">
                  <c:v>Tue 12-May-26</c:v>
                </c:pt>
                <c:pt idx="132">
                  <c:v>Wed 13-May-26</c:v>
                </c:pt>
                <c:pt idx="133">
                  <c:v>Thu 14-May-26</c:v>
                </c:pt>
                <c:pt idx="134">
                  <c:v>Fri 15-May-26</c:v>
                </c:pt>
                <c:pt idx="135">
                  <c:v>Sat 16-May-26</c:v>
                </c:pt>
                <c:pt idx="136">
                  <c:v>Sun 17-May-26</c:v>
                </c:pt>
                <c:pt idx="137">
                  <c:v>Mon 18-May-26</c:v>
                </c:pt>
                <c:pt idx="138">
                  <c:v>Tue 19-May-26</c:v>
                </c:pt>
                <c:pt idx="139">
                  <c:v>Wed 20-May-26</c:v>
                </c:pt>
                <c:pt idx="140">
                  <c:v>Thu 21-May-26</c:v>
                </c:pt>
                <c:pt idx="141">
                  <c:v>Fri 22-May-26</c:v>
                </c:pt>
                <c:pt idx="142">
                  <c:v>Sat 23-May-26</c:v>
                </c:pt>
                <c:pt idx="143">
                  <c:v>Sun 24-May-26</c:v>
                </c:pt>
                <c:pt idx="144">
                  <c:v>Mon 25-May-26</c:v>
                </c:pt>
                <c:pt idx="145">
                  <c:v>Tue 26-May-26</c:v>
                </c:pt>
                <c:pt idx="146">
                  <c:v>Wed 27-May-26</c:v>
                </c:pt>
                <c:pt idx="147">
                  <c:v>Thu 28-May-26</c:v>
                </c:pt>
                <c:pt idx="148">
                  <c:v>Fri 29-May-26</c:v>
                </c:pt>
                <c:pt idx="149">
                  <c:v>Sat 30-May-26</c:v>
                </c:pt>
                <c:pt idx="150">
                  <c:v>Sun 31-May-26</c:v>
                </c:pt>
                <c:pt idx="151">
                  <c:v>Mon 1-Jun-26</c:v>
                </c:pt>
                <c:pt idx="152">
                  <c:v>Tue 2-Jun-26</c:v>
                </c:pt>
                <c:pt idx="153">
                  <c:v>Wed 3-Jun-26</c:v>
                </c:pt>
                <c:pt idx="154">
                  <c:v>Thu 4-Jun-26</c:v>
                </c:pt>
                <c:pt idx="155">
                  <c:v>Fri 5-Jun-26</c:v>
                </c:pt>
                <c:pt idx="156">
                  <c:v>Sat 6-Jun-26</c:v>
                </c:pt>
                <c:pt idx="157">
                  <c:v>Sun 7-Jun-26</c:v>
                </c:pt>
                <c:pt idx="158">
                  <c:v>Mon 8-Jun-26</c:v>
                </c:pt>
                <c:pt idx="159">
                  <c:v>Tue 9-Jun-26</c:v>
                </c:pt>
                <c:pt idx="160">
                  <c:v>Wed 10-Jun-26</c:v>
                </c:pt>
                <c:pt idx="161">
                  <c:v>Thu 11-Jun-26</c:v>
                </c:pt>
                <c:pt idx="162">
                  <c:v>Fri 12-Jun-26</c:v>
                </c:pt>
                <c:pt idx="163">
                  <c:v>Sat 13-Jun-26</c:v>
                </c:pt>
                <c:pt idx="164">
                  <c:v>Sun 14-Jun-26</c:v>
                </c:pt>
                <c:pt idx="165">
                  <c:v>Mon 15-Jun-26</c:v>
                </c:pt>
                <c:pt idx="166">
                  <c:v>Tue 16-Jun-26</c:v>
                </c:pt>
                <c:pt idx="167">
                  <c:v>Wed 17-Jun-26</c:v>
                </c:pt>
                <c:pt idx="168">
                  <c:v>Thu 18-Jun-26</c:v>
                </c:pt>
                <c:pt idx="169">
                  <c:v>Fri 19-Jun-26</c:v>
                </c:pt>
                <c:pt idx="170">
                  <c:v>Sat 20-Jun-26</c:v>
                </c:pt>
                <c:pt idx="171">
                  <c:v>Sun 21-Jun-26</c:v>
                </c:pt>
                <c:pt idx="172">
                  <c:v>Mon 22-Jun-26</c:v>
                </c:pt>
                <c:pt idx="173">
                  <c:v>Tue 23-Jun-26</c:v>
                </c:pt>
                <c:pt idx="174">
                  <c:v>Wed 24-Jun-26</c:v>
                </c:pt>
                <c:pt idx="175">
                  <c:v>Thu 25-Jun-26</c:v>
                </c:pt>
                <c:pt idx="176">
                  <c:v>Fri 26-Jun-26</c:v>
                </c:pt>
                <c:pt idx="177">
                  <c:v>Sat 27-Jun-26</c:v>
                </c:pt>
                <c:pt idx="178">
                  <c:v>Sun 28-Jun-26</c:v>
                </c:pt>
                <c:pt idx="179">
                  <c:v>Mon 29-Jun-26</c:v>
                </c:pt>
                <c:pt idx="180">
                  <c:v>Tue 30-Jun-26</c:v>
                </c:pt>
                <c:pt idx="181">
                  <c:v>Wed 1-Jul-26</c:v>
                </c:pt>
                <c:pt idx="182">
                  <c:v>Thu 2-Jul-26</c:v>
                </c:pt>
                <c:pt idx="183">
                  <c:v>Fri 3-Jul-26</c:v>
                </c:pt>
                <c:pt idx="184">
                  <c:v>Sat 4-Jul-26</c:v>
                </c:pt>
                <c:pt idx="185">
                  <c:v>Sun 5-Jul-26</c:v>
                </c:pt>
                <c:pt idx="186">
                  <c:v>Mon 6-Jul-26</c:v>
                </c:pt>
                <c:pt idx="187">
                  <c:v>Tue 7-Jul-26</c:v>
                </c:pt>
                <c:pt idx="188">
                  <c:v>Wed 8-Jul-26</c:v>
                </c:pt>
                <c:pt idx="189">
                  <c:v>Thu 9-Jul-26</c:v>
                </c:pt>
                <c:pt idx="190">
                  <c:v>Fri 10-Jul-26</c:v>
                </c:pt>
                <c:pt idx="191">
                  <c:v>Sat 11-Jul-26</c:v>
                </c:pt>
                <c:pt idx="192">
                  <c:v>Sun 12-Jul-26</c:v>
                </c:pt>
                <c:pt idx="193">
                  <c:v>Mon 13-Jul-26</c:v>
                </c:pt>
                <c:pt idx="194">
                  <c:v>Tue 14-Jul-26</c:v>
                </c:pt>
                <c:pt idx="195">
                  <c:v>Wed 15-Jul-26</c:v>
                </c:pt>
                <c:pt idx="196">
                  <c:v>Thu 16-Jul-26</c:v>
                </c:pt>
                <c:pt idx="197">
                  <c:v>Fri 17-Jul-26</c:v>
                </c:pt>
                <c:pt idx="198">
                  <c:v>Sat 18-Jul-26</c:v>
                </c:pt>
                <c:pt idx="199">
                  <c:v>Sun 19-Jul-26</c:v>
                </c:pt>
                <c:pt idx="200">
                  <c:v>Mon 20-Jul-26</c:v>
                </c:pt>
                <c:pt idx="201">
                  <c:v>Tue 21-Jul-26</c:v>
                </c:pt>
                <c:pt idx="202">
                  <c:v>Wed 22-Jul-26</c:v>
                </c:pt>
                <c:pt idx="203">
                  <c:v>Thu 23-Jul-26</c:v>
                </c:pt>
                <c:pt idx="204">
                  <c:v>Fri 24-Jul-26</c:v>
                </c:pt>
                <c:pt idx="205">
                  <c:v>Sat 25-Jul-26</c:v>
                </c:pt>
                <c:pt idx="206">
                  <c:v>Sun 26-Jul-26</c:v>
                </c:pt>
                <c:pt idx="207">
                  <c:v>Mon 27-Jul-26</c:v>
                </c:pt>
                <c:pt idx="208">
                  <c:v>Tue 28-Jul-26</c:v>
                </c:pt>
                <c:pt idx="209">
                  <c:v>Wed 29-Jul-26</c:v>
                </c:pt>
                <c:pt idx="210">
                  <c:v>Thu 30-Jul-26</c:v>
                </c:pt>
                <c:pt idx="211">
                  <c:v>Fri 31-Jul-26</c:v>
                </c:pt>
                <c:pt idx="212">
                  <c:v>Sat 1-Aug-26</c:v>
                </c:pt>
                <c:pt idx="213">
                  <c:v>Sun 2-Aug-26</c:v>
                </c:pt>
                <c:pt idx="214">
                  <c:v>Mon 3-Aug-26</c:v>
                </c:pt>
                <c:pt idx="215">
                  <c:v>Tue 4-Aug-26</c:v>
                </c:pt>
                <c:pt idx="216">
                  <c:v>Wed 5-Aug-26</c:v>
                </c:pt>
                <c:pt idx="217">
                  <c:v>Thu 6-Aug-26</c:v>
                </c:pt>
                <c:pt idx="218">
                  <c:v>Fri 7-Aug-26</c:v>
                </c:pt>
                <c:pt idx="219">
                  <c:v>Sat 8-Aug-26</c:v>
                </c:pt>
                <c:pt idx="220">
                  <c:v>Sun 9-Aug-26</c:v>
                </c:pt>
                <c:pt idx="221">
                  <c:v>Mon 10-Aug-26</c:v>
                </c:pt>
                <c:pt idx="222">
                  <c:v>Tue 11-Aug-26</c:v>
                </c:pt>
                <c:pt idx="223">
                  <c:v>Wed 12-Aug-26</c:v>
                </c:pt>
                <c:pt idx="224">
                  <c:v>Thu 13-Aug-26</c:v>
                </c:pt>
                <c:pt idx="225">
                  <c:v>Fri 14-Aug-26</c:v>
                </c:pt>
                <c:pt idx="226">
                  <c:v>Sat 15-Aug-26</c:v>
                </c:pt>
                <c:pt idx="227">
                  <c:v>Sun 16-Aug-26</c:v>
                </c:pt>
                <c:pt idx="228">
                  <c:v>Mon 17-Aug-26</c:v>
                </c:pt>
                <c:pt idx="229">
                  <c:v>Tue 18-Aug-26</c:v>
                </c:pt>
                <c:pt idx="230">
                  <c:v>Wed 19-Aug-26</c:v>
                </c:pt>
                <c:pt idx="231">
                  <c:v>Thu 20-Aug-26</c:v>
                </c:pt>
                <c:pt idx="232">
                  <c:v>Fri 21-Aug-26</c:v>
                </c:pt>
                <c:pt idx="233">
                  <c:v>Sat 22-Aug-26</c:v>
                </c:pt>
                <c:pt idx="234">
                  <c:v>Sun 23-Aug-26</c:v>
                </c:pt>
                <c:pt idx="235">
                  <c:v>Mon 24-Aug-26</c:v>
                </c:pt>
                <c:pt idx="236">
                  <c:v>Tue 25-Aug-26</c:v>
                </c:pt>
                <c:pt idx="237">
                  <c:v>Wed 26-Aug-26</c:v>
                </c:pt>
                <c:pt idx="238">
                  <c:v>Thu 27-Aug-26</c:v>
                </c:pt>
                <c:pt idx="239">
                  <c:v>Fri 28-Aug-26</c:v>
                </c:pt>
                <c:pt idx="240">
                  <c:v>Sat 29-Aug-26</c:v>
                </c:pt>
                <c:pt idx="241">
                  <c:v>Sun 30-Aug-26</c:v>
                </c:pt>
                <c:pt idx="242">
                  <c:v>Mon 31-Aug-26</c:v>
                </c:pt>
                <c:pt idx="243">
                  <c:v>Tue 1-Sep-26</c:v>
                </c:pt>
                <c:pt idx="244">
                  <c:v>Wed 2-Sep-26</c:v>
                </c:pt>
                <c:pt idx="245">
                  <c:v>Thu 3-Sep-26</c:v>
                </c:pt>
                <c:pt idx="246">
                  <c:v>Fri 4-Sep-26</c:v>
                </c:pt>
                <c:pt idx="247">
                  <c:v>Sat 5-Sep-26</c:v>
                </c:pt>
                <c:pt idx="248">
                  <c:v>Sun 6-Sep-26</c:v>
                </c:pt>
                <c:pt idx="249">
                  <c:v>Mon 7-Sep-26</c:v>
                </c:pt>
                <c:pt idx="250">
                  <c:v>Tue 8-Sep-26</c:v>
                </c:pt>
                <c:pt idx="251">
                  <c:v>Wed 9-Sep-26</c:v>
                </c:pt>
                <c:pt idx="252">
                  <c:v>Thu 10-Sep-26</c:v>
                </c:pt>
                <c:pt idx="253">
                  <c:v>Fri 11-Sep-26</c:v>
                </c:pt>
                <c:pt idx="254">
                  <c:v>Sat 12-Sep-26</c:v>
                </c:pt>
                <c:pt idx="255">
                  <c:v>Sun 13-Sep-26</c:v>
                </c:pt>
                <c:pt idx="256">
                  <c:v>Mon 14-Sep-26</c:v>
                </c:pt>
                <c:pt idx="257">
                  <c:v>Tue 15-Sep-26</c:v>
                </c:pt>
                <c:pt idx="258">
                  <c:v>Wed 16-Sep-26</c:v>
                </c:pt>
                <c:pt idx="259">
                  <c:v>Thu 17-Sep-26</c:v>
                </c:pt>
                <c:pt idx="260">
                  <c:v>Fri 18-Sep-26</c:v>
                </c:pt>
                <c:pt idx="261">
                  <c:v>Sat 19-Sep-26</c:v>
                </c:pt>
                <c:pt idx="262">
                  <c:v>Sun 20-Sep-26</c:v>
                </c:pt>
                <c:pt idx="263">
                  <c:v>Mon 21-Sep-26</c:v>
                </c:pt>
                <c:pt idx="264">
                  <c:v>Tue 22-Sep-26</c:v>
                </c:pt>
                <c:pt idx="265">
                  <c:v>Wed 23-Sep-26</c:v>
                </c:pt>
                <c:pt idx="266">
                  <c:v>Thu 24-Sep-26</c:v>
                </c:pt>
                <c:pt idx="267">
                  <c:v>Fri 25-Sep-26</c:v>
                </c:pt>
                <c:pt idx="268">
                  <c:v>Sat 26-Sep-26</c:v>
                </c:pt>
                <c:pt idx="269">
                  <c:v>Sun 27-Sep-26</c:v>
                </c:pt>
                <c:pt idx="270">
                  <c:v>Mon 28-Sep-26</c:v>
                </c:pt>
                <c:pt idx="271">
                  <c:v>Tue 29-Sep-26</c:v>
                </c:pt>
                <c:pt idx="272">
                  <c:v>Wed 30-Sep-26</c:v>
                </c:pt>
                <c:pt idx="273">
                  <c:v>Thu 1-Oct-26</c:v>
                </c:pt>
                <c:pt idx="274">
                  <c:v>Fri 2-Oct-26</c:v>
                </c:pt>
                <c:pt idx="275">
                  <c:v>Sat 3-Oct-26</c:v>
                </c:pt>
                <c:pt idx="276">
                  <c:v>Sun 4-Oct-26</c:v>
                </c:pt>
                <c:pt idx="277">
                  <c:v>Mon 5-Oct-26</c:v>
                </c:pt>
                <c:pt idx="278">
                  <c:v>Tue 6-Oct-26</c:v>
                </c:pt>
                <c:pt idx="279">
                  <c:v>Wed 7-Oct-26</c:v>
                </c:pt>
                <c:pt idx="280">
                  <c:v>Thu 8-Oct-26</c:v>
                </c:pt>
                <c:pt idx="281">
                  <c:v>Fri 9-Oct-26</c:v>
                </c:pt>
                <c:pt idx="282">
                  <c:v>Sat 10-Oct-26</c:v>
                </c:pt>
                <c:pt idx="283">
                  <c:v>Sun 11-Oct-26</c:v>
                </c:pt>
                <c:pt idx="284">
                  <c:v>Mon 12-Oct-26</c:v>
                </c:pt>
                <c:pt idx="285">
                  <c:v>Tue 13-Oct-26</c:v>
                </c:pt>
                <c:pt idx="286">
                  <c:v>Wed 14-Oct-26</c:v>
                </c:pt>
                <c:pt idx="287">
                  <c:v>Thu 15-Oct-26</c:v>
                </c:pt>
                <c:pt idx="288">
                  <c:v>Fri 16-Oct-26</c:v>
                </c:pt>
                <c:pt idx="289">
                  <c:v>Sat 17-Oct-26</c:v>
                </c:pt>
                <c:pt idx="290">
                  <c:v>Sun 18-Oct-26</c:v>
                </c:pt>
                <c:pt idx="291">
                  <c:v>Mon 19-Oct-26</c:v>
                </c:pt>
                <c:pt idx="292">
                  <c:v>Tue 20-Oct-26</c:v>
                </c:pt>
                <c:pt idx="293">
                  <c:v>Wed 21-Oct-26</c:v>
                </c:pt>
                <c:pt idx="294">
                  <c:v>Thu 22-Oct-26</c:v>
                </c:pt>
                <c:pt idx="295">
                  <c:v>Fri 23-Oct-26</c:v>
                </c:pt>
                <c:pt idx="296">
                  <c:v>Sat 24-Oct-26</c:v>
                </c:pt>
                <c:pt idx="297">
                  <c:v>Sun 25-Oct-26</c:v>
                </c:pt>
                <c:pt idx="298">
                  <c:v>Mon 26-Oct-26</c:v>
                </c:pt>
                <c:pt idx="299">
                  <c:v>Tue 27-Oct-26</c:v>
                </c:pt>
                <c:pt idx="300">
                  <c:v>Wed 28-Oct-26</c:v>
                </c:pt>
                <c:pt idx="301">
                  <c:v>Thu 29-Oct-26</c:v>
                </c:pt>
                <c:pt idx="302">
                  <c:v>Fri 30-Oct-26</c:v>
                </c:pt>
                <c:pt idx="303">
                  <c:v>Sat 31-Oct-26</c:v>
                </c:pt>
                <c:pt idx="304">
                  <c:v>Sun 1-Nov-26</c:v>
                </c:pt>
                <c:pt idx="305">
                  <c:v>Mon 2-Nov-26</c:v>
                </c:pt>
                <c:pt idx="306">
                  <c:v>Tue 3-Nov-26</c:v>
                </c:pt>
                <c:pt idx="307">
                  <c:v>Wed 4-Nov-26</c:v>
                </c:pt>
                <c:pt idx="308">
                  <c:v>Thu 5-Nov-26</c:v>
                </c:pt>
                <c:pt idx="309">
                  <c:v>Fri 6-Nov-26</c:v>
                </c:pt>
                <c:pt idx="310">
                  <c:v>Sat 7-Nov-26</c:v>
                </c:pt>
                <c:pt idx="311">
                  <c:v>Sun 8-Nov-26</c:v>
                </c:pt>
                <c:pt idx="312">
                  <c:v>Mon 9-Nov-26</c:v>
                </c:pt>
                <c:pt idx="313">
                  <c:v>Tue 10-Nov-26</c:v>
                </c:pt>
                <c:pt idx="314">
                  <c:v>Wed 11-Nov-26</c:v>
                </c:pt>
                <c:pt idx="315">
                  <c:v>Thu 12-Nov-26</c:v>
                </c:pt>
                <c:pt idx="316">
                  <c:v>Fri 13-Nov-26</c:v>
                </c:pt>
                <c:pt idx="317">
                  <c:v>Sat 14-Nov-26</c:v>
                </c:pt>
                <c:pt idx="318">
                  <c:v>Sun 15-Nov-26</c:v>
                </c:pt>
                <c:pt idx="319">
                  <c:v>Mon 16-Nov-26</c:v>
                </c:pt>
                <c:pt idx="320">
                  <c:v>Tue 17-Nov-26</c:v>
                </c:pt>
                <c:pt idx="321">
                  <c:v>Wed 18-Nov-26</c:v>
                </c:pt>
                <c:pt idx="322">
                  <c:v>Thu 19-Nov-26</c:v>
                </c:pt>
                <c:pt idx="323">
                  <c:v>Fri 20-Nov-26</c:v>
                </c:pt>
                <c:pt idx="324">
                  <c:v>Sat 21-Nov-26</c:v>
                </c:pt>
                <c:pt idx="325">
                  <c:v>Sun 22-Nov-26</c:v>
                </c:pt>
                <c:pt idx="326">
                  <c:v>Mon 23-Nov-26</c:v>
                </c:pt>
                <c:pt idx="327">
                  <c:v>Tue 24-Nov-26</c:v>
                </c:pt>
                <c:pt idx="328">
                  <c:v>Wed 25-Nov-26</c:v>
                </c:pt>
                <c:pt idx="329">
                  <c:v>Thu 26-Nov-26</c:v>
                </c:pt>
                <c:pt idx="330">
                  <c:v>Fri 27-Nov-26</c:v>
                </c:pt>
                <c:pt idx="331">
                  <c:v>Sat 28-Nov-26</c:v>
                </c:pt>
                <c:pt idx="332">
                  <c:v>Sun 29-Nov-26</c:v>
                </c:pt>
                <c:pt idx="333">
                  <c:v>Mon 30-Nov-26</c:v>
                </c:pt>
                <c:pt idx="334">
                  <c:v>Tue 1-Dec-26</c:v>
                </c:pt>
                <c:pt idx="335">
                  <c:v>Wed 2-Dec-26</c:v>
                </c:pt>
                <c:pt idx="336">
                  <c:v>Thu 3-Dec-26</c:v>
                </c:pt>
                <c:pt idx="337">
                  <c:v>Fri 4-Dec-26</c:v>
                </c:pt>
                <c:pt idx="338">
                  <c:v>Sat 5-Dec-26</c:v>
                </c:pt>
                <c:pt idx="339">
                  <c:v>Sun 6-Dec-26</c:v>
                </c:pt>
                <c:pt idx="340">
                  <c:v>Mon 7-Dec-26</c:v>
                </c:pt>
                <c:pt idx="341">
                  <c:v>Tue 8-Dec-26</c:v>
                </c:pt>
                <c:pt idx="342">
                  <c:v>Wed 9-Dec-26</c:v>
                </c:pt>
                <c:pt idx="343">
                  <c:v>Thu 10-Dec-26</c:v>
                </c:pt>
                <c:pt idx="344">
                  <c:v>Fri 11-Dec-26</c:v>
                </c:pt>
                <c:pt idx="345">
                  <c:v>Sat 12-Dec-26</c:v>
                </c:pt>
                <c:pt idx="346">
                  <c:v>Sun 13-Dec-26</c:v>
                </c:pt>
                <c:pt idx="347">
                  <c:v>Mon 14-Dec-26</c:v>
                </c:pt>
                <c:pt idx="348">
                  <c:v>Tue 15-Dec-26</c:v>
                </c:pt>
                <c:pt idx="349">
                  <c:v>Wed 16-Dec-26</c:v>
                </c:pt>
                <c:pt idx="350">
                  <c:v>Thu 17-Dec-26</c:v>
                </c:pt>
                <c:pt idx="351">
                  <c:v>Fri 18-Dec-26</c:v>
                </c:pt>
                <c:pt idx="352">
                  <c:v>Sat 19-Dec-26</c:v>
                </c:pt>
                <c:pt idx="353">
                  <c:v>Sun 20-Dec-26</c:v>
                </c:pt>
                <c:pt idx="354">
                  <c:v>Mon 21-Dec-26</c:v>
                </c:pt>
                <c:pt idx="355">
                  <c:v>Tue 22-Dec-26</c:v>
                </c:pt>
                <c:pt idx="356">
                  <c:v>Wed 23-Dec-26</c:v>
                </c:pt>
                <c:pt idx="357">
                  <c:v>Thu 24-Dec-26</c:v>
                </c:pt>
                <c:pt idx="358">
                  <c:v>Fri 25-Dec-26</c:v>
                </c:pt>
                <c:pt idx="359">
                  <c:v>Sat 26-Dec-26</c:v>
                </c:pt>
                <c:pt idx="360">
                  <c:v>Sun 27-Dec-26</c:v>
                </c:pt>
                <c:pt idx="361">
                  <c:v>Mon 28-Dec-26</c:v>
                </c:pt>
                <c:pt idx="362">
                  <c:v>Tue 29-Dec-26</c:v>
                </c:pt>
                <c:pt idx="363">
                  <c:v>Wed 30-Dec-26</c:v>
                </c:pt>
                <c:pt idx="364">
                  <c:v>Thu 31-Dec-26</c:v>
                </c:pt>
              </c:strCache>
            </c:strRef>
          </c:cat>
          <c:val>
            <c:numRef>
              <c:f>'Daily Tracker'!$E$5:$E$369</c:f>
              <c:numCache>
                <c:formatCode>#,##0</c:formatCode>
                <c:ptCount val="365"/>
                <c:pt idx="0">
                  <c:v>11500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186552"/>
        <c:axId val="13644657"/>
      </c:lineChart>
      <c:catAx>
        <c:axId val="83186552"/>
        <c:scaling>
          <c:orientation val="minMax"/>
        </c:scaling>
        <c:delete val="0"/>
        <c:axPos val="b"/>
        <c:numFmt formatCode="ddd\ 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44657"/>
        <c:crosses val="autoZero"/>
        <c:auto val="1"/>
        <c:lblAlgn val="ctr"/>
        <c:lblOffset val="100"/>
        <c:noMultiLvlLbl val="0"/>
      </c:catAx>
      <c:valAx>
        <c:axId val="13644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865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Steps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Dashboard'!C4</c:f>
              <c:strCache>
                <c:ptCount val="1"/>
                <c:pt idx="0">
                  <c:v>Total Steps</c:v>
                </c:pt>
              </c:strCache>
            </c:strRef>
          </c:tx>
          <c:spPr>
            <a:solidFill>
              <a:srgbClr val="1d4ed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Dashboard'!$C$5:$C$57</c:f>
              <c:numCache>
                <c:formatCode>#,##0</c:formatCode>
                <c:ptCount val="53"/>
                <c:pt idx="0">
                  <c:v>11500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gapWidth val="150"/>
        <c:overlap val="0"/>
        <c:axId val="8560857"/>
        <c:axId val="30649453"/>
      </c:barChart>
      <c:catAx>
        <c:axId val="8560857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49453"/>
        <c:crosses val="autoZero"/>
        <c:auto val="1"/>
        <c:lblAlgn val="ctr"/>
        <c:lblOffset val="100"/>
        <c:noMultiLvlLbl val="0"/>
      </c:catAx>
      <c:valAx>
        <c:axId val="306494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08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Sleep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Tracker'!F4</c:f>
              <c:strCache>
                <c:ptCount val="1"/>
                <c:pt idx="0">
                  <c:v>Sleep (hrs)</c:v>
                </c:pt>
              </c:strCache>
            </c:strRef>
          </c:tx>
          <c:spPr>
            <a:solidFill>
              <a:srgbClr val="8b5cf6"/>
            </a:solidFill>
            <a:ln w="28440">
              <a:solidFill>
                <a:srgbClr val="8b5cf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Tracker'!$A$5:$A$369</c:f>
              <c:strCache>
                <c:ptCount val="365"/>
                <c:pt idx="0">
                  <c:v>Thu 1-Jan-26</c:v>
                </c:pt>
                <c:pt idx="1">
                  <c:v>Fri 2-Jan-26</c:v>
                </c:pt>
                <c:pt idx="2">
                  <c:v>Sat 3-Jan-26</c:v>
                </c:pt>
                <c:pt idx="3">
                  <c:v>Sun 4-Jan-26</c:v>
                </c:pt>
                <c:pt idx="4">
                  <c:v>Mon 5-Jan-26</c:v>
                </c:pt>
                <c:pt idx="5">
                  <c:v>Tue 6-Jan-26</c:v>
                </c:pt>
                <c:pt idx="6">
                  <c:v>Wed 7-Jan-26</c:v>
                </c:pt>
                <c:pt idx="7">
                  <c:v>Thu 8-Jan-26</c:v>
                </c:pt>
                <c:pt idx="8">
                  <c:v>Fri 9-Jan-26</c:v>
                </c:pt>
                <c:pt idx="9">
                  <c:v>Sat 10-Jan-26</c:v>
                </c:pt>
                <c:pt idx="10">
                  <c:v>Sun 11-Jan-26</c:v>
                </c:pt>
                <c:pt idx="11">
                  <c:v>Mon 12-Jan-26</c:v>
                </c:pt>
                <c:pt idx="12">
                  <c:v>Tue 13-Jan-26</c:v>
                </c:pt>
                <c:pt idx="13">
                  <c:v>Wed 14-Jan-26</c:v>
                </c:pt>
                <c:pt idx="14">
                  <c:v>Thu 15-Jan-26</c:v>
                </c:pt>
                <c:pt idx="15">
                  <c:v>Fri 16-Jan-26</c:v>
                </c:pt>
                <c:pt idx="16">
                  <c:v>Sat 17-Jan-26</c:v>
                </c:pt>
                <c:pt idx="17">
                  <c:v>Sun 18-Jan-26</c:v>
                </c:pt>
                <c:pt idx="18">
                  <c:v>Mon 19-Jan-26</c:v>
                </c:pt>
                <c:pt idx="19">
                  <c:v>Tue 20-Jan-26</c:v>
                </c:pt>
                <c:pt idx="20">
                  <c:v>Wed 21-Jan-26</c:v>
                </c:pt>
                <c:pt idx="21">
                  <c:v>Thu 22-Jan-26</c:v>
                </c:pt>
                <c:pt idx="22">
                  <c:v>Fri 23-Jan-26</c:v>
                </c:pt>
                <c:pt idx="23">
                  <c:v>Sat 24-Jan-26</c:v>
                </c:pt>
                <c:pt idx="24">
                  <c:v>Sun 25-Jan-26</c:v>
                </c:pt>
                <c:pt idx="25">
                  <c:v>Mon 26-Jan-26</c:v>
                </c:pt>
                <c:pt idx="26">
                  <c:v>Tue 27-Jan-26</c:v>
                </c:pt>
                <c:pt idx="27">
                  <c:v>Wed 28-Jan-26</c:v>
                </c:pt>
                <c:pt idx="28">
                  <c:v>Thu 29-Jan-26</c:v>
                </c:pt>
                <c:pt idx="29">
                  <c:v>Fri 30-Jan-26</c:v>
                </c:pt>
                <c:pt idx="30">
                  <c:v>Sat 31-Jan-26</c:v>
                </c:pt>
                <c:pt idx="31">
                  <c:v>Sun 1-Feb-26</c:v>
                </c:pt>
                <c:pt idx="32">
                  <c:v>Mon 2-Feb-26</c:v>
                </c:pt>
                <c:pt idx="33">
                  <c:v>Tue 3-Feb-26</c:v>
                </c:pt>
                <c:pt idx="34">
                  <c:v>Wed 4-Feb-26</c:v>
                </c:pt>
                <c:pt idx="35">
                  <c:v>Thu 5-Feb-26</c:v>
                </c:pt>
                <c:pt idx="36">
                  <c:v>Fri 6-Feb-26</c:v>
                </c:pt>
                <c:pt idx="37">
                  <c:v>Sat 7-Feb-26</c:v>
                </c:pt>
                <c:pt idx="38">
                  <c:v>Sun 8-Feb-26</c:v>
                </c:pt>
                <c:pt idx="39">
                  <c:v>Mon 9-Feb-26</c:v>
                </c:pt>
                <c:pt idx="40">
                  <c:v>Tue 10-Feb-26</c:v>
                </c:pt>
                <c:pt idx="41">
                  <c:v>Wed 11-Feb-26</c:v>
                </c:pt>
                <c:pt idx="42">
                  <c:v>Thu 12-Feb-26</c:v>
                </c:pt>
                <c:pt idx="43">
                  <c:v>Fri 13-Feb-26</c:v>
                </c:pt>
                <c:pt idx="44">
                  <c:v>Sat 14-Feb-26</c:v>
                </c:pt>
                <c:pt idx="45">
                  <c:v>Sun 15-Feb-26</c:v>
                </c:pt>
                <c:pt idx="46">
                  <c:v>Mon 16-Feb-26</c:v>
                </c:pt>
                <c:pt idx="47">
                  <c:v>Tue 17-Feb-26</c:v>
                </c:pt>
                <c:pt idx="48">
                  <c:v>Wed 18-Feb-26</c:v>
                </c:pt>
                <c:pt idx="49">
                  <c:v>Thu 19-Feb-26</c:v>
                </c:pt>
                <c:pt idx="50">
                  <c:v>Fri 20-Feb-26</c:v>
                </c:pt>
                <c:pt idx="51">
                  <c:v>Sat 21-Feb-26</c:v>
                </c:pt>
                <c:pt idx="52">
                  <c:v>Sun 22-Feb-26</c:v>
                </c:pt>
                <c:pt idx="53">
                  <c:v>Mon 23-Feb-26</c:v>
                </c:pt>
                <c:pt idx="54">
                  <c:v>Tue 24-Feb-26</c:v>
                </c:pt>
                <c:pt idx="55">
                  <c:v>Wed 25-Feb-26</c:v>
                </c:pt>
                <c:pt idx="56">
                  <c:v>Thu 26-Feb-26</c:v>
                </c:pt>
                <c:pt idx="57">
                  <c:v>Fri 27-Feb-26</c:v>
                </c:pt>
                <c:pt idx="58">
                  <c:v>Sat 28-Feb-26</c:v>
                </c:pt>
                <c:pt idx="59">
                  <c:v>Sun 1-Mar-26</c:v>
                </c:pt>
                <c:pt idx="60">
                  <c:v>Mon 2-Mar-26</c:v>
                </c:pt>
                <c:pt idx="61">
                  <c:v>Tue 3-Mar-26</c:v>
                </c:pt>
                <c:pt idx="62">
                  <c:v>Wed 4-Mar-26</c:v>
                </c:pt>
                <c:pt idx="63">
                  <c:v>Thu 5-Mar-26</c:v>
                </c:pt>
                <c:pt idx="64">
                  <c:v>Fri 6-Mar-26</c:v>
                </c:pt>
                <c:pt idx="65">
                  <c:v>Sat 7-Mar-26</c:v>
                </c:pt>
                <c:pt idx="66">
                  <c:v>Sun 8-Mar-26</c:v>
                </c:pt>
                <c:pt idx="67">
                  <c:v>Mon 9-Mar-26</c:v>
                </c:pt>
                <c:pt idx="68">
                  <c:v>Tue 10-Mar-26</c:v>
                </c:pt>
                <c:pt idx="69">
                  <c:v>Wed 11-Mar-26</c:v>
                </c:pt>
                <c:pt idx="70">
                  <c:v>Thu 12-Mar-26</c:v>
                </c:pt>
                <c:pt idx="71">
                  <c:v>Fri 13-Mar-26</c:v>
                </c:pt>
                <c:pt idx="72">
                  <c:v>Sat 14-Mar-26</c:v>
                </c:pt>
                <c:pt idx="73">
                  <c:v>Sun 15-Mar-26</c:v>
                </c:pt>
                <c:pt idx="74">
                  <c:v>Mon 16-Mar-26</c:v>
                </c:pt>
                <c:pt idx="75">
                  <c:v>Tue 17-Mar-26</c:v>
                </c:pt>
                <c:pt idx="76">
                  <c:v>Wed 18-Mar-26</c:v>
                </c:pt>
                <c:pt idx="77">
                  <c:v>Thu 19-Mar-26</c:v>
                </c:pt>
                <c:pt idx="78">
                  <c:v>Fri 20-Mar-26</c:v>
                </c:pt>
                <c:pt idx="79">
                  <c:v>Sat 21-Mar-26</c:v>
                </c:pt>
                <c:pt idx="80">
                  <c:v>Sun 22-Mar-26</c:v>
                </c:pt>
                <c:pt idx="81">
                  <c:v>Mon 23-Mar-26</c:v>
                </c:pt>
                <c:pt idx="82">
                  <c:v>Tue 24-Mar-26</c:v>
                </c:pt>
                <c:pt idx="83">
                  <c:v>Wed 25-Mar-26</c:v>
                </c:pt>
                <c:pt idx="84">
                  <c:v>Thu 26-Mar-26</c:v>
                </c:pt>
                <c:pt idx="85">
                  <c:v>Fri 27-Mar-26</c:v>
                </c:pt>
                <c:pt idx="86">
                  <c:v>Sat 28-Mar-26</c:v>
                </c:pt>
                <c:pt idx="87">
                  <c:v>Sun 29-Mar-26</c:v>
                </c:pt>
                <c:pt idx="88">
                  <c:v>Mon 30-Mar-26</c:v>
                </c:pt>
                <c:pt idx="89">
                  <c:v>Tue 31-Mar-26</c:v>
                </c:pt>
                <c:pt idx="90">
                  <c:v>Wed 1-Apr-26</c:v>
                </c:pt>
                <c:pt idx="91">
                  <c:v>Thu 2-Apr-26</c:v>
                </c:pt>
                <c:pt idx="92">
                  <c:v>Fri 3-Apr-26</c:v>
                </c:pt>
                <c:pt idx="93">
                  <c:v>Sat 4-Apr-26</c:v>
                </c:pt>
                <c:pt idx="94">
                  <c:v>Sun 5-Apr-26</c:v>
                </c:pt>
                <c:pt idx="95">
                  <c:v>Mon 6-Apr-26</c:v>
                </c:pt>
                <c:pt idx="96">
                  <c:v>Tue 7-Apr-26</c:v>
                </c:pt>
                <c:pt idx="97">
                  <c:v>Wed 8-Apr-26</c:v>
                </c:pt>
                <c:pt idx="98">
                  <c:v>Thu 9-Apr-26</c:v>
                </c:pt>
                <c:pt idx="99">
                  <c:v>Fri 10-Apr-26</c:v>
                </c:pt>
                <c:pt idx="100">
                  <c:v>Sat 11-Apr-26</c:v>
                </c:pt>
                <c:pt idx="101">
                  <c:v>Sun 12-Apr-26</c:v>
                </c:pt>
                <c:pt idx="102">
                  <c:v>Mon 13-Apr-26</c:v>
                </c:pt>
                <c:pt idx="103">
                  <c:v>Tue 14-Apr-26</c:v>
                </c:pt>
                <c:pt idx="104">
                  <c:v>Wed 15-Apr-26</c:v>
                </c:pt>
                <c:pt idx="105">
                  <c:v>Thu 16-Apr-26</c:v>
                </c:pt>
                <c:pt idx="106">
                  <c:v>Fri 17-Apr-26</c:v>
                </c:pt>
                <c:pt idx="107">
                  <c:v>Sat 18-Apr-26</c:v>
                </c:pt>
                <c:pt idx="108">
                  <c:v>Sun 19-Apr-26</c:v>
                </c:pt>
                <c:pt idx="109">
                  <c:v>Mon 20-Apr-26</c:v>
                </c:pt>
                <c:pt idx="110">
                  <c:v>Tue 21-Apr-26</c:v>
                </c:pt>
                <c:pt idx="111">
                  <c:v>Wed 22-Apr-26</c:v>
                </c:pt>
                <c:pt idx="112">
                  <c:v>Thu 23-Apr-26</c:v>
                </c:pt>
                <c:pt idx="113">
                  <c:v>Fri 24-Apr-26</c:v>
                </c:pt>
                <c:pt idx="114">
                  <c:v>Sat 25-Apr-26</c:v>
                </c:pt>
                <c:pt idx="115">
                  <c:v>Sun 26-Apr-26</c:v>
                </c:pt>
                <c:pt idx="116">
                  <c:v>Mon 27-Apr-26</c:v>
                </c:pt>
                <c:pt idx="117">
                  <c:v>Tue 28-Apr-26</c:v>
                </c:pt>
                <c:pt idx="118">
                  <c:v>Wed 29-Apr-26</c:v>
                </c:pt>
                <c:pt idx="119">
                  <c:v>Thu 30-Apr-26</c:v>
                </c:pt>
                <c:pt idx="120">
                  <c:v>Fri 1-May-26</c:v>
                </c:pt>
                <c:pt idx="121">
                  <c:v>Sat 2-May-26</c:v>
                </c:pt>
                <c:pt idx="122">
                  <c:v>Sun 3-May-26</c:v>
                </c:pt>
                <c:pt idx="123">
                  <c:v>Mon 4-May-26</c:v>
                </c:pt>
                <c:pt idx="124">
                  <c:v>Tue 5-May-26</c:v>
                </c:pt>
                <c:pt idx="125">
                  <c:v>Wed 6-May-26</c:v>
                </c:pt>
                <c:pt idx="126">
                  <c:v>Thu 7-May-26</c:v>
                </c:pt>
                <c:pt idx="127">
                  <c:v>Fri 8-May-26</c:v>
                </c:pt>
                <c:pt idx="128">
                  <c:v>Sat 9-May-26</c:v>
                </c:pt>
                <c:pt idx="129">
                  <c:v>Sun 10-May-26</c:v>
                </c:pt>
                <c:pt idx="130">
                  <c:v>Mon 11-May-26</c:v>
                </c:pt>
                <c:pt idx="131">
                  <c:v>Tue 12-May-26</c:v>
                </c:pt>
                <c:pt idx="132">
                  <c:v>Wed 13-May-26</c:v>
                </c:pt>
                <c:pt idx="133">
                  <c:v>Thu 14-May-26</c:v>
                </c:pt>
                <c:pt idx="134">
                  <c:v>Fri 15-May-26</c:v>
                </c:pt>
                <c:pt idx="135">
                  <c:v>Sat 16-May-26</c:v>
                </c:pt>
                <c:pt idx="136">
                  <c:v>Sun 17-May-26</c:v>
                </c:pt>
                <c:pt idx="137">
                  <c:v>Mon 18-May-26</c:v>
                </c:pt>
                <c:pt idx="138">
                  <c:v>Tue 19-May-26</c:v>
                </c:pt>
                <c:pt idx="139">
                  <c:v>Wed 20-May-26</c:v>
                </c:pt>
                <c:pt idx="140">
                  <c:v>Thu 21-May-26</c:v>
                </c:pt>
                <c:pt idx="141">
                  <c:v>Fri 22-May-26</c:v>
                </c:pt>
                <c:pt idx="142">
                  <c:v>Sat 23-May-26</c:v>
                </c:pt>
                <c:pt idx="143">
                  <c:v>Sun 24-May-26</c:v>
                </c:pt>
                <c:pt idx="144">
                  <c:v>Mon 25-May-26</c:v>
                </c:pt>
                <c:pt idx="145">
                  <c:v>Tue 26-May-26</c:v>
                </c:pt>
                <c:pt idx="146">
                  <c:v>Wed 27-May-26</c:v>
                </c:pt>
                <c:pt idx="147">
                  <c:v>Thu 28-May-26</c:v>
                </c:pt>
                <c:pt idx="148">
                  <c:v>Fri 29-May-26</c:v>
                </c:pt>
                <c:pt idx="149">
                  <c:v>Sat 30-May-26</c:v>
                </c:pt>
                <c:pt idx="150">
                  <c:v>Sun 31-May-26</c:v>
                </c:pt>
                <c:pt idx="151">
                  <c:v>Mon 1-Jun-26</c:v>
                </c:pt>
                <c:pt idx="152">
                  <c:v>Tue 2-Jun-26</c:v>
                </c:pt>
                <c:pt idx="153">
                  <c:v>Wed 3-Jun-26</c:v>
                </c:pt>
                <c:pt idx="154">
                  <c:v>Thu 4-Jun-26</c:v>
                </c:pt>
                <c:pt idx="155">
                  <c:v>Fri 5-Jun-26</c:v>
                </c:pt>
                <c:pt idx="156">
                  <c:v>Sat 6-Jun-26</c:v>
                </c:pt>
                <c:pt idx="157">
                  <c:v>Sun 7-Jun-26</c:v>
                </c:pt>
                <c:pt idx="158">
                  <c:v>Mon 8-Jun-26</c:v>
                </c:pt>
                <c:pt idx="159">
                  <c:v>Tue 9-Jun-26</c:v>
                </c:pt>
                <c:pt idx="160">
                  <c:v>Wed 10-Jun-26</c:v>
                </c:pt>
                <c:pt idx="161">
                  <c:v>Thu 11-Jun-26</c:v>
                </c:pt>
                <c:pt idx="162">
                  <c:v>Fri 12-Jun-26</c:v>
                </c:pt>
                <c:pt idx="163">
                  <c:v>Sat 13-Jun-26</c:v>
                </c:pt>
                <c:pt idx="164">
                  <c:v>Sun 14-Jun-26</c:v>
                </c:pt>
                <c:pt idx="165">
                  <c:v>Mon 15-Jun-26</c:v>
                </c:pt>
                <c:pt idx="166">
                  <c:v>Tue 16-Jun-26</c:v>
                </c:pt>
                <c:pt idx="167">
                  <c:v>Wed 17-Jun-26</c:v>
                </c:pt>
                <c:pt idx="168">
                  <c:v>Thu 18-Jun-26</c:v>
                </c:pt>
                <c:pt idx="169">
                  <c:v>Fri 19-Jun-26</c:v>
                </c:pt>
                <c:pt idx="170">
                  <c:v>Sat 20-Jun-26</c:v>
                </c:pt>
                <c:pt idx="171">
                  <c:v>Sun 21-Jun-26</c:v>
                </c:pt>
                <c:pt idx="172">
                  <c:v>Mon 22-Jun-26</c:v>
                </c:pt>
                <c:pt idx="173">
                  <c:v>Tue 23-Jun-26</c:v>
                </c:pt>
                <c:pt idx="174">
                  <c:v>Wed 24-Jun-26</c:v>
                </c:pt>
                <c:pt idx="175">
                  <c:v>Thu 25-Jun-26</c:v>
                </c:pt>
                <c:pt idx="176">
                  <c:v>Fri 26-Jun-26</c:v>
                </c:pt>
                <c:pt idx="177">
                  <c:v>Sat 27-Jun-26</c:v>
                </c:pt>
                <c:pt idx="178">
                  <c:v>Sun 28-Jun-26</c:v>
                </c:pt>
                <c:pt idx="179">
                  <c:v>Mon 29-Jun-26</c:v>
                </c:pt>
                <c:pt idx="180">
                  <c:v>Tue 30-Jun-26</c:v>
                </c:pt>
                <c:pt idx="181">
                  <c:v>Wed 1-Jul-26</c:v>
                </c:pt>
                <c:pt idx="182">
                  <c:v>Thu 2-Jul-26</c:v>
                </c:pt>
                <c:pt idx="183">
                  <c:v>Fri 3-Jul-26</c:v>
                </c:pt>
                <c:pt idx="184">
                  <c:v>Sat 4-Jul-26</c:v>
                </c:pt>
                <c:pt idx="185">
                  <c:v>Sun 5-Jul-26</c:v>
                </c:pt>
                <c:pt idx="186">
                  <c:v>Mon 6-Jul-26</c:v>
                </c:pt>
                <c:pt idx="187">
                  <c:v>Tue 7-Jul-26</c:v>
                </c:pt>
                <c:pt idx="188">
                  <c:v>Wed 8-Jul-26</c:v>
                </c:pt>
                <c:pt idx="189">
                  <c:v>Thu 9-Jul-26</c:v>
                </c:pt>
                <c:pt idx="190">
                  <c:v>Fri 10-Jul-26</c:v>
                </c:pt>
                <c:pt idx="191">
                  <c:v>Sat 11-Jul-26</c:v>
                </c:pt>
                <c:pt idx="192">
                  <c:v>Sun 12-Jul-26</c:v>
                </c:pt>
                <c:pt idx="193">
                  <c:v>Mon 13-Jul-26</c:v>
                </c:pt>
                <c:pt idx="194">
                  <c:v>Tue 14-Jul-26</c:v>
                </c:pt>
                <c:pt idx="195">
                  <c:v>Wed 15-Jul-26</c:v>
                </c:pt>
                <c:pt idx="196">
                  <c:v>Thu 16-Jul-26</c:v>
                </c:pt>
                <c:pt idx="197">
                  <c:v>Fri 17-Jul-26</c:v>
                </c:pt>
                <c:pt idx="198">
                  <c:v>Sat 18-Jul-26</c:v>
                </c:pt>
                <c:pt idx="199">
                  <c:v>Sun 19-Jul-26</c:v>
                </c:pt>
                <c:pt idx="200">
                  <c:v>Mon 20-Jul-26</c:v>
                </c:pt>
                <c:pt idx="201">
                  <c:v>Tue 21-Jul-26</c:v>
                </c:pt>
                <c:pt idx="202">
                  <c:v>Wed 22-Jul-26</c:v>
                </c:pt>
                <c:pt idx="203">
                  <c:v>Thu 23-Jul-26</c:v>
                </c:pt>
                <c:pt idx="204">
                  <c:v>Fri 24-Jul-26</c:v>
                </c:pt>
                <c:pt idx="205">
                  <c:v>Sat 25-Jul-26</c:v>
                </c:pt>
                <c:pt idx="206">
                  <c:v>Sun 26-Jul-26</c:v>
                </c:pt>
                <c:pt idx="207">
                  <c:v>Mon 27-Jul-26</c:v>
                </c:pt>
                <c:pt idx="208">
                  <c:v>Tue 28-Jul-26</c:v>
                </c:pt>
                <c:pt idx="209">
                  <c:v>Wed 29-Jul-26</c:v>
                </c:pt>
                <c:pt idx="210">
                  <c:v>Thu 30-Jul-26</c:v>
                </c:pt>
                <c:pt idx="211">
                  <c:v>Fri 31-Jul-26</c:v>
                </c:pt>
                <c:pt idx="212">
                  <c:v>Sat 1-Aug-26</c:v>
                </c:pt>
                <c:pt idx="213">
                  <c:v>Sun 2-Aug-26</c:v>
                </c:pt>
                <c:pt idx="214">
                  <c:v>Mon 3-Aug-26</c:v>
                </c:pt>
                <c:pt idx="215">
                  <c:v>Tue 4-Aug-26</c:v>
                </c:pt>
                <c:pt idx="216">
                  <c:v>Wed 5-Aug-26</c:v>
                </c:pt>
                <c:pt idx="217">
                  <c:v>Thu 6-Aug-26</c:v>
                </c:pt>
                <c:pt idx="218">
                  <c:v>Fri 7-Aug-26</c:v>
                </c:pt>
                <c:pt idx="219">
                  <c:v>Sat 8-Aug-26</c:v>
                </c:pt>
                <c:pt idx="220">
                  <c:v>Sun 9-Aug-26</c:v>
                </c:pt>
                <c:pt idx="221">
                  <c:v>Mon 10-Aug-26</c:v>
                </c:pt>
                <c:pt idx="222">
                  <c:v>Tue 11-Aug-26</c:v>
                </c:pt>
                <c:pt idx="223">
                  <c:v>Wed 12-Aug-26</c:v>
                </c:pt>
                <c:pt idx="224">
                  <c:v>Thu 13-Aug-26</c:v>
                </c:pt>
                <c:pt idx="225">
                  <c:v>Fri 14-Aug-26</c:v>
                </c:pt>
                <c:pt idx="226">
                  <c:v>Sat 15-Aug-26</c:v>
                </c:pt>
                <c:pt idx="227">
                  <c:v>Sun 16-Aug-26</c:v>
                </c:pt>
                <c:pt idx="228">
                  <c:v>Mon 17-Aug-26</c:v>
                </c:pt>
                <c:pt idx="229">
                  <c:v>Tue 18-Aug-26</c:v>
                </c:pt>
                <c:pt idx="230">
                  <c:v>Wed 19-Aug-26</c:v>
                </c:pt>
                <c:pt idx="231">
                  <c:v>Thu 20-Aug-26</c:v>
                </c:pt>
                <c:pt idx="232">
                  <c:v>Fri 21-Aug-26</c:v>
                </c:pt>
                <c:pt idx="233">
                  <c:v>Sat 22-Aug-26</c:v>
                </c:pt>
                <c:pt idx="234">
                  <c:v>Sun 23-Aug-26</c:v>
                </c:pt>
                <c:pt idx="235">
                  <c:v>Mon 24-Aug-26</c:v>
                </c:pt>
                <c:pt idx="236">
                  <c:v>Tue 25-Aug-26</c:v>
                </c:pt>
                <c:pt idx="237">
                  <c:v>Wed 26-Aug-26</c:v>
                </c:pt>
                <c:pt idx="238">
                  <c:v>Thu 27-Aug-26</c:v>
                </c:pt>
                <c:pt idx="239">
                  <c:v>Fri 28-Aug-26</c:v>
                </c:pt>
                <c:pt idx="240">
                  <c:v>Sat 29-Aug-26</c:v>
                </c:pt>
                <c:pt idx="241">
                  <c:v>Sun 30-Aug-26</c:v>
                </c:pt>
                <c:pt idx="242">
                  <c:v>Mon 31-Aug-26</c:v>
                </c:pt>
                <c:pt idx="243">
                  <c:v>Tue 1-Sep-26</c:v>
                </c:pt>
                <c:pt idx="244">
                  <c:v>Wed 2-Sep-26</c:v>
                </c:pt>
                <c:pt idx="245">
                  <c:v>Thu 3-Sep-26</c:v>
                </c:pt>
                <c:pt idx="246">
                  <c:v>Fri 4-Sep-26</c:v>
                </c:pt>
                <c:pt idx="247">
                  <c:v>Sat 5-Sep-26</c:v>
                </c:pt>
                <c:pt idx="248">
                  <c:v>Sun 6-Sep-26</c:v>
                </c:pt>
                <c:pt idx="249">
                  <c:v>Mon 7-Sep-26</c:v>
                </c:pt>
                <c:pt idx="250">
                  <c:v>Tue 8-Sep-26</c:v>
                </c:pt>
                <c:pt idx="251">
                  <c:v>Wed 9-Sep-26</c:v>
                </c:pt>
                <c:pt idx="252">
                  <c:v>Thu 10-Sep-26</c:v>
                </c:pt>
                <c:pt idx="253">
                  <c:v>Fri 11-Sep-26</c:v>
                </c:pt>
                <c:pt idx="254">
                  <c:v>Sat 12-Sep-26</c:v>
                </c:pt>
                <c:pt idx="255">
                  <c:v>Sun 13-Sep-26</c:v>
                </c:pt>
                <c:pt idx="256">
                  <c:v>Mon 14-Sep-26</c:v>
                </c:pt>
                <c:pt idx="257">
                  <c:v>Tue 15-Sep-26</c:v>
                </c:pt>
                <c:pt idx="258">
                  <c:v>Wed 16-Sep-26</c:v>
                </c:pt>
                <c:pt idx="259">
                  <c:v>Thu 17-Sep-26</c:v>
                </c:pt>
                <c:pt idx="260">
                  <c:v>Fri 18-Sep-26</c:v>
                </c:pt>
                <c:pt idx="261">
                  <c:v>Sat 19-Sep-26</c:v>
                </c:pt>
                <c:pt idx="262">
                  <c:v>Sun 20-Sep-26</c:v>
                </c:pt>
                <c:pt idx="263">
                  <c:v>Mon 21-Sep-26</c:v>
                </c:pt>
                <c:pt idx="264">
                  <c:v>Tue 22-Sep-26</c:v>
                </c:pt>
                <c:pt idx="265">
                  <c:v>Wed 23-Sep-26</c:v>
                </c:pt>
                <c:pt idx="266">
                  <c:v>Thu 24-Sep-26</c:v>
                </c:pt>
                <c:pt idx="267">
                  <c:v>Fri 25-Sep-26</c:v>
                </c:pt>
                <c:pt idx="268">
                  <c:v>Sat 26-Sep-26</c:v>
                </c:pt>
                <c:pt idx="269">
                  <c:v>Sun 27-Sep-26</c:v>
                </c:pt>
                <c:pt idx="270">
                  <c:v>Mon 28-Sep-26</c:v>
                </c:pt>
                <c:pt idx="271">
                  <c:v>Tue 29-Sep-26</c:v>
                </c:pt>
                <c:pt idx="272">
                  <c:v>Wed 30-Sep-26</c:v>
                </c:pt>
                <c:pt idx="273">
                  <c:v>Thu 1-Oct-26</c:v>
                </c:pt>
                <c:pt idx="274">
                  <c:v>Fri 2-Oct-26</c:v>
                </c:pt>
                <c:pt idx="275">
                  <c:v>Sat 3-Oct-26</c:v>
                </c:pt>
                <c:pt idx="276">
                  <c:v>Sun 4-Oct-26</c:v>
                </c:pt>
                <c:pt idx="277">
                  <c:v>Mon 5-Oct-26</c:v>
                </c:pt>
                <c:pt idx="278">
                  <c:v>Tue 6-Oct-26</c:v>
                </c:pt>
                <c:pt idx="279">
                  <c:v>Wed 7-Oct-26</c:v>
                </c:pt>
                <c:pt idx="280">
                  <c:v>Thu 8-Oct-26</c:v>
                </c:pt>
                <c:pt idx="281">
                  <c:v>Fri 9-Oct-26</c:v>
                </c:pt>
                <c:pt idx="282">
                  <c:v>Sat 10-Oct-26</c:v>
                </c:pt>
                <c:pt idx="283">
                  <c:v>Sun 11-Oct-26</c:v>
                </c:pt>
                <c:pt idx="284">
                  <c:v>Mon 12-Oct-26</c:v>
                </c:pt>
                <c:pt idx="285">
                  <c:v>Tue 13-Oct-26</c:v>
                </c:pt>
                <c:pt idx="286">
                  <c:v>Wed 14-Oct-26</c:v>
                </c:pt>
                <c:pt idx="287">
                  <c:v>Thu 15-Oct-26</c:v>
                </c:pt>
                <c:pt idx="288">
                  <c:v>Fri 16-Oct-26</c:v>
                </c:pt>
                <c:pt idx="289">
                  <c:v>Sat 17-Oct-26</c:v>
                </c:pt>
                <c:pt idx="290">
                  <c:v>Sun 18-Oct-26</c:v>
                </c:pt>
                <c:pt idx="291">
                  <c:v>Mon 19-Oct-26</c:v>
                </c:pt>
                <c:pt idx="292">
                  <c:v>Tue 20-Oct-26</c:v>
                </c:pt>
                <c:pt idx="293">
                  <c:v>Wed 21-Oct-26</c:v>
                </c:pt>
                <c:pt idx="294">
                  <c:v>Thu 22-Oct-26</c:v>
                </c:pt>
                <c:pt idx="295">
                  <c:v>Fri 23-Oct-26</c:v>
                </c:pt>
                <c:pt idx="296">
                  <c:v>Sat 24-Oct-26</c:v>
                </c:pt>
                <c:pt idx="297">
                  <c:v>Sun 25-Oct-26</c:v>
                </c:pt>
                <c:pt idx="298">
                  <c:v>Mon 26-Oct-26</c:v>
                </c:pt>
                <c:pt idx="299">
                  <c:v>Tue 27-Oct-26</c:v>
                </c:pt>
                <c:pt idx="300">
                  <c:v>Wed 28-Oct-26</c:v>
                </c:pt>
                <c:pt idx="301">
                  <c:v>Thu 29-Oct-26</c:v>
                </c:pt>
                <c:pt idx="302">
                  <c:v>Fri 30-Oct-26</c:v>
                </c:pt>
                <c:pt idx="303">
                  <c:v>Sat 31-Oct-26</c:v>
                </c:pt>
                <c:pt idx="304">
                  <c:v>Sun 1-Nov-26</c:v>
                </c:pt>
                <c:pt idx="305">
                  <c:v>Mon 2-Nov-26</c:v>
                </c:pt>
                <c:pt idx="306">
                  <c:v>Tue 3-Nov-26</c:v>
                </c:pt>
                <c:pt idx="307">
                  <c:v>Wed 4-Nov-26</c:v>
                </c:pt>
                <c:pt idx="308">
                  <c:v>Thu 5-Nov-26</c:v>
                </c:pt>
                <c:pt idx="309">
                  <c:v>Fri 6-Nov-26</c:v>
                </c:pt>
                <c:pt idx="310">
                  <c:v>Sat 7-Nov-26</c:v>
                </c:pt>
                <c:pt idx="311">
                  <c:v>Sun 8-Nov-26</c:v>
                </c:pt>
                <c:pt idx="312">
                  <c:v>Mon 9-Nov-26</c:v>
                </c:pt>
                <c:pt idx="313">
                  <c:v>Tue 10-Nov-26</c:v>
                </c:pt>
                <c:pt idx="314">
                  <c:v>Wed 11-Nov-26</c:v>
                </c:pt>
                <c:pt idx="315">
                  <c:v>Thu 12-Nov-26</c:v>
                </c:pt>
                <c:pt idx="316">
                  <c:v>Fri 13-Nov-26</c:v>
                </c:pt>
                <c:pt idx="317">
                  <c:v>Sat 14-Nov-26</c:v>
                </c:pt>
                <c:pt idx="318">
                  <c:v>Sun 15-Nov-26</c:v>
                </c:pt>
                <c:pt idx="319">
                  <c:v>Mon 16-Nov-26</c:v>
                </c:pt>
                <c:pt idx="320">
                  <c:v>Tue 17-Nov-26</c:v>
                </c:pt>
                <c:pt idx="321">
                  <c:v>Wed 18-Nov-26</c:v>
                </c:pt>
                <c:pt idx="322">
                  <c:v>Thu 19-Nov-26</c:v>
                </c:pt>
                <c:pt idx="323">
                  <c:v>Fri 20-Nov-26</c:v>
                </c:pt>
                <c:pt idx="324">
                  <c:v>Sat 21-Nov-26</c:v>
                </c:pt>
                <c:pt idx="325">
                  <c:v>Sun 22-Nov-26</c:v>
                </c:pt>
                <c:pt idx="326">
                  <c:v>Mon 23-Nov-26</c:v>
                </c:pt>
                <c:pt idx="327">
                  <c:v>Tue 24-Nov-26</c:v>
                </c:pt>
                <c:pt idx="328">
                  <c:v>Wed 25-Nov-26</c:v>
                </c:pt>
                <c:pt idx="329">
                  <c:v>Thu 26-Nov-26</c:v>
                </c:pt>
                <c:pt idx="330">
                  <c:v>Fri 27-Nov-26</c:v>
                </c:pt>
                <c:pt idx="331">
                  <c:v>Sat 28-Nov-26</c:v>
                </c:pt>
                <c:pt idx="332">
                  <c:v>Sun 29-Nov-26</c:v>
                </c:pt>
                <c:pt idx="333">
                  <c:v>Mon 30-Nov-26</c:v>
                </c:pt>
                <c:pt idx="334">
                  <c:v>Tue 1-Dec-26</c:v>
                </c:pt>
                <c:pt idx="335">
                  <c:v>Wed 2-Dec-26</c:v>
                </c:pt>
                <c:pt idx="336">
                  <c:v>Thu 3-Dec-26</c:v>
                </c:pt>
                <c:pt idx="337">
                  <c:v>Fri 4-Dec-26</c:v>
                </c:pt>
                <c:pt idx="338">
                  <c:v>Sat 5-Dec-26</c:v>
                </c:pt>
                <c:pt idx="339">
                  <c:v>Sun 6-Dec-26</c:v>
                </c:pt>
                <c:pt idx="340">
                  <c:v>Mon 7-Dec-26</c:v>
                </c:pt>
                <c:pt idx="341">
                  <c:v>Tue 8-Dec-26</c:v>
                </c:pt>
                <c:pt idx="342">
                  <c:v>Wed 9-Dec-26</c:v>
                </c:pt>
                <c:pt idx="343">
                  <c:v>Thu 10-Dec-26</c:v>
                </c:pt>
                <c:pt idx="344">
                  <c:v>Fri 11-Dec-26</c:v>
                </c:pt>
                <c:pt idx="345">
                  <c:v>Sat 12-Dec-26</c:v>
                </c:pt>
                <c:pt idx="346">
                  <c:v>Sun 13-Dec-26</c:v>
                </c:pt>
                <c:pt idx="347">
                  <c:v>Mon 14-Dec-26</c:v>
                </c:pt>
                <c:pt idx="348">
                  <c:v>Tue 15-Dec-26</c:v>
                </c:pt>
                <c:pt idx="349">
                  <c:v>Wed 16-Dec-26</c:v>
                </c:pt>
                <c:pt idx="350">
                  <c:v>Thu 17-Dec-26</c:v>
                </c:pt>
                <c:pt idx="351">
                  <c:v>Fri 18-Dec-26</c:v>
                </c:pt>
                <c:pt idx="352">
                  <c:v>Sat 19-Dec-26</c:v>
                </c:pt>
                <c:pt idx="353">
                  <c:v>Sun 20-Dec-26</c:v>
                </c:pt>
                <c:pt idx="354">
                  <c:v>Mon 21-Dec-26</c:v>
                </c:pt>
                <c:pt idx="355">
                  <c:v>Tue 22-Dec-26</c:v>
                </c:pt>
                <c:pt idx="356">
                  <c:v>Wed 23-Dec-26</c:v>
                </c:pt>
                <c:pt idx="357">
                  <c:v>Thu 24-Dec-26</c:v>
                </c:pt>
                <c:pt idx="358">
                  <c:v>Fri 25-Dec-26</c:v>
                </c:pt>
                <c:pt idx="359">
                  <c:v>Sat 26-Dec-26</c:v>
                </c:pt>
                <c:pt idx="360">
                  <c:v>Sun 27-Dec-26</c:v>
                </c:pt>
                <c:pt idx="361">
                  <c:v>Mon 28-Dec-26</c:v>
                </c:pt>
                <c:pt idx="362">
                  <c:v>Tue 29-Dec-26</c:v>
                </c:pt>
                <c:pt idx="363">
                  <c:v>Wed 30-Dec-26</c:v>
                </c:pt>
                <c:pt idx="364">
                  <c:v>Thu 31-Dec-26</c:v>
                </c:pt>
              </c:strCache>
            </c:strRef>
          </c:cat>
          <c:val>
            <c:numRef>
              <c:f>'Daily Tracker'!$F$5:$F$369</c:f>
              <c:numCache>
                <c:formatCode>0.0</c:formatCode>
                <c:ptCount val="365"/>
                <c:pt idx="0">
                  <c:v>7.5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828423"/>
        <c:axId val="92224236"/>
      </c:lineChart>
      <c:catAx>
        <c:axId val="31828423"/>
        <c:scaling>
          <c:orientation val="minMax"/>
        </c:scaling>
        <c:delete val="0"/>
        <c:axPos val="b"/>
        <c:numFmt formatCode="ddd\ 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24236"/>
        <c:crosses val="autoZero"/>
        <c:auto val="1"/>
        <c:lblAlgn val="ctr"/>
        <c:lblOffset val="100"/>
        <c:noMultiLvlLbl val="0"/>
      </c:catAx>
      <c:valAx>
        <c:axId val="92224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284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Tracker'!G4</c:f>
              <c:strCache>
                <c:ptCount val="1"/>
                <c:pt idx="0">
                  <c:v>Weight (kg)</c:v>
                </c:pt>
              </c:strCache>
            </c:strRef>
          </c:tx>
          <c:spPr>
            <a:solidFill>
              <a:srgbClr val="ef4444"/>
            </a:solidFill>
            <a:ln w="28440">
              <a:solidFill>
                <a:srgbClr val="ef44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Tracker'!$A$5:$A$369</c:f>
              <c:strCache>
                <c:ptCount val="365"/>
                <c:pt idx="0">
                  <c:v>Thu 1-Jan-26</c:v>
                </c:pt>
                <c:pt idx="1">
                  <c:v>Fri 2-Jan-26</c:v>
                </c:pt>
                <c:pt idx="2">
                  <c:v>Sat 3-Jan-26</c:v>
                </c:pt>
                <c:pt idx="3">
                  <c:v>Sun 4-Jan-26</c:v>
                </c:pt>
                <c:pt idx="4">
                  <c:v>Mon 5-Jan-26</c:v>
                </c:pt>
                <c:pt idx="5">
                  <c:v>Tue 6-Jan-26</c:v>
                </c:pt>
                <c:pt idx="6">
                  <c:v>Wed 7-Jan-26</c:v>
                </c:pt>
                <c:pt idx="7">
                  <c:v>Thu 8-Jan-26</c:v>
                </c:pt>
                <c:pt idx="8">
                  <c:v>Fri 9-Jan-26</c:v>
                </c:pt>
                <c:pt idx="9">
                  <c:v>Sat 10-Jan-26</c:v>
                </c:pt>
                <c:pt idx="10">
                  <c:v>Sun 11-Jan-26</c:v>
                </c:pt>
                <c:pt idx="11">
                  <c:v>Mon 12-Jan-26</c:v>
                </c:pt>
                <c:pt idx="12">
                  <c:v>Tue 13-Jan-26</c:v>
                </c:pt>
                <c:pt idx="13">
                  <c:v>Wed 14-Jan-26</c:v>
                </c:pt>
                <c:pt idx="14">
                  <c:v>Thu 15-Jan-26</c:v>
                </c:pt>
                <c:pt idx="15">
                  <c:v>Fri 16-Jan-26</c:v>
                </c:pt>
                <c:pt idx="16">
                  <c:v>Sat 17-Jan-26</c:v>
                </c:pt>
                <c:pt idx="17">
                  <c:v>Sun 18-Jan-26</c:v>
                </c:pt>
                <c:pt idx="18">
                  <c:v>Mon 19-Jan-26</c:v>
                </c:pt>
                <c:pt idx="19">
                  <c:v>Tue 20-Jan-26</c:v>
                </c:pt>
                <c:pt idx="20">
                  <c:v>Wed 21-Jan-26</c:v>
                </c:pt>
                <c:pt idx="21">
                  <c:v>Thu 22-Jan-26</c:v>
                </c:pt>
                <c:pt idx="22">
                  <c:v>Fri 23-Jan-26</c:v>
                </c:pt>
                <c:pt idx="23">
                  <c:v>Sat 24-Jan-26</c:v>
                </c:pt>
                <c:pt idx="24">
                  <c:v>Sun 25-Jan-26</c:v>
                </c:pt>
                <c:pt idx="25">
                  <c:v>Mon 26-Jan-26</c:v>
                </c:pt>
                <c:pt idx="26">
                  <c:v>Tue 27-Jan-26</c:v>
                </c:pt>
                <c:pt idx="27">
                  <c:v>Wed 28-Jan-26</c:v>
                </c:pt>
                <c:pt idx="28">
                  <c:v>Thu 29-Jan-26</c:v>
                </c:pt>
                <c:pt idx="29">
                  <c:v>Fri 30-Jan-26</c:v>
                </c:pt>
                <c:pt idx="30">
                  <c:v>Sat 31-Jan-26</c:v>
                </c:pt>
                <c:pt idx="31">
                  <c:v>Sun 1-Feb-26</c:v>
                </c:pt>
                <c:pt idx="32">
                  <c:v>Mon 2-Feb-26</c:v>
                </c:pt>
                <c:pt idx="33">
                  <c:v>Tue 3-Feb-26</c:v>
                </c:pt>
                <c:pt idx="34">
                  <c:v>Wed 4-Feb-26</c:v>
                </c:pt>
                <c:pt idx="35">
                  <c:v>Thu 5-Feb-26</c:v>
                </c:pt>
                <c:pt idx="36">
                  <c:v>Fri 6-Feb-26</c:v>
                </c:pt>
                <c:pt idx="37">
                  <c:v>Sat 7-Feb-26</c:v>
                </c:pt>
                <c:pt idx="38">
                  <c:v>Sun 8-Feb-26</c:v>
                </c:pt>
                <c:pt idx="39">
                  <c:v>Mon 9-Feb-26</c:v>
                </c:pt>
                <c:pt idx="40">
                  <c:v>Tue 10-Feb-26</c:v>
                </c:pt>
                <c:pt idx="41">
                  <c:v>Wed 11-Feb-26</c:v>
                </c:pt>
                <c:pt idx="42">
                  <c:v>Thu 12-Feb-26</c:v>
                </c:pt>
                <c:pt idx="43">
                  <c:v>Fri 13-Feb-26</c:v>
                </c:pt>
                <c:pt idx="44">
                  <c:v>Sat 14-Feb-26</c:v>
                </c:pt>
                <c:pt idx="45">
                  <c:v>Sun 15-Feb-26</c:v>
                </c:pt>
                <c:pt idx="46">
                  <c:v>Mon 16-Feb-26</c:v>
                </c:pt>
                <c:pt idx="47">
                  <c:v>Tue 17-Feb-26</c:v>
                </c:pt>
                <c:pt idx="48">
                  <c:v>Wed 18-Feb-26</c:v>
                </c:pt>
                <c:pt idx="49">
                  <c:v>Thu 19-Feb-26</c:v>
                </c:pt>
                <c:pt idx="50">
                  <c:v>Fri 20-Feb-26</c:v>
                </c:pt>
                <c:pt idx="51">
                  <c:v>Sat 21-Feb-26</c:v>
                </c:pt>
                <c:pt idx="52">
                  <c:v>Sun 22-Feb-26</c:v>
                </c:pt>
                <c:pt idx="53">
                  <c:v>Mon 23-Feb-26</c:v>
                </c:pt>
                <c:pt idx="54">
                  <c:v>Tue 24-Feb-26</c:v>
                </c:pt>
                <c:pt idx="55">
                  <c:v>Wed 25-Feb-26</c:v>
                </c:pt>
                <c:pt idx="56">
                  <c:v>Thu 26-Feb-26</c:v>
                </c:pt>
                <c:pt idx="57">
                  <c:v>Fri 27-Feb-26</c:v>
                </c:pt>
                <c:pt idx="58">
                  <c:v>Sat 28-Feb-26</c:v>
                </c:pt>
                <c:pt idx="59">
                  <c:v>Sun 1-Mar-26</c:v>
                </c:pt>
                <c:pt idx="60">
                  <c:v>Mon 2-Mar-26</c:v>
                </c:pt>
                <c:pt idx="61">
                  <c:v>Tue 3-Mar-26</c:v>
                </c:pt>
                <c:pt idx="62">
                  <c:v>Wed 4-Mar-26</c:v>
                </c:pt>
                <c:pt idx="63">
                  <c:v>Thu 5-Mar-26</c:v>
                </c:pt>
                <c:pt idx="64">
                  <c:v>Fri 6-Mar-26</c:v>
                </c:pt>
                <c:pt idx="65">
                  <c:v>Sat 7-Mar-26</c:v>
                </c:pt>
                <c:pt idx="66">
                  <c:v>Sun 8-Mar-26</c:v>
                </c:pt>
                <c:pt idx="67">
                  <c:v>Mon 9-Mar-26</c:v>
                </c:pt>
                <c:pt idx="68">
                  <c:v>Tue 10-Mar-26</c:v>
                </c:pt>
                <c:pt idx="69">
                  <c:v>Wed 11-Mar-26</c:v>
                </c:pt>
                <c:pt idx="70">
                  <c:v>Thu 12-Mar-26</c:v>
                </c:pt>
                <c:pt idx="71">
                  <c:v>Fri 13-Mar-26</c:v>
                </c:pt>
                <c:pt idx="72">
                  <c:v>Sat 14-Mar-26</c:v>
                </c:pt>
                <c:pt idx="73">
                  <c:v>Sun 15-Mar-26</c:v>
                </c:pt>
                <c:pt idx="74">
                  <c:v>Mon 16-Mar-26</c:v>
                </c:pt>
                <c:pt idx="75">
                  <c:v>Tue 17-Mar-26</c:v>
                </c:pt>
                <c:pt idx="76">
                  <c:v>Wed 18-Mar-26</c:v>
                </c:pt>
                <c:pt idx="77">
                  <c:v>Thu 19-Mar-26</c:v>
                </c:pt>
                <c:pt idx="78">
                  <c:v>Fri 20-Mar-26</c:v>
                </c:pt>
                <c:pt idx="79">
                  <c:v>Sat 21-Mar-26</c:v>
                </c:pt>
                <c:pt idx="80">
                  <c:v>Sun 22-Mar-26</c:v>
                </c:pt>
                <c:pt idx="81">
                  <c:v>Mon 23-Mar-26</c:v>
                </c:pt>
                <c:pt idx="82">
                  <c:v>Tue 24-Mar-26</c:v>
                </c:pt>
                <c:pt idx="83">
                  <c:v>Wed 25-Mar-26</c:v>
                </c:pt>
                <c:pt idx="84">
                  <c:v>Thu 26-Mar-26</c:v>
                </c:pt>
                <c:pt idx="85">
                  <c:v>Fri 27-Mar-26</c:v>
                </c:pt>
                <c:pt idx="86">
                  <c:v>Sat 28-Mar-26</c:v>
                </c:pt>
                <c:pt idx="87">
                  <c:v>Sun 29-Mar-26</c:v>
                </c:pt>
                <c:pt idx="88">
                  <c:v>Mon 30-Mar-26</c:v>
                </c:pt>
                <c:pt idx="89">
                  <c:v>Tue 31-Mar-26</c:v>
                </c:pt>
                <c:pt idx="90">
                  <c:v>Wed 1-Apr-26</c:v>
                </c:pt>
                <c:pt idx="91">
                  <c:v>Thu 2-Apr-26</c:v>
                </c:pt>
                <c:pt idx="92">
                  <c:v>Fri 3-Apr-26</c:v>
                </c:pt>
                <c:pt idx="93">
                  <c:v>Sat 4-Apr-26</c:v>
                </c:pt>
                <c:pt idx="94">
                  <c:v>Sun 5-Apr-26</c:v>
                </c:pt>
                <c:pt idx="95">
                  <c:v>Mon 6-Apr-26</c:v>
                </c:pt>
                <c:pt idx="96">
                  <c:v>Tue 7-Apr-26</c:v>
                </c:pt>
                <c:pt idx="97">
                  <c:v>Wed 8-Apr-26</c:v>
                </c:pt>
                <c:pt idx="98">
                  <c:v>Thu 9-Apr-26</c:v>
                </c:pt>
                <c:pt idx="99">
                  <c:v>Fri 10-Apr-26</c:v>
                </c:pt>
                <c:pt idx="100">
                  <c:v>Sat 11-Apr-26</c:v>
                </c:pt>
                <c:pt idx="101">
                  <c:v>Sun 12-Apr-26</c:v>
                </c:pt>
                <c:pt idx="102">
                  <c:v>Mon 13-Apr-26</c:v>
                </c:pt>
                <c:pt idx="103">
                  <c:v>Tue 14-Apr-26</c:v>
                </c:pt>
                <c:pt idx="104">
                  <c:v>Wed 15-Apr-26</c:v>
                </c:pt>
                <c:pt idx="105">
                  <c:v>Thu 16-Apr-26</c:v>
                </c:pt>
                <c:pt idx="106">
                  <c:v>Fri 17-Apr-26</c:v>
                </c:pt>
                <c:pt idx="107">
                  <c:v>Sat 18-Apr-26</c:v>
                </c:pt>
                <c:pt idx="108">
                  <c:v>Sun 19-Apr-26</c:v>
                </c:pt>
                <c:pt idx="109">
                  <c:v>Mon 20-Apr-26</c:v>
                </c:pt>
                <c:pt idx="110">
                  <c:v>Tue 21-Apr-26</c:v>
                </c:pt>
                <c:pt idx="111">
                  <c:v>Wed 22-Apr-26</c:v>
                </c:pt>
                <c:pt idx="112">
                  <c:v>Thu 23-Apr-26</c:v>
                </c:pt>
                <c:pt idx="113">
                  <c:v>Fri 24-Apr-26</c:v>
                </c:pt>
                <c:pt idx="114">
                  <c:v>Sat 25-Apr-26</c:v>
                </c:pt>
                <c:pt idx="115">
                  <c:v>Sun 26-Apr-26</c:v>
                </c:pt>
                <c:pt idx="116">
                  <c:v>Mon 27-Apr-26</c:v>
                </c:pt>
                <c:pt idx="117">
                  <c:v>Tue 28-Apr-26</c:v>
                </c:pt>
                <c:pt idx="118">
                  <c:v>Wed 29-Apr-26</c:v>
                </c:pt>
                <c:pt idx="119">
                  <c:v>Thu 30-Apr-26</c:v>
                </c:pt>
                <c:pt idx="120">
                  <c:v>Fri 1-May-26</c:v>
                </c:pt>
                <c:pt idx="121">
                  <c:v>Sat 2-May-26</c:v>
                </c:pt>
                <c:pt idx="122">
                  <c:v>Sun 3-May-26</c:v>
                </c:pt>
                <c:pt idx="123">
                  <c:v>Mon 4-May-26</c:v>
                </c:pt>
                <c:pt idx="124">
                  <c:v>Tue 5-May-26</c:v>
                </c:pt>
                <c:pt idx="125">
                  <c:v>Wed 6-May-26</c:v>
                </c:pt>
                <c:pt idx="126">
                  <c:v>Thu 7-May-26</c:v>
                </c:pt>
                <c:pt idx="127">
                  <c:v>Fri 8-May-26</c:v>
                </c:pt>
                <c:pt idx="128">
                  <c:v>Sat 9-May-26</c:v>
                </c:pt>
                <c:pt idx="129">
                  <c:v>Sun 10-May-26</c:v>
                </c:pt>
                <c:pt idx="130">
                  <c:v>Mon 11-May-26</c:v>
                </c:pt>
                <c:pt idx="131">
                  <c:v>Tue 12-May-26</c:v>
                </c:pt>
                <c:pt idx="132">
                  <c:v>Wed 13-May-26</c:v>
                </c:pt>
                <c:pt idx="133">
                  <c:v>Thu 14-May-26</c:v>
                </c:pt>
                <c:pt idx="134">
                  <c:v>Fri 15-May-26</c:v>
                </c:pt>
                <c:pt idx="135">
                  <c:v>Sat 16-May-26</c:v>
                </c:pt>
                <c:pt idx="136">
                  <c:v>Sun 17-May-26</c:v>
                </c:pt>
                <c:pt idx="137">
                  <c:v>Mon 18-May-26</c:v>
                </c:pt>
                <c:pt idx="138">
                  <c:v>Tue 19-May-26</c:v>
                </c:pt>
                <c:pt idx="139">
                  <c:v>Wed 20-May-26</c:v>
                </c:pt>
                <c:pt idx="140">
                  <c:v>Thu 21-May-26</c:v>
                </c:pt>
                <c:pt idx="141">
                  <c:v>Fri 22-May-26</c:v>
                </c:pt>
                <c:pt idx="142">
                  <c:v>Sat 23-May-26</c:v>
                </c:pt>
                <c:pt idx="143">
                  <c:v>Sun 24-May-26</c:v>
                </c:pt>
                <c:pt idx="144">
                  <c:v>Mon 25-May-26</c:v>
                </c:pt>
                <c:pt idx="145">
                  <c:v>Tue 26-May-26</c:v>
                </c:pt>
                <c:pt idx="146">
                  <c:v>Wed 27-May-26</c:v>
                </c:pt>
                <c:pt idx="147">
                  <c:v>Thu 28-May-26</c:v>
                </c:pt>
                <c:pt idx="148">
                  <c:v>Fri 29-May-26</c:v>
                </c:pt>
                <c:pt idx="149">
                  <c:v>Sat 30-May-26</c:v>
                </c:pt>
                <c:pt idx="150">
                  <c:v>Sun 31-May-26</c:v>
                </c:pt>
                <c:pt idx="151">
                  <c:v>Mon 1-Jun-26</c:v>
                </c:pt>
                <c:pt idx="152">
                  <c:v>Tue 2-Jun-26</c:v>
                </c:pt>
                <c:pt idx="153">
                  <c:v>Wed 3-Jun-26</c:v>
                </c:pt>
                <c:pt idx="154">
                  <c:v>Thu 4-Jun-26</c:v>
                </c:pt>
                <c:pt idx="155">
                  <c:v>Fri 5-Jun-26</c:v>
                </c:pt>
                <c:pt idx="156">
                  <c:v>Sat 6-Jun-26</c:v>
                </c:pt>
                <c:pt idx="157">
                  <c:v>Sun 7-Jun-26</c:v>
                </c:pt>
                <c:pt idx="158">
                  <c:v>Mon 8-Jun-26</c:v>
                </c:pt>
                <c:pt idx="159">
                  <c:v>Tue 9-Jun-26</c:v>
                </c:pt>
                <c:pt idx="160">
                  <c:v>Wed 10-Jun-26</c:v>
                </c:pt>
                <c:pt idx="161">
                  <c:v>Thu 11-Jun-26</c:v>
                </c:pt>
                <c:pt idx="162">
                  <c:v>Fri 12-Jun-26</c:v>
                </c:pt>
                <c:pt idx="163">
                  <c:v>Sat 13-Jun-26</c:v>
                </c:pt>
                <c:pt idx="164">
                  <c:v>Sun 14-Jun-26</c:v>
                </c:pt>
                <c:pt idx="165">
                  <c:v>Mon 15-Jun-26</c:v>
                </c:pt>
                <c:pt idx="166">
                  <c:v>Tue 16-Jun-26</c:v>
                </c:pt>
                <c:pt idx="167">
                  <c:v>Wed 17-Jun-26</c:v>
                </c:pt>
                <c:pt idx="168">
                  <c:v>Thu 18-Jun-26</c:v>
                </c:pt>
                <c:pt idx="169">
                  <c:v>Fri 19-Jun-26</c:v>
                </c:pt>
                <c:pt idx="170">
                  <c:v>Sat 20-Jun-26</c:v>
                </c:pt>
                <c:pt idx="171">
                  <c:v>Sun 21-Jun-26</c:v>
                </c:pt>
                <c:pt idx="172">
                  <c:v>Mon 22-Jun-26</c:v>
                </c:pt>
                <c:pt idx="173">
                  <c:v>Tue 23-Jun-26</c:v>
                </c:pt>
                <c:pt idx="174">
                  <c:v>Wed 24-Jun-26</c:v>
                </c:pt>
                <c:pt idx="175">
                  <c:v>Thu 25-Jun-26</c:v>
                </c:pt>
                <c:pt idx="176">
                  <c:v>Fri 26-Jun-26</c:v>
                </c:pt>
                <c:pt idx="177">
                  <c:v>Sat 27-Jun-26</c:v>
                </c:pt>
                <c:pt idx="178">
                  <c:v>Sun 28-Jun-26</c:v>
                </c:pt>
                <c:pt idx="179">
                  <c:v>Mon 29-Jun-26</c:v>
                </c:pt>
                <c:pt idx="180">
                  <c:v>Tue 30-Jun-26</c:v>
                </c:pt>
                <c:pt idx="181">
                  <c:v>Wed 1-Jul-26</c:v>
                </c:pt>
                <c:pt idx="182">
                  <c:v>Thu 2-Jul-26</c:v>
                </c:pt>
                <c:pt idx="183">
                  <c:v>Fri 3-Jul-26</c:v>
                </c:pt>
                <c:pt idx="184">
                  <c:v>Sat 4-Jul-26</c:v>
                </c:pt>
                <c:pt idx="185">
                  <c:v>Sun 5-Jul-26</c:v>
                </c:pt>
                <c:pt idx="186">
                  <c:v>Mon 6-Jul-26</c:v>
                </c:pt>
                <c:pt idx="187">
                  <c:v>Tue 7-Jul-26</c:v>
                </c:pt>
                <c:pt idx="188">
                  <c:v>Wed 8-Jul-26</c:v>
                </c:pt>
                <c:pt idx="189">
                  <c:v>Thu 9-Jul-26</c:v>
                </c:pt>
                <c:pt idx="190">
                  <c:v>Fri 10-Jul-26</c:v>
                </c:pt>
                <c:pt idx="191">
                  <c:v>Sat 11-Jul-26</c:v>
                </c:pt>
                <c:pt idx="192">
                  <c:v>Sun 12-Jul-26</c:v>
                </c:pt>
                <c:pt idx="193">
                  <c:v>Mon 13-Jul-26</c:v>
                </c:pt>
                <c:pt idx="194">
                  <c:v>Tue 14-Jul-26</c:v>
                </c:pt>
                <c:pt idx="195">
                  <c:v>Wed 15-Jul-26</c:v>
                </c:pt>
                <c:pt idx="196">
                  <c:v>Thu 16-Jul-26</c:v>
                </c:pt>
                <c:pt idx="197">
                  <c:v>Fri 17-Jul-26</c:v>
                </c:pt>
                <c:pt idx="198">
                  <c:v>Sat 18-Jul-26</c:v>
                </c:pt>
                <c:pt idx="199">
                  <c:v>Sun 19-Jul-26</c:v>
                </c:pt>
                <c:pt idx="200">
                  <c:v>Mon 20-Jul-26</c:v>
                </c:pt>
                <c:pt idx="201">
                  <c:v>Tue 21-Jul-26</c:v>
                </c:pt>
                <c:pt idx="202">
                  <c:v>Wed 22-Jul-26</c:v>
                </c:pt>
                <c:pt idx="203">
                  <c:v>Thu 23-Jul-26</c:v>
                </c:pt>
                <c:pt idx="204">
                  <c:v>Fri 24-Jul-26</c:v>
                </c:pt>
                <c:pt idx="205">
                  <c:v>Sat 25-Jul-26</c:v>
                </c:pt>
                <c:pt idx="206">
                  <c:v>Sun 26-Jul-26</c:v>
                </c:pt>
                <c:pt idx="207">
                  <c:v>Mon 27-Jul-26</c:v>
                </c:pt>
                <c:pt idx="208">
                  <c:v>Tue 28-Jul-26</c:v>
                </c:pt>
                <c:pt idx="209">
                  <c:v>Wed 29-Jul-26</c:v>
                </c:pt>
                <c:pt idx="210">
                  <c:v>Thu 30-Jul-26</c:v>
                </c:pt>
                <c:pt idx="211">
                  <c:v>Fri 31-Jul-26</c:v>
                </c:pt>
                <c:pt idx="212">
                  <c:v>Sat 1-Aug-26</c:v>
                </c:pt>
                <c:pt idx="213">
                  <c:v>Sun 2-Aug-26</c:v>
                </c:pt>
                <c:pt idx="214">
                  <c:v>Mon 3-Aug-26</c:v>
                </c:pt>
                <c:pt idx="215">
                  <c:v>Tue 4-Aug-26</c:v>
                </c:pt>
                <c:pt idx="216">
                  <c:v>Wed 5-Aug-26</c:v>
                </c:pt>
                <c:pt idx="217">
                  <c:v>Thu 6-Aug-26</c:v>
                </c:pt>
                <c:pt idx="218">
                  <c:v>Fri 7-Aug-26</c:v>
                </c:pt>
                <c:pt idx="219">
                  <c:v>Sat 8-Aug-26</c:v>
                </c:pt>
                <c:pt idx="220">
                  <c:v>Sun 9-Aug-26</c:v>
                </c:pt>
                <c:pt idx="221">
                  <c:v>Mon 10-Aug-26</c:v>
                </c:pt>
                <c:pt idx="222">
                  <c:v>Tue 11-Aug-26</c:v>
                </c:pt>
                <c:pt idx="223">
                  <c:v>Wed 12-Aug-26</c:v>
                </c:pt>
                <c:pt idx="224">
                  <c:v>Thu 13-Aug-26</c:v>
                </c:pt>
                <c:pt idx="225">
                  <c:v>Fri 14-Aug-26</c:v>
                </c:pt>
                <c:pt idx="226">
                  <c:v>Sat 15-Aug-26</c:v>
                </c:pt>
                <c:pt idx="227">
                  <c:v>Sun 16-Aug-26</c:v>
                </c:pt>
                <c:pt idx="228">
                  <c:v>Mon 17-Aug-26</c:v>
                </c:pt>
                <c:pt idx="229">
                  <c:v>Tue 18-Aug-26</c:v>
                </c:pt>
                <c:pt idx="230">
                  <c:v>Wed 19-Aug-26</c:v>
                </c:pt>
                <c:pt idx="231">
                  <c:v>Thu 20-Aug-26</c:v>
                </c:pt>
                <c:pt idx="232">
                  <c:v>Fri 21-Aug-26</c:v>
                </c:pt>
                <c:pt idx="233">
                  <c:v>Sat 22-Aug-26</c:v>
                </c:pt>
                <c:pt idx="234">
                  <c:v>Sun 23-Aug-26</c:v>
                </c:pt>
                <c:pt idx="235">
                  <c:v>Mon 24-Aug-26</c:v>
                </c:pt>
                <c:pt idx="236">
                  <c:v>Tue 25-Aug-26</c:v>
                </c:pt>
                <c:pt idx="237">
                  <c:v>Wed 26-Aug-26</c:v>
                </c:pt>
                <c:pt idx="238">
                  <c:v>Thu 27-Aug-26</c:v>
                </c:pt>
                <c:pt idx="239">
                  <c:v>Fri 28-Aug-26</c:v>
                </c:pt>
                <c:pt idx="240">
                  <c:v>Sat 29-Aug-26</c:v>
                </c:pt>
                <c:pt idx="241">
                  <c:v>Sun 30-Aug-26</c:v>
                </c:pt>
                <c:pt idx="242">
                  <c:v>Mon 31-Aug-26</c:v>
                </c:pt>
                <c:pt idx="243">
                  <c:v>Tue 1-Sep-26</c:v>
                </c:pt>
                <c:pt idx="244">
                  <c:v>Wed 2-Sep-26</c:v>
                </c:pt>
                <c:pt idx="245">
                  <c:v>Thu 3-Sep-26</c:v>
                </c:pt>
                <c:pt idx="246">
                  <c:v>Fri 4-Sep-26</c:v>
                </c:pt>
                <c:pt idx="247">
                  <c:v>Sat 5-Sep-26</c:v>
                </c:pt>
                <c:pt idx="248">
                  <c:v>Sun 6-Sep-26</c:v>
                </c:pt>
                <c:pt idx="249">
                  <c:v>Mon 7-Sep-26</c:v>
                </c:pt>
                <c:pt idx="250">
                  <c:v>Tue 8-Sep-26</c:v>
                </c:pt>
                <c:pt idx="251">
                  <c:v>Wed 9-Sep-26</c:v>
                </c:pt>
                <c:pt idx="252">
                  <c:v>Thu 10-Sep-26</c:v>
                </c:pt>
                <c:pt idx="253">
                  <c:v>Fri 11-Sep-26</c:v>
                </c:pt>
                <c:pt idx="254">
                  <c:v>Sat 12-Sep-26</c:v>
                </c:pt>
                <c:pt idx="255">
                  <c:v>Sun 13-Sep-26</c:v>
                </c:pt>
                <c:pt idx="256">
                  <c:v>Mon 14-Sep-26</c:v>
                </c:pt>
                <c:pt idx="257">
                  <c:v>Tue 15-Sep-26</c:v>
                </c:pt>
                <c:pt idx="258">
                  <c:v>Wed 16-Sep-26</c:v>
                </c:pt>
                <c:pt idx="259">
                  <c:v>Thu 17-Sep-26</c:v>
                </c:pt>
                <c:pt idx="260">
                  <c:v>Fri 18-Sep-26</c:v>
                </c:pt>
                <c:pt idx="261">
                  <c:v>Sat 19-Sep-26</c:v>
                </c:pt>
                <c:pt idx="262">
                  <c:v>Sun 20-Sep-26</c:v>
                </c:pt>
                <c:pt idx="263">
                  <c:v>Mon 21-Sep-26</c:v>
                </c:pt>
                <c:pt idx="264">
                  <c:v>Tue 22-Sep-26</c:v>
                </c:pt>
                <c:pt idx="265">
                  <c:v>Wed 23-Sep-26</c:v>
                </c:pt>
                <c:pt idx="266">
                  <c:v>Thu 24-Sep-26</c:v>
                </c:pt>
                <c:pt idx="267">
                  <c:v>Fri 25-Sep-26</c:v>
                </c:pt>
                <c:pt idx="268">
                  <c:v>Sat 26-Sep-26</c:v>
                </c:pt>
                <c:pt idx="269">
                  <c:v>Sun 27-Sep-26</c:v>
                </c:pt>
                <c:pt idx="270">
                  <c:v>Mon 28-Sep-26</c:v>
                </c:pt>
                <c:pt idx="271">
                  <c:v>Tue 29-Sep-26</c:v>
                </c:pt>
                <c:pt idx="272">
                  <c:v>Wed 30-Sep-26</c:v>
                </c:pt>
                <c:pt idx="273">
                  <c:v>Thu 1-Oct-26</c:v>
                </c:pt>
                <c:pt idx="274">
                  <c:v>Fri 2-Oct-26</c:v>
                </c:pt>
                <c:pt idx="275">
                  <c:v>Sat 3-Oct-26</c:v>
                </c:pt>
                <c:pt idx="276">
                  <c:v>Sun 4-Oct-26</c:v>
                </c:pt>
                <c:pt idx="277">
                  <c:v>Mon 5-Oct-26</c:v>
                </c:pt>
                <c:pt idx="278">
                  <c:v>Tue 6-Oct-26</c:v>
                </c:pt>
                <c:pt idx="279">
                  <c:v>Wed 7-Oct-26</c:v>
                </c:pt>
                <c:pt idx="280">
                  <c:v>Thu 8-Oct-26</c:v>
                </c:pt>
                <c:pt idx="281">
                  <c:v>Fri 9-Oct-26</c:v>
                </c:pt>
                <c:pt idx="282">
                  <c:v>Sat 10-Oct-26</c:v>
                </c:pt>
                <c:pt idx="283">
                  <c:v>Sun 11-Oct-26</c:v>
                </c:pt>
                <c:pt idx="284">
                  <c:v>Mon 12-Oct-26</c:v>
                </c:pt>
                <c:pt idx="285">
                  <c:v>Tue 13-Oct-26</c:v>
                </c:pt>
                <c:pt idx="286">
                  <c:v>Wed 14-Oct-26</c:v>
                </c:pt>
                <c:pt idx="287">
                  <c:v>Thu 15-Oct-26</c:v>
                </c:pt>
                <c:pt idx="288">
                  <c:v>Fri 16-Oct-26</c:v>
                </c:pt>
                <c:pt idx="289">
                  <c:v>Sat 17-Oct-26</c:v>
                </c:pt>
                <c:pt idx="290">
                  <c:v>Sun 18-Oct-26</c:v>
                </c:pt>
                <c:pt idx="291">
                  <c:v>Mon 19-Oct-26</c:v>
                </c:pt>
                <c:pt idx="292">
                  <c:v>Tue 20-Oct-26</c:v>
                </c:pt>
                <c:pt idx="293">
                  <c:v>Wed 21-Oct-26</c:v>
                </c:pt>
                <c:pt idx="294">
                  <c:v>Thu 22-Oct-26</c:v>
                </c:pt>
                <c:pt idx="295">
                  <c:v>Fri 23-Oct-26</c:v>
                </c:pt>
                <c:pt idx="296">
                  <c:v>Sat 24-Oct-26</c:v>
                </c:pt>
                <c:pt idx="297">
                  <c:v>Sun 25-Oct-26</c:v>
                </c:pt>
                <c:pt idx="298">
                  <c:v>Mon 26-Oct-26</c:v>
                </c:pt>
                <c:pt idx="299">
                  <c:v>Tue 27-Oct-26</c:v>
                </c:pt>
                <c:pt idx="300">
                  <c:v>Wed 28-Oct-26</c:v>
                </c:pt>
                <c:pt idx="301">
                  <c:v>Thu 29-Oct-26</c:v>
                </c:pt>
                <c:pt idx="302">
                  <c:v>Fri 30-Oct-26</c:v>
                </c:pt>
                <c:pt idx="303">
                  <c:v>Sat 31-Oct-26</c:v>
                </c:pt>
                <c:pt idx="304">
                  <c:v>Sun 1-Nov-26</c:v>
                </c:pt>
                <c:pt idx="305">
                  <c:v>Mon 2-Nov-26</c:v>
                </c:pt>
                <c:pt idx="306">
                  <c:v>Tue 3-Nov-26</c:v>
                </c:pt>
                <c:pt idx="307">
                  <c:v>Wed 4-Nov-26</c:v>
                </c:pt>
                <c:pt idx="308">
                  <c:v>Thu 5-Nov-26</c:v>
                </c:pt>
                <c:pt idx="309">
                  <c:v>Fri 6-Nov-26</c:v>
                </c:pt>
                <c:pt idx="310">
                  <c:v>Sat 7-Nov-26</c:v>
                </c:pt>
                <c:pt idx="311">
                  <c:v>Sun 8-Nov-26</c:v>
                </c:pt>
                <c:pt idx="312">
                  <c:v>Mon 9-Nov-26</c:v>
                </c:pt>
                <c:pt idx="313">
                  <c:v>Tue 10-Nov-26</c:v>
                </c:pt>
                <c:pt idx="314">
                  <c:v>Wed 11-Nov-26</c:v>
                </c:pt>
                <c:pt idx="315">
                  <c:v>Thu 12-Nov-26</c:v>
                </c:pt>
                <c:pt idx="316">
                  <c:v>Fri 13-Nov-26</c:v>
                </c:pt>
                <c:pt idx="317">
                  <c:v>Sat 14-Nov-26</c:v>
                </c:pt>
                <c:pt idx="318">
                  <c:v>Sun 15-Nov-26</c:v>
                </c:pt>
                <c:pt idx="319">
                  <c:v>Mon 16-Nov-26</c:v>
                </c:pt>
                <c:pt idx="320">
                  <c:v>Tue 17-Nov-26</c:v>
                </c:pt>
                <c:pt idx="321">
                  <c:v>Wed 18-Nov-26</c:v>
                </c:pt>
                <c:pt idx="322">
                  <c:v>Thu 19-Nov-26</c:v>
                </c:pt>
                <c:pt idx="323">
                  <c:v>Fri 20-Nov-26</c:v>
                </c:pt>
                <c:pt idx="324">
                  <c:v>Sat 21-Nov-26</c:v>
                </c:pt>
                <c:pt idx="325">
                  <c:v>Sun 22-Nov-26</c:v>
                </c:pt>
                <c:pt idx="326">
                  <c:v>Mon 23-Nov-26</c:v>
                </c:pt>
                <c:pt idx="327">
                  <c:v>Tue 24-Nov-26</c:v>
                </c:pt>
                <c:pt idx="328">
                  <c:v>Wed 25-Nov-26</c:v>
                </c:pt>
                <c:pt idx="329">
                  <c:v>Thu 26-Nov-26</c:v>
                </c:pt>
                <c:pt idx="330">
                  <c:v>Fri 27-Nov-26</c:v>
                </c:pt>
                <c:pt idx="331">
                  <c:v>Sat 28-Nov-26</c:v>
                </c:pt>
                <c:pt idx="332">
                  <c:v>Sun 29-Nov-26</c:v>
                </c:pt>
                <c:pt idx="333">
                  <c:v>Mon 30-Nov-26</c:v>
                </c:pt>
                <c:pt idx="334">
                  <c:v>Tue 1-Dec-26</c:v>
                </c:pt>
                <c:pt idx="335">
                  <c:v>Wed 2-Dec-26</c:v>
                </c:pt>
                <c:pt idx="336">
                  <c:v>Thu 3-Dec-26</c:v>
                </c:pt>
                <c:pt idx="337">
                  <c:v>Fri 4-Dec-26</c:v>
                </c:pt>
                <c:pt idx="338">
                  <c:v>Sat 5-Dec-26</c:v>
                </c:pt>
                <c:pt idx="339">
                  <c:v>Sun 6-Dec-26</c:v>
                </c:pt>
                <c:pt idx="340">
                  <c:v>Mon 7-Dec-26</c:v>
                </c:pt>
                <c:pt idx="341">
                  <c:v>Tue 8-Dec-26</c:v>
                </c:pt>
                <c:pt idx="342">
                  <c:v>Wed 9-Dec-26</c:v>
                </c:pt>
                <c:pt idx="343">
                  <c:v>Thu 10-Dec-26</c:v>
                </c:pt>
                <c:pt idx="344">
                  <c:v>Fri 11-Dec-26</c:v>
                </c:pt>
                <c:pt idx="345">
                  <c:v>Sat 12-Dec-26</c:v>
                </c:pt>
                <c:pt idx="346">
                  <c:v>Sun 13-Dec-26</c:v>
                </c:pt>
                <c:pt idx="347">
                  <c:v>Mon 14-Dec-26</c:v>
                </c:pt>
                <c:pt idx="348">
                  <c:v>Tue 15-Dec-26</c:v>
                </c:pt>
                <c:pt idx="349">
                  <c:v>Wed 16-Dec-26</c:v>
                </c:pt>
                <c:pt idx="350">
                  <c:v>Thu 17-Dec-26</c:v>
                </c:pt>
                <c:pt idx="351">
                  <c:v>Fri 18-Dec-26</c:v>
                </c:pt>
                <c:pt idx="352">
                  <c:v>Sat 19-Dec-26</c:v>
                </c:pt>
                <c:pt idx="353">
                  <c:v>Sun 20-Dec-26</c:v>
                </c:pt>
                <c:pt idx="354">
                  <c:v>Mon 21-Dec-26</c:v>
                </c:pt>
                <c:pt idx="355">
                  <c:v>Tue 22-Dec-26</c:v>
                </c:pt>
                <c:pt idx="356">
                  <c:v>Wed 23-Dec-26</c:v>
                </c:pt>
                <c:pt idx="357">
                  <c:v>Thu 24-Dec-26</c:v>
                </c:pt>
                <c:pt idx="358">
                  <c:v>Fri 25-Dec-26</c:v>
                </c:pt>
                <c:pt idx="359">
                  <c:v>Sat 26-Dec-26</c:v>
                </c:pt>
                <c:pt idx="360">
                  <c:v>Sun 27-Dec-26</c:v>
                </c:pt>
                <c:pt idx="361">
                  <c:v>Mon 28-Dec-26</c:v>
                </c:pt>
                <c:pt idx="362">
                  <c:v>Tue 29-Dec-26</c:v>
                </c:pt>
                <c:pt idx="363">
                  <c:v>Wed 30-Dec-26</c:v>
                </c:pt>
                <c:pt idx="364">
                  <c:v>Thu 31-Dec-26</c:v>
                </c:pt>
              </c:strCache>
            </c:strRef>
          </c:cat>
          <c:val>
            <c:numRef>
              <c:f>'Daily Tracker'!$G$5:$G$369</c:f>
              <c:numCache>
                <c:formatCode>0.0</c:formatCode>
                <c:ptCount val="365"/>
                <c:pt idx="0">
                  <c:v>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208778"/>
        <c:axId val="70937149"/>
      </c:lineChart>
      <c:catAx>
        <c:axId val="88208778"/>
        <c:scaling>
          <c:orientation val="minMax"/>
        </c:scaling>
        <c:delete val="0"/>
        <c:axPos val="b"/>
        <c:numFmt formatCode="ddd\ 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37149"/>
        <c:crosses val="autoZero"/>
        <c:auto val="1"/>
        <c:lblAlgn val="ctr"/>
        <c:lblOffset val="100"/>
        <c:noMultiLvlLbl val="0"/>
      </c:catAx>
      <c:valAx>
        <c:axId val="70937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087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Workout Duration (Weekly)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Dashboard'!G4</c:f>
              <c:strCache>
                <c:ptCount val="1"/>
                <c:pt idx="0">
                  <c:v>Total Workout Time (min)</c:v>
                </c:pt>
              </c:strCache>
            </c:strRef>
          </c:tx>
          <c:spPr>
            <a:solidFill>
              <a:srgbClr val="f59e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Dashboard'!$G$5:$G$57</c:f>
              <c:numCache>
                <c:formatCode>#,##0</c:formatCode>
                <c:ptCount val="53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gapWidth val="150"/>
        <c:overlap val="0"/>
        <c:axId val="79412922"/>
        <c:axId val="30513903"/>
      </c:barChart>
      <c:catAx>
        <c:axId val="79412922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13903"/>
        <c:crosses val="autoZero"/>
        <c:auto val="1"/>
        <c:lblAlgn val="ctr"/>
        <c:lblOffset val="100"/>
        <c:noMultiLvlLbl val="0"/>
      </c:catAx>
      <c:valAx>
        <c:axId val="30513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129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Calories Burned (Weekly)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Dashboard'!H4</c:f>
              <c:strCache>
                <c:ptCount val="1"/>
                <c:pt idx="0">
                  <c:v>Calories Burned</c:v>
                </c:pt>
              </c:strCache>
            </c:strRef>
          </c:tx>
          <c:spPr>
            <a:solidFill>
              <a:srgbClr val="f9731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Dashboard'!$H$5:$H$57</c:f>
              <c:numCache>
                <c:formatCode>#,##0</c:formatCode>
                <c:ptCount val="53"/>
                <c:pt idx="0">
                  <c:v>3100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gapWidth val="150"/>
        <c:overlap val="0"/>
        <c:axId val="89177260"/>
        <c:axId val="31481692"/>
      </c:barChart>
      <c:catAx>
        <c:axId val="8917726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81692"/>
        <c:crosses val="autoZero"/>
        <c:auto val="1"/>
        <c:lblAlgn val="ctr"/>
        <c:lblOffset val="100"/>
        <c:noMultiLvlLbl val="0"/>
      </c:catAx>
      <c:valAx>
        <c:axId val="31481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772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 Intake (Weekly)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Dashboard'!I4</c:f>
              <c:strCache>
                <c:ptCount val="1"/>
                <c:pt idx="0">
                  <c:v>Water Intake (L)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Dashboard'!$I$5:$I$57</c:f>
              <c:numCache>
                <c:formatCode>0.0</c:formatCode>
                <c:ptCount val="53"/>
                <c:pt idx="0">
                  <c:v>4.2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gapWidth val="150"/>
        <c:overlap val="0"/>
        <c:axId val="64805459"/>
        <c:axId val="4706491"/>
      </c:barChart>
      <c:catAx>
        <c:axId val="64805459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6491"/>
        <c:crosses val="autoZero"/>
        <c:auto val="1"/>
        <c:lblAlgn val="ctr"/>
        <c:lblOffset val="100"/>
        <c:noMultiLvlLbl val="0"/>
      </c:catAx>
      <c:valAx>
        <c:axId val="4706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Liters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054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Workout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'Monthly Dashboard'!Q4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'Monthly Dashboard'!$P$5:$P$13</c:f>
              <c:strCache>
                <c:ptCount val="9"/>
                <c:pt idx="0">
                  <c:v>Powerlifting</c:v>
                </c:pt>
                <c:pt idx="1">
                  <c:v>CrossFit</c:v>
                </c:pt>
                <c:pt idx="2">
                  <c:v>HYROX</c:v>
                </c:pt>
                <c:pt idx="3">
                  <c:v>Strength</c:v>
                </c:pt>
                <c:pt idx="4">
                  <c:v>Running</c:v>
                </c:pt>
                <c:pt idx="5">
                  <c:v>Conditioning</c:v>
                </c:pt>
                <c:pt idx="6">
                  <c:v>Recovery</c:v>
                </c:pt>
                <c:pt idx="7">
                  <c:v>Mobility</c:v>
                </c:pt>
                <c:pt idx="8">
                  <c:v>Rest Day</c:v>
                </c:pt>
              </c:strCache>
            </c:strRef>
          </c:cat>
          <c:val>
            <c:numRef>
              <c:f>'Monthly Dashboard'!$Q$5:$Q$13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Recovery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'Recovery Tracker'!E4</c:f>
              <c:strCache>
                <c:ptCount val="1"/>
                <c:pt idx="0">
                  <c:v>Recovery Score</c:v>
                </c:pt>
              </c:strCache>
            </c:strRef>
          </c:tx>
          <c:spPr>
            <a:solidFill>
              <a:srgbClr val="ec4899"/>
            </a:solidFill>
            <a:ln w="28440">
              <a:solidFill>
                <a:srgbClr val="ec48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Tracker'!$A$5:$A$369</c:f>
              <c:strCache>
                <c:ptCount val="365"/>
                <c:pt idx="0">
                  <c:v>Thu 1-Jan-26</c:v>
                </c:pt>
                <c:pt idx="1">
                  <c:v>Fri 2-Jan-26</c:v>
                </c:pt>
                <c:pt idx="2">
                  <c:v>Sat 3-Jan-26</c:v>
                </c:pt>
                <c:pt idx="3">
                  <c:v>Sun 4-Jan-26</c:v>
                </c:pt>
                <c:pt idx="4">
                  <c:v>Mon 5-Jan-26</c:v>
                </c:pt>
                <c:pt idx="5">
                  <c:v>Tue 6-Jan-26</c:v>
                </c:pt>
                <c:pt idx="6">
                  <c:v>Wed 7-Jan-26</c:v>
                </c:pt>
                <c:pt idx="7">
                  <c:v>Thu 8-Jan-26</c:v>
                </c:pt>
                <c:pt idx="8">
                  <c:v>Fri 9-Jan-26</c:v>
                </c:pt>
                <c:pt idx="9">
                  <c:v>Sat 10-Jan-26</c:v>
                </c:pt>
                <c:pt idx="10">
                  <c:v>Sun 11-Jan-26</c:v>
                </c:pt>
                <c:pt idx="11">
                  <c:v>Mon 12-Jan-26</c:v>
                </c:pt>
                <c:pt idx="12">
                  <c:v>Tue 13-Jan-26</c:v>
                </c:pt>
                <c:pt idx="13">
                  <c:v>Wed 14-Jan-26</c:v>
                </c:pt>
                <c:pt idx="14">
                  <c:v>Thu 15-Jan-26</c:v>
                </c:pt>
                <c:pt idx="15">
                  <c:v>Fri 16-Jan-26</c:v>
                </c:pt>
                <c:pt idx="16">
                  <c:v>Sat 17-Jan-26</c:v>
                </c:pt>
                <c:pt idx="17">
                  <c:v>Sun 18-Jan-26</c:v>
                </c:pt>
                <c:pt idx="18">
                  <c:v>Mon 19-Jan-26</c:v>
                </c:pt>
                <c:pt idx="19">
                  <c:v>Tue 20-Jan-26</c:v>
                </c:pt>
                <c:pt idx="20">
                  <c:v>Wed 21-Jan-26</c:v>
                </c:pt>
                <c:pt idx="21">
                  <c:v>Thu 22-Jan-26</c:v>
                </c:pt>
                <c:pt idx="22">
                  <c:v>Fri 23-Jan-26</c:v>
                </c:pt>
                <c:pt idx="23">
                  <c:v>Sat 24-Jan-26</c:v>
                </c:pt>
                <c:pt idx="24">
                  <c:v>Sun 25-Jan-26</c:v>
                </c:pt>
                <c:pt idx="25">
                  <c:v>Mon 26-Jan-26</c:v>
                </c:pt>
                <c:pt idx="26">
                  <c:v>Tue 27-Jan-26</c:v>
                </c:pt>
                <c:pt idx="27">
                  <c:v>Wed 28-Jan-26</c:v>
                </c:pt>
                <c:pt idx="28">
                  <c:v>Thu 29-Jan-26</c:v>
                </c:pt>
                <c:pt idx="29">
                  <c:v>Fri 30-Jan-26</c:v>
                </c:pt>
                <c:pt idx="30">
                  <c:v>Sat 31-Jan-26</c:v>
                </c:pt>
                <c:pt idx="31">
                  <c:v>Sun 1-Feb-26</c:v>
                </c:pt>
                <c:pt idx="32">
                  <c:v>Mon 2-Feb-26</c:v>
                </c:pt>
                <c:pt idx="33">
                  <c:v>Tue 3-Feb-26</c:v>
                </c:pt>
                <c:pt idx="34">
                  <c:v>Wed 4-Feb-26</c:v>
                </c:pt>
                <c:pt idx="35">
                  <c:v>Thu 5-Feb-26</c:v>
                </c:pt>
                <c:pt idx="36">
                  <c:v>Fri 6-Feb-26</c:v>
                </c:pt>
                <c:pt idx="37">
                  <c:v>Sat 7-Feb-26</c:v>
                </c:pt>
                <c:pt idx="38">
                  <c:v>Sun 8-Feb-26</c:v>
                </c:pt>
                <c:pt idx="39">
                  <c:v>Mon 9-Feb-26</c:v>
                </c:pt>
                <c:pt idx="40">
                  <c:v>Tue 10-Feb-26</c:v>
                </c:pt>
                <c:pt idx="41">
                  <c:v>Wed 11-Feb-26</c:v>
                </c:pt>
                <c:pt idx="42">
                  <c:v>Thu 12-Feb-26</c:v>
                </c:pt>
                <c:pt idx="43">
                  <c:v>Fri 13-Feb-26</c:v>
                </c:pt>
                <c:pt idx="44">
                  <c:v>Sat 14-Feb-26</c:v>
                </c:pt>
                <c:pt idx="45">
                  <c:v>Sun 15-Feb-26</c:v>
                </c:pt>
                <c:pt idx="46">
                  <c:v>Mon 16-Feb-26</c:v>
                </c:pt>
                <c:pt idx="47">
                  <c:v>Tue 17-Feb-26</c:v>
                </c:pt>
                <c:pt idx="48">
                  <c:v>Wed 18-Feb-26</c:v>
                </c:pt>
                <c:pt idx="49">
                  <c:v>Thu 19-Feb-26</c:v>
                </c:pt>
                <c:pt idx="50">
                  <c:v>Fri 20-Feb-26</c:v>
                </c:pt>
                <c:pt idx="51">
                  <c:v>Sat 21-Feb-26</c:v>
                </c:pt>
                <c:pt idx="52">
                  <c:v>Sun 22-Feb-26</c:v>
                </c:pt>
                <c:pt idx="53">
                  <c:v>Mon 23-Feb-26</c:v>
                </c:pt>
                <c:pt idx="54">
                  <c:v>Tue 24-Feb-26</c:v>
                </c:pt>
                <c:pt idx="55">
                  <c:v>Wed 25-Feb-26</c:v>
                </c:pt>
                <c:pt idx="56">
                  <c:v>Thu 26-Feb-26</c:v>
                </c:pt>
                <c:pt idx="57">
                  <c:v>Fri 27-Feb-26</c:v>
                </c:pt>
                <c:pt idx="58">
                  <c:v>Sat 28-Feb-26</c:v>
                </c:pt>
                <c:pt idx="59">
                  <c:v>Sun 1-Mar-26</c:v>
                </c:pt>
                <c:pt idx="60">
                  <c:v>Mon 2-Mar-26</c:v>
                </c:pt>
                <c:pt idx="61">
                  <c:v>Tue 3-Mar-26</c:v>
                </c:pt>
                <c:pt idx="62">
                  <c:v>Wed 4-Mar-26</c:v>
                </c:pt>
                <c:pt idx="63">
                  <c:v>Thu 5-Mar-26</c:v>
                </c:pt>
                <c:pt idx="64">
                  <c:v>Fri 6-Mar-26</c:v>
                </c:pt>
                <c:pt idx="65">
                  <c:v>Sat 7-Mar-26</c:v>
                </c:pt>
                <c:pt idx="66">
                  <c:v>Sun 8-Mar-26</c:v>
                </c:pt>
                <c:pt idx="67">
                  <c:v>Mon 9-Mar-26</c:v>
                </c:pt>
                <c:pt idx="68">
                  <c:v>Tue 10-Mar-26</c:v>
                </c:pt>
                <c:pt idx="69">
                  <c:v>Wed 11-Mar-26</c:v>
                </c:pt>
                <c:pt idx="70">
                  <c:v>Thu 12-Mar-26</c:v>
                </c:pt>
                <c:pt idx="71">
                  <c:v>Fri 13-Mar-26</c:v>
                </c:pt>
                <c:pt idx="72">
                  <c:v>Sat 14-Mar-26</c:v>
                </c:pt>
                <c:pt idx="73">
                  <c:v>Sun 15-Mar-26</c:v>
                </c:pt>
                <c:pt idx="74">
                  <c:v>Mon 16-Mar-26</c:v>
                </c:pt>
                <c:pt idx="75">
                  <c:v>Tue 17-Mar-26</c:v>
                </c:pt>
                <c:pt idx="76">
                  <c:v>Wed 18-Mar-26</c:v>
                </c:pt>
                <c:pt idx="77">
                  <c:v>Thu 19-Mar-26</c:v>
                </c:pt>
                <c:pt idx="78">
                  <c:v>Fri 20-Mar-26</c:v>
                </c:pt>
                <c:pt idx="79">
                  <c:v>Sat 21-Mar-26</c:v>
                </c:pt>
                <c:pt idx="80">
                  <c:v>Sun 22-Mar-26</c:v>
                </c:pt>
                <c:pt idx="81">
                  <c:v>Mon 23-Mar-26</c:v>
                </c:pt>
                <c:pt idx="82">
                  <c:v>Tue 24-Mar-26</c:v>
                </c:pt>
                <c:pt idx="83">
                  <c:v>Wed 25-Mar-26</c:v>
                </c:pt>
                <c:pt idx="84">
                  <c:v>Thu 26-Mar-26</c:v>
                </c:pt>
                <c:pt idx="85">
                  <c:v>Fri 27-Mar-26</c:v>
                </c:pt>
                <c:pt idx="86">
                  <c:v>Sat 28-Mar-26</c:v>
                </c:pt>
                <c:pt idx="87">
                  <c:v>Sun 29-Mar-26</c:v>
                </c:pt>
                <c:pt idx="88">
                  <c:v>Mon 30-Mar-26</c:v>
                </c:pt>
                <c:pt idx="89">
                  <c:v>Tue 31-Mar-26</c:v>
                </c:pt>
                <c:pt idx="90">
                  <c:v>Wed 1-Apr-26</c:v>
                </c:pt>
                <c:pt idx="91">
                  <c:v>Thu 2-Apr-26</c:v>
                </c:pt>
                <c:pt idx="92">
                  <c:v>Fri 3-Apr-26</c:v>
                </c:pt>
                <c:pt idx="93">
                  <c:v>Sat 4-Apr-26</c:v>
                </c:pt>
                <c:pt idx="94">
                  <c:v>Sun 5-Apr-26</c:v>
                </c:pt>
                <c:pt idx="95">
                  <c:v>Mon 6-Apr-26</c:v>
                </c:pt>
                <c:pt idx="96">
                  <c:v>Tue 7-Apr-26</c:v>
                </c:pt>
                <c:pt idx="97">
                  <c:v>Wed 8-Apr-26</c:v>
                </c:pt>
                <c:pt idx="98">
                  <c:v>Thu 9-Apr-26</c:v>
                </c:pt>
                <c:pt idx="99">
                  <c:v>Fri 10-Apr-26</c:v>
                </c:pt>
                <c:pt idx="100">
                  <c:v>Sat 11-Apr-26</c:v>
                </c:pt>
                <c:pt idx="101">
                  <c:v>Sun 12-Apr-26</c:v>
                </c:pt>
                <c:pt idx="102">
                  <c:v>Mon 13-Apr-26</c:v>
                </c:pt>
                <c:pt idx="103">
                  <c:v>Tue 14-Apr-26</c:v>
                </c:pt>
                <c:pt idx="104">
                  <c:v>Wed 15-Apr-26</c:v>
                </c:pt>
                <c:pt idx="105">
                  <c:v>Thu 16-Apr-26</c:v>
                </c:pt>
                <c:pt idx="106">
                  <c:v>Fri 17-Apr-26</c:v>
                </c:pt>
                <c:pt idx="107">
                  <c:v>Sat 18-Apr-26</c:v>
                </c:pt>
                <c:pt idx="108">
                  <c:v>Sun 19-Apr-26</c:v>
                </c:pt>
                <c:pt idx="109">
                  <c:v>Mon 20-Apr-26</c:v>
                </c:pt>
                <c:pt idx="110">
                  <c:v>Tue 21-Apr-26</c:v>
                </c:pt>
                <c:pt idx="111">
                  <c:v>Wed 22-Apr-26</c:v>
                </c:pt>
                <c:pt idx="112">
                  <c:v>Thu 23-Apr-26</c:v>
                </c:pt>
                <c:pt idx="113">
                  <c:v>Fri 24-Apr-26</c:v>
                </c:pt>
                <c:pt idx="114">
                  <c:v>Sat 25-Apr-26</c:v>
                </c:pt>
                <c:pt idx="115">
                  <c:v>Sun 26-Apr-26</c:v>
                </c:pt>
                <c:pt idx="116">
                  <c:v>Mon 27-Apr-26</c:v>
                </c:pt>
                <c:pt idx="117">
                  <c:v>Tue 28-Apr-26</c:v>
                </c:pt>
                <c:pt idx="118">
                  <c:v>Wed 29-Apr-26</c:v>
                </c:pt>
                <c:pt idx="119">
                  <c:v>Thu 30-Apr-26</c:v>
                </c:pt>
                <c:pt idx="120">
                  <c:v>Fri 1-May-26</c:v>
                </c:pt>
                <c:pt idx="121">
                  <c:v>Sat 2-May-26</c:v>
                </c:pt>
                <c:pt idx="122">
                  <c:v>Sun 3-May-26</c:v>
                </c:pt>
                <c:pt idx="123">
                  <c:v>Mon 4-May-26</c:v>
                </c:pt>
                <c:pt idx="124">
                  <c:v>Tue 5-May-26</c:v>
                </c:pt>
                <c:pt idx="125">
                  <c:v>Wed 6-May-26</c:v>
                </c:pt>
                <c:pt idx="126">
                  <c:v>Thu 7-May-26</c:v>
                </c:pt>
                <c:pt idx="127">
                  <c:v>Fri 8-May-26</c:v>
                </c:pt>
                <c:pt idx="128">
                  <c:v>Sat 9-May-26</c:v>
                </c:pt>
                <c:pt idx="129">
                  <c:v>Sun 10-May-26</c:v>
                </c:pt>
                <c:pt idx="130">
                  <c:v>Mon 11-May-26</c:v>
                </c:pt>
                <c:pt idx="131">
                  <c:v>Tue 12-May-26</c:v>
                </c:pt>
                <c:pt idx="132">
                  <c:v>Wed 13-May-26</c:v>
                </c:pt>
                <c:pt idx="133">
                  <c:v>Thu 14-May-26</c:v>
                </c:pt>
                <c:pt idx="134">
                  <c:v>Fri 15-May-26</c:v>
                </c:pt>
                <c:pt idx="135">
                  <c:v>Sat 16-May-26</c:v>
                </c:pt>
                <c:pt idx="136">
                  <c:v>Sun 17-May-26</c:v>
                </c:pt>
                <c:pt idx="137">
                  <c:v>Mon 18-May-26</c:v>
                </c:pt>
                <c:pt idx="138">
                  <c:v>Tue 19-May-26</c:v>
                </c:pt>
                <c:pt idx="139">
                  <c:v>Wed 20-May-26</c:v>
                </c:pt>
                <c:pt idx="140">
                  <c:v>Thu 21-May-26</c:v>
                </c:pt>
                <c:pt idx="141">
                  <c:v>Fri 22-May-26</c:v>
                </c:pt>
                <c:pt idx="142">
                  <c:v>Sat 23-May-26</c:v>
                </c:pt>
                <c:pt idx="143">
                  <c:v>Sun 24-May-26</c:v>
                </c:pt>
                <c:pt idx="144">
                  <c:v>Mon 25-May-26</c:v>
                </c:pt>
                <c:pt idx="145">
                  <c:v>Tue 26-May-26</c:v>
                </c:pt>
                <c:pt idx="146">
                  <c:v>Wed 27-May-26</c:v>
                </c:pt>
                <c:pt idx="147">
                  <c:v>Thu 28-May-26</c:v>
                </c:pt>
                <c:pt idx="148">
                  <c:v>Fri 29-May-26</c:v>
                </c:pt>
                <c:pt idx="149">
                  <c:v>Sat 30-May-26</c:v>
                </c:pt>
                <c:pt idx="150">
                  <c:v>Sun 31-May-26</c:v>
                </c:pt>
                <c:pt idx="151">
                  <c:v>Mon 1-Jun-26</c:v>
                </c:pt>
                <c:pt idx="152">
                  <c:v>Tue 2-Jun-26</c:v>
                </c:pt>
                <c:pt idx="153">
                  <c:v>Wed 3-Jun-26</c:v>
                </c:pt>
                <c:pt idx="154">
                  <c:v>Thu 4-Jun-26</c:v>
                </c:pt>
                <c:pt idx="155">
                  <c:v>Fri 5-Jun-26</c:v>
                </c:pt>
                <c:pt idx="156">
                  <c:v>Sat 6-Jun-26</c:v>
                </c:pt>
                <c:pt idx="157">
                  <c:v>Sun 7-Jun-26</c:v>
                </c:pt>
                <c:pt idx="158">
                  <c:v>Mon 8-Jun-26</c:v>
                </c:pt>
                <c:pt idx="159">
                  <c:v>Tue 9-Jun-26</c:v>
                </c:pt>
                <c:pt idx="160">
                  <c:v>Wed 10-Jun-26</c:v>
                </c:pt>
                <c:pt idx="161">
                  <c:v>Thu 11-Jun-26</c:v>
                </c:pt>
                <c:pt idx="162">
                  <c:v>Fri 12-Jun-26</c:v>
                </c:pt>
                <c:pt idx="163">
                  <c:v>Sat 13-Jun-26</c:v>
                </c:pt>
                <c:pt idx="164">
                  <c:v>Sun 14-Jun-26</c:v>
                </c:pt>
                <c:pt idx="165">
                  <c:v>Mon 15-Jun-26</c:v>
                </c:pt>
                <c:pt idx="166">
                  <c:v>Tue 16-Jun-26</c:v>
                </c:pt>
                <c:pt idx="167">
                  <c:v>Wed 17-Jun-26</c:v>
                </c:pt>
                <c:pt idx="168">
                  <c:v>Thu 18-Jun-26</c:v>
                </c:pt>
                <c:pt idx="169">
                  <c:v>Fri 19-Jun-26</c:v>
                </c:pt>
                <c:pt idx="170">
                  <c:v>Sat 20-Jun-26</c:v>
                </c:pt>
                <c:pt idx="171">
                  <c:v>Sun 21-Jun-26</c:v>
                </c:pt>
                <c:pt idx="172">
                  <c:v>Mon 22-Jun-26</c:v>
                </c:pt>
                <c:pt idx="173">
                  <c:v>Tue 23-Jun-26</c:v>
                </c:pt>
                <c:pt idx="174">
                  <c:v>Wed 24-Jun-26</c:v>
                </c:pt>
                <c:pt idx="175">
                  <c:v>Thu 25-Jun-26</c:v>
                </c:pt>
                <c:pt idx="176">
                  <c:v>Fri 26-Jun-26</c:v>
                </c:pt>
                <c:pt idx="177">
                  <c:v>Sat 27-Jun-26</c:v>
                </c:pt>
                <c:pt idx="178">
                  <c:v>Sun 28-Jun-26</c:v>
                </c:pt>
                <c:pt idx="179">
                  <c:v>Mon 29-Jun-26</c:v>
                </c:pt>
                <c:pt idx="180">
                  <c:v>Tue 30-Jun-26</c:v>
                </c:pt>
                <c:pt idx="181">
                  <c:v>Wed 1-Jul-26</c:v>
                </c:pt>
                <c:pt idx="182">
                  <c:v>Thu 2-Jul-26</c:v>
                </c:pt>
                <c:pt idx="183">
                  <c:v>Fri 3-Jul-26</c:v>
                </c:pt>
                <c:pt idx="184">
                  <c:v>Sat 4-Jul-26</c:v>
                </c:pt>
                <c:pt idx="185">
                  <c:v>Sun 5-Jul-26</c:v>
                </c:pt>
                <c:pt idx="186">
                  <c:v>Mon 6-Jul-26</c:v>
                </c:pt>
                <c:pt idx="187">
                  <c:v>Tue 7-Jul-26</c:v>
                </c:pt>
                <c:pt idx="188">
                  <c:v>Wed 8-Jul-26</c:v>
                </c:pt>
                <c:pt idx="189">
                  <c:v>Thu 9-Jul-26</c:v>
                </c:pt>
                <c:pt idx="190">
                  <c:v>Fri 10-Jul-26</c:v>
                </c:pt>
                <c:pt idx="191">
                  <c:v>Sat 11-Jul-26</c:v>
                </c:pt>
                <c:pt idx="192">
                  <c:v>Sun 12-Jul-26</c:v>
                </c:pt>
                <c:pt idx="193">
                  <c:v>Mon 13-Jul-26</c:v>
                </c:pt>
                <c:pt idx="194">
                  <c:v>Tue 14-Jul-26</c:v>
                </c:pt>
                <c:pt idx="195">
                  <c:v>Wed 15-Jul-26</c:v>
                </c:pt>
                <c:pt idx="196">
                  <c:v>Thu 16-Jul-26</c:v>
                </c:pt>
                <c:pt idx="197">
                  <c:v>Fri 17-Jul-26</c:v>
                </c:pt>
                <c:pt idx="198">
                  <c:v>Sat 18-Jul-26</c:v>
                </c:pt>
                <c:pt idx="199">
                  <c:v>Sun 19-Jul-26</c:v>
                </c:pt>
                <c:pt idx="200">
                  <c:v>Mon 20-Jul-26</c:v>
                </c:pt>
                <c:pt idx="201">
                  <c:v>Tue 21-Jul-26</c:v>
                </c:pt>
                <c:pt idx="202">
                  <c:v>Wed 22-Jul-26</c:v>
                </c:pt>
                <c:pt idx="203">
                  <c:v>Thu 23-Jul-26</c:v>
                </c:pt>
                <c:pt idx="204">
                  <c:v>Fri 24-Jul-26</c:v>
                </c:pt>
                <c:pt idx="205">
                  <c:v>Sat 25-Jul-26</c:v>
                </c:pt>
                <c:pt idx="206">
                  <c:v>Sun 26-Jul-26</c:v>
                </c:pt>
                <c:pt idx="207">
                  <c:v>Mon 27-Jul-26</c:v>
                </c:pt>
                <c:pt idx="208">
                  <c:v>Tue 28-Jul-26</c:v>
                </c:pt>
                <c:pt idx="209">
                  <c:v>Wed 29-Jul-26</c:v>
                </c:pt>
                <c:pt idx="210">
                  <c:v>Thu 30-Jul-26</c:v>
                </c:pt>
                <c:pt idx="211">
                  <c:v>Fri 31-Jul-26</c:v>
                </c:pt>
                <c:pt idx="212">
                  <c:v>Sat 1-Aug-26</c:v>
                </c:pt>
                <c:pt idx="213">
                  <c:v>Sun 2-Aug-26</c:v>
                </c:pt>
                <c:pt idx="214">
                  <c:v>Mon 3-Aug-26</c:v>
                </c:pt>
                <c:pt idx="215">
                  <c:v>Tue 4-Aug-26</c:v>
                </c:pt>
                <c:pt idx="216">
                  <c:v>Wed 5-Aug-26</c:v>
                </c:pt>
                <c:pt idx="217">
                  <c:v>Thu 6-Aug-26</c:v>
                </c:pt>
                <c:pt idx="218">
                  <c:v>Fri 7-Aug-26</c:v>
                </c:pt>
                <c:pt idx="219">
                  <c:v>Sat 8-Aug-26</c:v>
                </c:pt>
                <c:pt idx="220">
                  <c:v>Sun 9-Aug-26</c:v>
                </c:pt>
                <c:pt idx="221">
                  <c:v>Mon 10-Aug-26</c:v>
                </c:pt>
                <c:pt idx="222">
                  <c:v>Tue 11-Aug-26</c:v>
                </c:pt>
                <c:pt idx="223">
                  <c:v>Wed 12-Aug-26</c:v>
                </c:pt>
                <c:pt idx="224">
                  <c:v>Thu 13-Aug-26</c:v>
                </c:pt>
                <c:pt idx="225">
                  <c:v>Fri 14-Aug-26</c:v>
                </c:pt>
                <c:pt idx="226">
                  <c:v>Sat 15-Aug-26</c:v>
                </c:pt>
                <c:pt idx="227">
                  <c:v>Sun 16-Aug-26</c:v>
                </c:pt>
                <c:pt idx="228">
                  <c:v>Mon 17-Aug-26</c:v>
                </c:pt>
                <c:pt idx="229">
                  <c:v>Tue 18-Aug-26</c:v>
                </c:pt>
                <c:pt idx="230">
                  <c:v>Wed 19-Aug-26</c:v>
                </c:pt>
                <c:pt idx="231">
                  <c:v>Thu 20-Aug-26</c:v>
                </c:pt>
                <c:pt idx="232">
                  <c:v>Fri 21-Aug-26</c:v>
                </c:pt>
                <c:pt idx="233">
                  <c:v>Sat 22-Aug-26</c:v>
                </c:pt>
                <c:pt idx="234">
                  <c:v>Sun 23-Aug-26</c:v>
                </c:pt>
                <c:pt idx="235">
                  <c:v>Mon 24-Aug-26</c:v>
                </c:pt>
                <c:pt idx="236">
                  <c:v>Tue 25-Aug-26</c:v>
                </c:pt>
                <c:pt idx="237">
                  <c:v>Wed 26-Aug-26</c:v>
                </c:pt>
                <c:pt idx="238">
                  <c:v>Thu 27-Aug-26</c:v>
                </c:pt>
                <c:pt idx="239">
                  <c:v>Fri 28-Aug-26</c:v>
                </c:pt>
                <c:pt idx="240">
                  <c:v>Sat 29-Aug-26</c:v>
                </c:pt>
                <c:pt idx="241">
                  <c:v>Sun 30-Aug-26</c:v>
                </c:pt>
                <c:pt idx="242">
                  <c:v>Mon 31-Aug-26</c:v>
                </c:pt>
                <c:pt idx="243">
                  <c:v>Tue 1-Sep-26</c:v>
                </c:pt>
                <c:pt idx="244">
                  <c:v>Wed 2-Sep-26</c:v>
                </c:pt>
                <c:pt idx="245">
                  <c:v>Thu 3-Sep-26</c:v>
                </c:pt>
                <c:pt idx="246">
                  <c:v>Fri 4-Sep-26</c:v>
                </c:pt>
                <c:pt idx="247">
                  <c:v>Sat 5-Sep-26</c:v>
                </c:pt>
                <c:pt idx="248">
                  <c:v>Sun 6-Sep-26</c:v>
                </c:pt>
                <c:pt idx="249">
                  <c:v>Mon 7-Sep-26</c:v>
                </c:pt>
                <c:pt idx="250">
                  <c:v>Tue 8-Sep-26</c:v>
                </c:pt>
                <c:pt idx="251">
                  <c:v>Wed 9-Sep-26</c:v>
                </c:pt>
                <c:pt idx="252">
                  <c:v>Thu 10-Sep-26</c:v>
                </c:pt>
                <c:pt idx="253">
                  <c:v>Fri 11-Sep-26</c:v>
                </c:pt>
                <c:pt idx="254">
                  <c:v>Sat 12-Sep-26</c:v>
                </c:pt>
                <c:pt idx="255">
                  <c:v>Sun 13-Sep-26</c:v>
                </c:pt>
                <c:pt idx="256">
                  <c:v>Mon 14-Sep-26</c:v>
                </c:pt>
                <c:pt idx="257">
                  <c:v>Tue 15-Sep-26</c:v>
                </c:pt>
                <c:pt idx="258">
                  <c:v>Wed 16-Sep-26</c:v>
                </c:pt>
                <c:pt idx="259">
                  <c:v>Thu 17-Sep-26</c:v>
                </c:pt>
                <c:pt idx="260">
                  <c:v>Fri 18-Sep-26</c:v>
                </c:pt>
                <c:pt idx="261">
                  <c:v>Sat 19-Sep-26</c:v>
                </c:pt>
                <c:pt idx="262">
                  <c:v>Sun 20-Sep-26</c:v>
                </c:pt>
                <c:pt idx="263">
                  <c:v>Mon 21-Sep-26</c:v>
                </c:pt>
                <c:pt idx="264">
                  <c:v>Tue 22-Sep-26</c:v>
                </c:pt>
                <c:pt idx="265">
                  <c:v>Wed 23-Sep-26</c:v>
                </c:pt>
                <c:pt idx="266">
                  <c:v>Thu 24-Sep-26</c:v>
                </c:pt>
                <c:pt idx="267">
                  <c:v>Fri 25-Sep-26</c:v>
                </c:pt>
                <c:pt idx="268">
                  <c:v>Sat 26-Sep-26</c:v>
                </c:pt>
                <c:pt idx="269">
                  <c:v>Sun 27-Sep-26</c:v>
                </c:pt>
                <c:pt idx="270">
                  <c:v>Mon 28-Sep-26</c:v>
                </c:pt>
                <c:pt idx="271">
                  <c:v>Tue 29-Sep-26</c:v>
                </c:pt>
                <c:pt idx="272">
                  <c:v>Wed 30-Sep-26</c:v>
                </c:pt>
                <c:pt idx="273">
                  <c:v>Thu 1-Oct-26</c:v>
                </c:pt>
                <c:pt idx="274">
                  <c:v>Fri 2-Oct-26</c:v>
                </c:pt>
                <c:pt idx="275">
                  <c:v>Sat 3-Oct-26</c:v>
                </c:pt>
                <c:pt idx="276">
                  <c:v>Sun 4-Oct-26</c:v>
                </c:pt>
                <c:pt idx="277">
                  <c:v>Mon 5-Oct-26</c:v>
                </c:pt>
                <c:pt idx="278">
                  <c:v>Tue 6-Oct-26</c:v>
                </c:pt>
                <c:pt idx="279">
                  <c:v>Wed 7-Oct-26</c:v>
                </c:pt>
                <c:pt idx="280">
                  <c:v>Thu 8-Oct-26</c:v>
                </c:pt>
                <c:pt idx="281">
                  <c:v>Fri 9-Oct-26</c:v>
                </c:pt>
                <c:pt idx="282">
                  <c:v>Sat 10-Oct-26</c:v>
                </c:pt>
                <c:pt idx="283">
                  <c:v>Sun 11-Oct-26</c:v>
                </c:pt>
                <c:pt idx="284">
                  <c:v>Mon 12-Oct-26</c:v>
                </c:pt>
                <c:pt idx="285">
                  <c:v>Tue 13-Oct-26</c:v>
                </c:pt>
                <c:pt idx="286">
                  <c:v>Wed 14-Oct-26</c:v>
                </c:pt>
                <c:pt idx="287">
                  <c:v>Thu 15-Oct-26</c:v>
                </c:pt>
                <c:pt idx="288">
                  <c:v>Fri 16-Oct-26</c:v>
                </c:pt>
                <c:pt idx="289">
                  <c:v>Sat 17-Oct-26</c:v>
                </c:pt>
                <c:pt idx="290">
                  <c:v>Sun 18-Oct-26</c:v>
                </c:pt>
                <c:pt idx="291">
                  <c:v>Mon 19-Oct-26</c:v>
                </c:pt>
                <c:pt idx="292">
                  <c:v>Tue 20-Oct-26</c:v>
                </c:pt>
                <c:pt idx="293">
                  <c:v>Wed 21-Oct-26</c:v>
                </c:pt>
                <c:pt idx="294">
                  <c:v>Thu 22-Oct-26</c:v>
                </c:pt>
                <c:pt idx="295">
                  <c:v>Fri 23-Oct-26</c:v>
                </c:pt>
                <c:pt idx="296">
                  <c:v>Sat 24-Oct-26</c:v>
                </c:pt>
                <c:pt idx="297">
                  <c:v>Sun 25-Oct-26</c:v>
                </c:pt>
                <c:pt idx="298">
                  <c:v>Mon 26-Oct-26</c:v>
                </c:pt>
                <c:pt idx="299">
                  <c:v>Tue 27-Oct-26</c:v>
                </c:pt>
                <c:pt idx="300">
                  <c:v>Wed 28-Oct-26</c:v>
                </c:pt>
                <c:pt idx="301">
                  <c:v>Thu 29-Oct-26</c:v>
                </c:pt>
                <c:pt idx="302">
                  <c:v>Fri 30-Oct-26</c:v>
                </c:pt>
                <c:pt idx="303">
                  <c:v>Sat 31-Oct-26</c:v>
                </c:pt>
                <c:pt idx="304">
                  <c:v>Sun 1-Nov-26</c:v>
                </c:pt>
                <c:pt idx="305">
                  <c:v>Mon 2-Nov-26</c:v>
                </c:pt>
                <c:pt idx="306">
                  <c:v>Tue 3-Nov-26</c:v>
                </c:pt>
                <c:pt idx="307">
                  <c:v>Wed 4-Nov-26</c:v>
                </c:pt>
                <c:pt idx="308">
                  <c:v>Thu 5-Nov-26</c:v>
                </c:pt>
                <c:pt idx="309">
                  <c:v>Fri 6-Nov-26</c:v>
                </c:pt>
                <c:pt idx="310">
                  <c:v>Sat 7-Nov-26</c:v>
                </c:pt>
                <c:pt idx="311">
                  <c:v>Sun 8-Nov-26</c:v>
                </c:pt>
                <c:pt idx="312">
                  <c:v>Mon 9-Nov-26</c:v>
                </c:pt>
                <c:pt idx="313">
                  <c:v>Tue 10-Nov-26</c:v>
                </c:pt>
                <c:pt idx="314">
                  <c:v>Wed 11-Nov-26</c:v>
                </c:pt>
                <c:pt idx="315">
                  <c:v>Thu 12-Nov-26</c:v>
                </c:pt>
                <c:pt idx="316">
                  <c:v>Fri 13-Nov-26</c:v>
                </c:pt>
                <c:pt idx="317">
                  <c:v>Sat 14-Nov-26</c:v>
                </c:pt>
                <c:pt idx="318">
                  <c:v>Sun 15-Nov-26</c:v>
                </c:pt>
                <c:pt idx="319">
                  <c:v>Mon 16-Nov-26</c:v>
                </c:pt>
                <c:pt idx="320">
                  <c:v>Tue 17-Nov-26</c:v>
                </c:pt>
                <c:pt idx="321">
                  <c:v>Wed 18-Nov-26</c:v>
                </c:pt>
                <c:pt idx="322">
                  <c:v>Thu 19-Nov-26</c:v>
                </c:pt>
                <c:pt idx="323">
                  <c:v>Fri 20-Nov-26</c:v>
                </c:pt>
                <c:pt idx="324">
                  <c:v>Sat 21-Nov-26</c:v>
                </c:pt>
                <c:pt idx="325">
                  <c:v>Sun 22-Nov-26</c:v>
                </c:pt>
                <c:pt idx="326">
                  <c:v>Mon 23-Nov-26</c:v>
                </c:pt>
                <c:pt idx="327">
                  <c:v>Tue 24-Nov-26</c:v>
                </c:pt>
                <c:pt idx="328">
                  <c:v>Wed 25-Nov-26</c:v>
                </c:pt>
                <c:pt idx="329">
                  <c:v>Thu 26-Nov-26</c:v>
                </c:pt>
                <c:pt idx="330">
                  <c:v>Fri 27-Nov-26</c:v>
                </c:pt>
                <c:pt idx="331">
                  <c:v>Sat 28-Nov-26</c:v>
                </c:pt>
                <c:pt idx="332">
                  <c:v>Sun 29-Nov-26</c:v>
                </c:pt>
                <c:pt idx="333">
                  <c:v>Mon 30-Nov-26</c:v>
                </c:pt>
                <c:pt idx="334">
                  <c:v>Tue 1-Dec-26</c:v>
                </c:pt>
                <c:pt idx="335">
                  <c:v>Wed 2-Dec-26</c:v>
                </c:pt>
                <c:pt idx="336">
                  <c:v>Thu 3-Dec-26</c:v>
                </c:pt>
                <c:pt idx="337">
                  <c:v>Fri 4-Dec-26</c:v>
                </c:pt>
                <c:pt idx="338">
                  <c:v>Sat 5-Dec-26</c:v>
                </c:pt>
                <c:pt idx="339">
                  <c:v>Sun 6-Dec-26</c:v>
                </c:pt>
                <c:pt idx="340">
                  <c:v>Mon 7-Dec-26</c:v>
                </c:pt>
                <c:pt idx="341">
                  <c:v>Tue 8-Dec-26</c:v>
                </c:pt>
                <c:pt idx="342">
                  <c:v>Wed 9-Dec-26</c:v>
                </c:pt>
                <c:pt idx="343">
                  <c:v>Thu 10-Dec-26</c:v>
                </c:pt>
                <c:pt idx="344">
                  <c:v>Fri 11-Dec-26</c:v>
                </c:pt>
                <c:pt idx="345">
                  <c:v>Sat 12-Dec-26</c:v>
                </c:pt>
                <c:pt idx="346">
                  <c:v>Sun 13-Dec-26</c:v>
                </c:pt>
                <c:pt idx="347">
                  <c:v>Mon 14-Dec-26</c:v>
                </c:pt>
                <c:pt idx="348">
                  <c:v>Tue 15-Dec-26</c:v>
                </c:pt>
                <c:pt idx="349">
                  <c:v>Wed 16-Dec-26</c:v>
                </c:pt>
                <c:pt idx="350">
                  <c:v>Thu 17-Dec-26</c:v>
                </c:pt>
                <c:pt idx="351">
                  <c:v>Fri 18-Dec-26</c:v>
                </c:pt>
                <c:pt idx="352">
                  <c:v>Sat 19-Dec-26</c:v>
                </c:pt>
                <c:pt idx="353">
                  <c:v>Sun 20-Dec-26</c:v>
                </c:pt>
                <c:pt idx="354">
                  <c:v>Mon 21-Dec-26</c:v>
                </c:pt>
                <c:pt idx="355">
                  <c:v>Tue 22-Dec-26</c:v>
                </c:pt>
                <c:pt idx="356">
                  <c:v>Wed 23-Dec-26</c:v>
                </c:pt>
                <c:pt idx="357">
                  <c:v>Thu 24-Dec-26</c:v>
                </c:pt>
                <c:pt idx="358">
                  <c:v>Fri 25-Dec-26</c:v>
                </c:pt>
                <c:pt idx="359">
                  <c:v>Sat 26-Dec-26</c:v>
                </c:pt>
                <c:pt idx="360">
                  <c:v>Sun 27-Dec-26</c:v>
                </c:pt>
                <c:pt idx="361">
                  <c:v>Mon 28-Dec-26</c:v>
                </c:pt>
                <c:pt idx="362">
                  <c:v>Tue 29-Dec-26</c:v>
                </c:pt>
                <c:pt idx="363">
                  <c:v>Wed 30-Dec-26</c:v>
                </c:pt>
                <c:pt idx="364">
                  <c:v>Thu 31-Dec-26</c:v>
                </c:pt>
              </c:strCache>
            </c:strRef>
          </c:cat>
          <c:val>
            <c:numRef>
              <c:f>'Recovery Tracker'!$E$5:$E$369</c:f>
              <c:numCache>
                <c:formatCode>0</c:formatCode>
                <c:ptCount val="365"/>
                <c:pt idx="0">
                  <c:v>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586185"/>
        <c:axId val="13839618"/>
      </c:lineChart>
      <c:catAx>
        <c:axId val="78586185"/>
        <c:scaling>
          <c:orientation val="minMax"/>
        </c:scaling>
        <c:delete val="0"/>
        <c:axPos val="b"/>
        <c:numFmt formatCode="ddd\ 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39618"/>
        <c:crosses val="autoZero"/>
        <c:auto val="1"/>
        <c:lblAlgn val="ctr"/>
        <c:lblOffset val="100"/>
        <c:noMultiLvlLbl val="0"/>
      </c:catAx>
      <c:valAx>
        <c:axId val="13839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861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Training Load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Dashboard'!M4</c:f>
              <c:strCache>
                <c:ptCount val="1"/>
                <c:pt idx="0">
                  <c:v>Training Load</c:v>
                </c:pt>
              </c:strCache>
            </c:strRef>
          </c:tx>
          <c:spPr>
            <a:solidFill>
              <a:srgbClr val="8b5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Dashboard'!$M$5:$M$57</c:f>
              <c:numCache>
                <c:formatCode>#,##0</c:formatCode>
                <c:ptCount val="53"/>
                <c:pt idx="0">
                  <c:v>6880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gapWidth val="150"/>
        <c:overlap val="0"/>
        <c:axId val="38308674"/>
        <c:axId val="35644200"/>
      </c:barChart>
      <c:catAx>
        <c:axId val="38308674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44200"/>
        <c:crosses val="autoZero"/>
        <c:auto val="1"/>
        <c:lblAlgn val="ctr"/>
        <c:lblOffset val="100"/>
        <c:noMultiLvlLbl val="0"/>
      </c:catAx>
      <c:valAx>
        <c:axId val="35644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Load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086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Comparison (Steps)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Dashboard'!B4</c:f>
              <c:strCache>
                <c:ptCount val="1"/>
                <c:pt idx="0">
                  <c:v>Total Steps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Dashboard'!$B$5:$B$16</c:f>
              <c:numCache>
                <c:formatCode>#,##0</c:formatCode>
                <c:ptCount val="12"/>
                <c:pt idx="0">
                  <c:v>11500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6809441"/>
        <c:axId val="42527296"/>
      </c:barChart>
      <c:catAx>
        <c:axId val="368094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27296"/>
        <c:crosses val="autoZero"/>
        <c:auto val="1"/>
        <c:lblAlgn val="ctr"/>
        <c:lblOffset val="100"/>
        <c:noMultiLvlLbl val="0"/>
      </c:catAx>
      <c:valAx>
        <c:axId val="42527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094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Big 3 — Estimated 1RM Progression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'Workout Log'!N4</c:f>
              <c:strCache>
                <c:ptCount val="1"/>
                <c:pt idx="0">
                  <c:v>Squat 1RM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'Workout Log'!$A$5:$A$504</c:f>
              <c:strCache>
                <c:ptCount val="500"/>
                <c:pt idx="0">
                  <c:v>1-Jan-26</c:v>
                </c:pt>
                <c:pt idx="1">
                  <c:v>1-Jan-26</c:v>
                </c:pt>
                <c:pt idx="2">
                  <c:v>1-Jan-26</c:v>
                </c:pt>
                <c:pt idx="3">
                  <c:v>1-Jan-26</c:v>
                </c:pt>
                <c:pt idx="4">
                  <c:v>1-Jan-26</c:v>
                </c:pt>
                <c:pt idx="5">
                  <c:v>1-Jan-26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</c:strCache>
            </c:strRef>
          </c:cat>
          <c:val>
            <c:numRef>
              <c:f>'Workout Log'!$N$5:$N$504</c:f>
              <c:numCache>
                <c:formatCode>0.0</c:formatCode>
                <c:ptCount val="500"/>
                <c:pt idx="0">
                  <c:v>140</c:v>
                </c:pt>
                <c:pt idx="3">
                  <c:v>144.666666666667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'Workout Log'!O4</c:f>
              <c:strCache>
                <c:ptCount val="1"/>
                <c:pt idx="0">
                  <c:v>Bench 1RM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4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'Workout Log'!$A$5:$A$504</c:f>
              <c:strCache>
                <c:ptCount val="500"/>
                <c:pt idx="0">
                  <c:v>1-Jan-26</c:v>
                </c:pt>
                <c:pt idx="1">
                  <c:v>1-Jan-26</c:v>
                </c:pt>
                <c:pt idx="2">
                  <c:v>1-Jan-26</c:v>
                </c:pt>
                <c:pt idx="3">
                  <c:v>1-Jan-26</c:v>
                </c:pt>
                <c:pt idx="4">
                  <c:v>1-Jan-26</c:v>
                </c:pt>
                <c:pt idx="5">
                  <c:v>1-Jan-26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</c:strCache>
            </c:strRef>
          </c:cat>
          <c:val>
            <c:numRef>
              <c:f>'Workout Log'!$O$5:$O$504</c:f>
              <c:numCache>
                <c:formatCode>0.0</c:formatCode>
                <c:ptCount val="500"/>
                <c:pt idx="1">
                  <c:v>99.1666666666667</c:v>
                </c:pt>
                <c:pt idx="4">
                  <c:v>98.1666666666667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'Workout Log'!P4</c:f>
              <c:strCache>
                <c:ptCount val="1"/>
                <c:pt idx="0">
                  <c:v>Deadlift 1RM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4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'Workout Log'!$A$5:$A$504</c:f>
              <c:strCache>
                <c:ptCount val="500"/>
                <c:pt idx="0">
                  <c:v>1-Jan-26</c:v>
                </c:pt>
                <c:pt idx="1">
                  <c:v>1-Jan-26</c:v>
                </c:pt>
                <c:pt idx="2">
                  <c:v>1-Jan-26</c:v>
                </c:pt>
                <c:pt idx="3">
                  <c:v>1-Jan-26</c:v>
                </c:pt>
                <c:pt idx="4">
                  <c:v>1-Jan-26</c:v>
                </c:pt>
                <c:pt idx="5">
                  <c:v>1-Jan-26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</c:strCache>
            </c:strRef>
          </c:cat>
          <c:val>
            <c:numRef>
              <c:f>'Workout Log'!$P$5:$P$504</c:f>
              <c:numCache>
                <c:formatCode>0.0</c:formatCode>
                <c:ptCount val="500"/>
                <c:pt idx="2">
                  <c:v>165</c:v>
                </c:pt>
                <c:pt idx="5">
                  <c:v>175.666666666667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680883"/>
        <c:axId val="76636046"/>
      </c:lineChart>
      <c:catAx>
        <c:axId val="526808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36046"/>
        <c:crosses val="autoZero"/>
        <c:auto val="1"/>
        <c:lblAlgn val="ctr"/>
        <c:lblOffset val="100"/>
        <c:noMultiLvlLbl val="0"/>
      </c:catAx>
      <c:valAx>
        <c:axId val="76636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Estimated 1RM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808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Steps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Dashboard'!C4</c:f>
              <c:strCache>
                <c:ptCount val="1"/>
                <c:pt idx="0">
                  <c:v>Total Steps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Dashboard'!$C$5:$C$57</c:f>
              <c:numCache>
                <c:formatCode>#,##0</c:formatCode>
                <c:ptCount val="53"/>
                <c:pt idx="0">
                  <c:v>11500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gapWidth val="150"/>
        <c:overlap val="0"/>
        <c:axId val="76752929"/>
        <c:axId val="85995999"/>
      </c:barChart>
      <c:catAx>
        <c:axId val="76752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95999"/>
        <c:crosses val="autoZero"/>
        <c:auto val="1"/>
        <c:lblAlgn val="ctr"/>
        <c:lblOffset val="100"/>
        <c:noMultiLvlLbl val="0"/>
      </c:catAx>
      <c:valAx>
        <c:axId val="85995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52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Workout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Dashboard'!G4</c:f>
              <c:strCache>
                <c:ptCount val="1"/>
                <c:pt idx="0">
                  <c:v>Total Workout Time (min)</c:v>
                </c:pt>
              </c:strCache>
            </c:strRef>
          </c:tx>
          <c:spPr>
            <a:solidFill>
              <a:srgbClr val="ef44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Dashboard'!$G$5:$G$57</c:f>
              <c:numCache>
                <c:formatCode>#,##0</c:formatCode>
                <c:ptCount val="53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gapWidth val="150"/>
        <c:overlap val="0"/>
        <c:axId val="75938588"/>
        <c:axId val="44525626"/>
      </c:barChart>
      <c:catAx>
        <c:axId val="759385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25626"/>
        <c:crosses val="autoZero"/>
        <c:auto val="1"/>
        <c:lblAlgn val="ctr"/>
        <c:lblOffset val="100"/>
        <c:noMultiLvlLbl val="0"/>
      </c:catAx>
      <c:valAx>
        <c:axId val="44525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385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Sleep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Dashboard'!E4</c:f>
              <c:strCache>
                <c:ptCount val="1"/>
                <c:pt idx="0">
                  <c:v>Avg Sleep (hrs)</c:v>
                </c:pt>
              </c:strCache>
            </c:strRef>
          </c:tx>
          <c:spPr>
            <a:solidFill>
              <a:srgbClr val="ef4444"/>
            </a:solidFill>
            <a:ln w="28440">
              <a:solidFill>
                <a:srgbClr val="ef44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Dashboard'!$E$5:$E$57</c:f>
              <c:numCache>
                <c:formatCode>0.0</c:formatCode>
                <c:ptCount val="53"/>
                <c:pt idx="0">
                  <c:v>7.5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526244"/>
        <c:axId val="45040254"/>
      </c:lineChart>
      <c:catAx>
        <c:axId val="985262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40254"/>
        <c:crosses val="autoZero"/>
        <c:auto val="1"/>
        <c:lblAlgn val="ctr"/>
        <c:lblOffset val="100"/>
        <c:noMultiLvlLbl val="0"/>
      </c:catAx>
      <c:valAx>
        <c:axId val="450402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262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Calories Burned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Dashboard'!H4</c:f>
              <c:strCache>
                <c:ptCount val="1"/>
                <c:pt idx="0">
                  <c:v>Calories Burned</c:v>
                </c:pt>
              </c:strCache>
            </c:strRef>
          </c:tx>
          <c:spPr>
            <a:solidFill>
              <a:srgbClr val="f59e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Dashboard'!$H$5:$H$57</c:f>
              <c:numCache>
                <c:formatCode>#,##0</c:formatCode>
                <c:ptCount val="53"/>
                <c:pt idx="0">
                  <c:v>3100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gapWidth val="150"/>
        <c:overlap val="0"/>
        <c:axId val="80284554"/>
        <c:axId val="46525623"/>
      </c:barChart>
      <c:catAx>
        <c:axId val="802845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25623"/>
        <c:crosses val="autoZero"/>
        <c:auto val="1"/>
        <c:lblAlgn val="ctr"/>
        <c:lblOffset val="100"/>
        <c:noMultiLvlLbl val="0"/>
      </c:catAx>
      <c:valAx>
        <c:axId val="46525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845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 Intake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Dashboard'!I4</c:f>
              <c:strCache>
                <c:ptCount val="1"/>
                <c:pt idx="0">
                  <c:v>Water Intake (L)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Dashboard'!$I$5:$I$57</c:f>
              <c:numCache>
                <c:formatCode>0.0</c:formatCode>
                <c:ptCount val="53"/>
                <c:pt idx="0">
                  <c:v>4.2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gapWidth val="150"/>
        <c:overlap val="0"/>
        <c:axId val="34519790"/>
        <c:axId val="25349869"/>
      </c:barChart>
      <c:catAx>
        <c:axId val="345197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49869"/>
        <c:crosses val="autoZero"/>
        <c:auto val="1"/>
        <c:lblAlgn val="ctr"/>
        <c:lblOffset val="100"/>
        <c:noMultiLvlLbl val="0"/>
      </c:catAx>
      <c:valAx>
        <c:axId val="25349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Liters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197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Steps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Dashboard'!B4</c:f>
              <c:strCache>
                <c:ptCount val="1"/>
                <c:pt idx="0">
                  <c:v>Total Steps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Dashboard'!$B$5:$B$16</c:f>
              <c:numCache>
                <c:formatCode>#,##0</c:formatCode>
                <c:ptCount val="12"/>
                <c:pt idx="0">
                  <c:v>11500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5932613"/>
        <c:axId val="98436877"/>
      </c:barChart>
      <c:catAx>
        <c:axId val="659326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36877"/>
        <c:crosses val="autoZero"/>
        <c:auto val="1"/>
        <c:lblAlgn val="ctr"/>
        <c:lblOffset val="100"/>
        <c:noMultiLvlLbl val="0"/>
      </c:catAx>
      <c:valAx>
        <c:axId val="98436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326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Dashboard'!I4</c:f>
              <c:strCache>
                <c:ptCount val="1"/>
                <c:pt idx="0">
                  <c:v>Avg Weight (kg)</c:v>
                </c:pt>
              </c:strCache>
            </c:strRef>
          </c:tx>
          <c:spPr>
            <a:solidFill>
              <a:srgbClr val="ef4444"/>
            </a:solidFill>
            <a:ln w="28440">
              <a:solidFill>
                <a:srgbClr val="ef44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Dashboard'!$I$5:$I$16</c:f>
              <c:numCache>
                <c:formatCode>0.0</c:formatCode>
                <c:ptCount val="12"/>
                <c:pt idx="0">
                  <c:v>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522115"/>
        <c:axId val="99552007"/>
      </c:lineChart>
      <c:catAx>
        <c:axId val="285221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52007"/>
        <c:crosses val="autoZero"/>
        <c:auto val="1"/>
        <c:lblAlgn val="ctr"/>
        <c:lblOffset val="100"/>
        <c:noMultiLvlLbl val="0"/>
      </c:catAx>
      <c:valAx>
        <c:axId val="99552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221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Sleep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Dashboard'!D4</c:f>
              <c:strCache>
                <c:ptCount val="1"/>
                <c:pt idx="0">
                  <c:v>Avg Sleep (hrs)</c:v>
                </c:pt>
              </c:strCache>
            </c:strRef>
          </c:tx>
          <c:spPr>
            <a:solidFill>
              <a:srgbClr val="3b82f6"/>
            </a:solidFill>
            <a:ln w="28440">
              <a:solidFill>
                <a:srgbClr val="3b82f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Dashboard'!$D$5:$D$16</c:f>
              <c:numCache>
                <c:formatCode>0.0</c:formatCode>
                <c:ptCount val="12"/>
                <c:pt idx="0">
                  <c:v>7.5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379983"/>
        <c:axId val="46011867"/>
      </c:lineChart>
      <c:catAx>
        <c:axId val="1137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11867"/>
        <c:crosses val="autoZero"/>
        <c:auto val="1"/>
        <c:lblAlgn val="ctr"/>
        <c:lblOffset val="100"/>
        <c:noMultiLvlLbl val="0"/>
      </c:catAx>
      <c:valAx>
        <c:axId val="46011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799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Workout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'Monthly Dashboard'!Q4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'Monthly Dashboard'!$P$5:$P$13</c:f>
              <c:strCache>
                <c:ptCount val="9"/>
                <c:pt idx="0">
                  <c:v>Powerlifting</c:v>
                </c:pt>
                <c:pt idx="1">
                  <c:v>CrossFit</c:v>
                </c:pt>
                <c:pt idx="2">
                  <c:v>HYROX</c:v>
                </c:pt>
                <c:pt idx="3">
                  <c:v>Strength</c:v>
                </c:pt>
                <c:pt idx="4">
                  <c:v>Running</c:v>
                </c:pt>
                <c:pt idx="5">
                  <c:v>Conditioning</c:v>
                </c:pt>
                <c:pt idx="6">
                  <c:v>Recovery</c:v>
                </c:pt>
                <c:pt idx="7">
                  <c:v>Mobility</c:v>
                </c:pt>
                <c:pt idx="8">
                  <c:v>Rest Day</c:v>
                </c:pt>
              </c:strCache>
            </c:strRef>
          </c:cat>
          <c:val>
            <c:numRef>
              <c:f>'Monthly Dashboard'!$Q$5:$Q$13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Calories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Dashboard'!G4</c:f>
              <c:strCache>
                <c:ptCount val="1"/>
                <c:pt idx="0">
                  <c:v>Calories Burned</c:v>
                </c:pt>
              </c:strCache>
            </c:strRef>
          </c:tx>
          <c:spPr>
            <a:solidFill>
              <a:srgbClr val="f59e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Dashboard'!$G$5:$G$16</c:f>
              <c:numCache>
                <c:formatCode>#,##0</c:formatCode>
                <c:ptCount val="12"/>
                <c:pt idx="0">
                  <c:v>3100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0906282"/>
        <c:axId val="41838461"/>
      </c:barChart>
      <c:catAx>
        <c:axId val="10906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38461"/>
        <c:crosses val="autoZero"/>
        <c:auto val="1"/>
        <c:lblAlgn val="ctr"/>
        <c:lblOffset val="100"/>
        <c:noMultiLvlLbl val="0"/>
      </c:catAx>
      <c:valAx>
        <c:axId val="418384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062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Comparison (Steps by Week)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Dashboard'!C4</c:f>
              <c:strCache>
                <c:ptCount val="1"/>
                <c:pt idx="0">
                  <c:v>Total Steps</c:v>
                </c:pt>
              </c:strCache>
            </c:strRef>
          </c:tx>
          <c:spPr>
            <a:solidFill>
              <a:srgbClr val="8b5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Dashboard'!$B$5:$B$57</c:f>
              <c:strCache>
                <c:ptCount val="53"/>
                <c:pt idx="0">
                  <c:v>1-Jan-26</c:v>
                </c:pt>
                <c:pt idx="1">
                  <c:v>8-Jan-26</c:v>
                </c:pt>
                <c:pt idx="2">
                  <c:v>15-Jan-26</c:v>
                </c:pt>
                <c:pt idx="3">
                  <c:v>22-Jan-26</c:v>
                </c:pt>
                <c:pt idx="4">
                  <c:v>29-Jan-26</c:v>
                </c:pt>
                <c:pt idx="5">
                  <c:v>5-Feb-26</c:v>
                </c:pt>
                <c:pt idx="6">
                  <c:v>12-Feb-26</c:v>
                </c:pt>
                <c:pt idx="7">
                  <c:v>19-Feb-26</c:v>
                </c:pt>
                <c:pt idx="8">
                  <c:v>26-Feb-26</c:v>
                </c:pt>
                <c:pt idx="9">
                  <c:v>5-Mar-26</c:v>
                </c:pt>
                <c:pt idx="10">
                  <c:v>12-Mar-26</c:v>
                </c:pt>
                <c:pt idx="11">
                  <c:v>19-Mar-26</c:v>
                </c:pt>
                <c:pt idx="12">
                  <c:v>26-Mar-26</c:v>
                </c:pt>
                <c:pt idx="13">
                  <c:v>2-Apr-26</c:v>
                </c:pt>
                <c:pt idx="14">
                  <c:v>9-Apr-26</c:v>
                </c:pt>
                <c:pt idx="15">
                  <c:v>16-Apr-26</c:v>
                </c:pt>
                <c:pt idx="16">
                  <c:v>23-Apr-26</c:v>
                </c:pt>
                <c:pt idx="17">
                  <c:v>30-Apr-26</c:v>
                </c:pt>
                <c:pt idx="18">
                  <c:v>7-May-26</c:v>
                </c:pt>
                <c:pt idx="19">
                  <c:v>14-May-26</c:v>
                </c:pt>
                <c:pt idx="20">
                  <c:v>21-May-26</c:v>
                </c:pt>
                <c:pt idx="21">
                  <c:v>28-May-26</c:v>
                </c:pt>
                <c:pt idx="22">
                  <c:v>4-Jun-26</c:v>
                </c:pt>
                <c:pt idx="23">
                  <c:v>11-Jun-26</c:v>
                </c:pt>
                <c:pt idx="24">
                  <c:v>18-Jun-26</c:v>
                </c:pt>
                <c:pt idx="25">
                  <c:v>25-Jun-26</c:v>
                </c:pt>
                <c:pt idx="26">
                  <c:v>2-Jul-26</c:v>
                </c:pt>
                <c:pt idx="27">
                  <c:v>9-Jul-26</c:v>
                </c:pt>
                <c:pt idx="28">
                  <c:v>16-Jul-26</c:v>
                </c:pt>
                <c:pt idx="29">
                  <c:v>23-Jul-26</c:v>
                </c:pt>
                <c:pt idx="30">
                  <c:v>30-Jul-26</c:v>
                </c:pt>
                <c:pt idx="31">
                  <c:v>6-Aug-26</c:v>
                </c:pt>
                <c:pt idx="32">
                  <c:v>13-Aug-26</c:v>
                </c:pt>
                <c:pt idx="33">
                  <c:v>20-Aug-26</c:v>
                </c:pt>
                <c:pt idx="34">
                  <c:v>27-Aug-26</c:v>
                </c:pt>
                <c:pt idx="35">
                  <c:v>3-Sep-26</c:v>
                </c:pt>
                <c:pt idx="36">
                  <c:v>10-Sep-26</c:v>
                </c:pt>
                <c:pt idx="37">
                  <c:v>17-Sep-26</c:v>
                </c:pt>
                <c:pt idx="38">
                  <c:v>24-Sep-26</c:v>
                </c:pt>
                <c:pt idx="39">
                  <c:v>1-Oct-26</c:v>
                </c:pt>
                <c:pt idx="40">
                  <c:v>8-Oct-26</c:v>
                </c:pt>
                <c:pt idx="41">
                  <c:v>15-Oct-26</c:v>
                </c:pt>
                <c:pt idx="42">
                  <c:v>22-Oct-26</c:v>
                </c:pt>
                <c:pt idx="43">
                  <c:v>29-Oct-26</c:v>
                </c:pt>
                <c:pt idx="44">
                  <c:v>5-Nov-26</c:v>
                </c:pt>
                <c:pt idx="45">
                  <c:v>12-Nov-26</c:v>
                </c:pt>
                <c:pt idx="46">
                  <c:v>19-Nov-26</c:v>
                </c:pt>
                <c:pt idx="47">
                  <c:v>26-Nov-26</c:v>
                </c:pt>
                <c:pt idx="48">
                  <c:v>3-Dec-26</c:v>
                </c:pt>
                <c:pt idx="49">
                  <c:v>10-Dec-26</c:v>
                </c:pt>
                <c:pt idx="50">
                  <c:v>17-Dec-26</c:v>
                </c:pt>
                <c:pt idx="51">
                  <c:v>24-Dec-26</c:v>
                </c:pt>
                <c:pt idx="52">
                  <c:v>31-Dec-26</c:v>
                </c:pt>
              </c:strCache>
            </c:strRef>
          </c:cat>
          <c:val>
            <c:numRef>
              <c:f>'Weekly Dashboard'!$C$5:$C$57</c:f>
              <c:numCache>
                <c:formatCode>#,##0</c:formatCode>
                <c:ptCount val="53"/>
                <c:pt idx="0">
                  <c:v>11500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gapWidth val="150"/>
        <c:overlap val="0"/>
        <c:axId val="42644686"/>
        <c:axId val="70136721"/>
      </c:barChart>
      <c:catAx>
        <c:axId val="42644686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36721"/>
        <c:crosses val="autoZero"/>
        <c:auto val="1"/>
        <c:lblAlgn val="ctr"/>
        <c:lblOffset val="100"/>
        <c:noMultiLvlLbl val="0"/>
      </c:catAx>
      <c:valAx>
        <c:axId val="70136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446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Workout Compliance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Dashboard'!N4</c:f>
              <c:strCache>
                <c:ptCount val="1"/>
                <c:pt idx="0">
                  <c:v>Workout Compliance %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Dashboard'!$N$5:$N$16</c:f>
              <c:numCache>
                <c:formatCode>0%</c:formatCode>
                <c:ptCount val="12"/>
                <c:pt idx="0">
                  <c:v>0.0451612903225807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4882665"/>
        <c:axId val="42778199"/>
      </c:barChart>
      <c:catAx>
        <c:axId val="84882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78199"/>
        <c:crosses val="autoZero"/>
        <c:auto val="1"/>
        <c:lblAlgn val="ctr"/>
        <c:lblOffset val="100"/>
        <c:noMultiLvlLbl val="0"/>
      </c:catAx>
      <c:valAx>
        <c:axId val="42778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826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Squat / Bench / Deadlift — Best-So-Far 1RM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'Workout Log'!V4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cat>
            <c:strRef>
              <c:f>'Workout Log'!$A$5:$A$504</c:f>
              <c:strCache>
                <c:ptCount val="500"/>
                <c:pt idx="0">
                  <c:v>1-Jan-26</c:v>
                </c:pt>
                <c:pt idx="1">
                  <c:v>1-Jan-26</c:v>
                </c:pt>
                <c:pt idx="2">
                  <c:v>1-Jan-26</c:v>
                </c:pt>
                <c:pt idx="3">
                  <c:v>1-Jan-26</c:v>
                </c:pt>
                <c:pt idx="4">
                  <c:v>1-Jan-26</c:v>
                </c:pt>
                <c:pt idx="5">
                  <c:v>1-Jan-26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</c:strCache>
            </c:strRef>
          </c:cat>
          <c:val>
            <c:numRef>
              <c:f>'Workout Log'!$V$5:$V$504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strRef>
              <c:f>'Workout Log'!W4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cat>
            <c:strRef>
              <c:f>'Workout Log'!$A$5:$A$504</c:f>
              <c:strCache>
                <c:ptCount val="500"/>
                <c:pt idx="0">
                  <c:v>1-Jan-26</c:v>
                </c:pt>
                <c:pt idx="1">
                  <c:v>1-Jan-26</c:v>
                </c:pt>
                <c:pt idx="2">
                  <c:v>1-Jan-26</c:v>
                </c:pt>
                <c:pt idx="3">
                  <c:v>1-Jan-26</c:v>
                </c:pt>
                <c:pt idx="4">
                  <c:v>1-Jan-26</c:v>
                </c:pt>
                <c:pt idx="5">
                  <c:v>1-Jan-26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</c:strCache>
            </c:strRef>
          </c:cat>
          <c:val>
            <c:numRef>
              <c:f>'Workout Log'!$W$5:$W$504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strRef>
              <c:f>'Workout Log'!X4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cat>
            <c:strRef>
              <c:f>'Workout Log'!$A$5:$A$504</c:f>
              <c:strCache>
                <c:ptCount val="500"/>
                <c:pt idx="0">
                  <c:v>1-Jan-26</c:v>
                </c:pt>
                <c:pt idx="1">
                  <c:v>1-Jan-26</c:v>
                </c:pt>
                <c:pt idx="2">
                  <c:v>1-Jan-26</c:v>
                </c:pt>
                <c:pt idx="3">
                  <c:v>1-Jan-26</c:v>
                </c:pt>
                <c:pt idx="4">
                  <c:v>1-Jan-26</c:v>
                </c:pt>
                <c:pt idx="5">
                  <c:v>1-Jan-26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</c:strCache>
            </c:strRef>
          </c:cat>
          <c:val>
            <c:numRef>
              <c:f>'Workout Log'!$X$5:$X$504</c:f>
              <c:numCache>
                <c:formatCode>General</c:formatCode>
                <c:ptCount val="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529249"/>
        <c:axId val="31624522"/>
      </c:lineChart>
      <c:catAx>
        <c:axId val="19529249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24522"/>
        <c:crosses val="autoZero"/>
        <c:auto val="1"/>
        <c:lblAlgn val="ctr"/>
        <c:lblOffset val="100"/>
        <c:noMultiLvlLbl val="0"/>
      </c:catAx>
      <c:valAx>
        <c:axId val="31624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292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Powerlifting Total — Progression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'Workout Log'!Y4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9e0b"/>
            </a:solidFill>
            <a:ln w="28440">
              <a:solidFill>
                <a:srgbClr val="f59e0b"/>
              </a:solidFill>
              <a:round/>
            </a:ln>
          </c:spPr>
          <c:marker>
            <c:symbol val="none"/>
          </c:marker>
          <c:cat>
            <c:strRef>
              <c:f>'Workout Log'!$A$5:$A$504</c:f>
              <c:strCache>
                <c:ptCount val="500"/>
                <c:pt idx="0">
                  <c:v>1-Jan-26</c:v>
                </c:pt>
                <c:pt idx="1">
                  <c:v>1-Jan-26</c:v>
                </c:pt>
                <c:pt idx="2">
                  <c:v>1-Jan-26</c:v>
                </c:pt>
                <c:pt idx="3">
                  <c:v>1-Jan-26</c:v>
                </c:pt>
                <c:pt idx="4">
                  <c:v>1-Jan-26</c:v>
                </c:pt>
                <c:pt idx="5">
                  <c:v>1-Jan-26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</c:strCache>
            </c:strRef>
          </c:cat>
          <c:val>
            <c:numRef>
              <c:f>'Workout Log'!$Y$5:$Y$504</c:f>
              <c:numCache>
                <c:formatCode>General</c:formatCode>
                <c:ptCount val="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510499"/>
        <c:axId val="28098072"/>
      </c:lineChart>
      <c:catAx>
        <c:axId val="42510499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98072"/>
        <c:crosses val="autoZero"/>
        <c:auto val="1"/>
        <c:lblAlgn val="ctr"/>
        <c:lblOffset val="100"/>
        <c:noMultiLvlLbl val="0"/>
      </c:catAx>
      <c:valAx>
        <c:axId val="280980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104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Relationship Id="rId6" Type="http://schemas.openxmlformats.org/officeDocument/2006/relationships/chart" Target="../charts/chart23.xml"/><Relationship Id="rId7" Type="http://schemas.openxmlformats.org/officeDocument/2006/relationships/chart" Target="../charts/chart2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198000</xdr:rowOff>
    </xdr:from>
    <xdr:to>
      <xdr:col>7</xdr:col>
      <xdr:colOff>395280</xdr:colOff>
      <xdr:row>55</xdr:row>
      <xdr:rowOff>123840</xdr:rowOff>
    </xdr:to>
    <xdr:graphicFrame>
      <xdr:nvGraphicFramePr>
        <xdr:cNvPr id="0" name="Chart 1"/>
        <xdr:cNvGraphicFramePr/>
      </xdr:nvGraphicFramePr>
      <xdr:xfrm>
        <a:off x="0" y="8591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39</xdr:row>
      <xdr:rowOff>198000</xdr:rowOff>
    </xdr:from>
    <xdr:to>
      <xdr:col>14</xdr:col>
      <xdr:colOff>465480</xdr:colOff>
      <xdr:row>55</xdr:row>
      <xdr:rowOff>123840</xdr:rowOff>
    </xdr:to>
    <xdr:graphicFrame>
      <xdr:nvGraphicFramePr>
        <xdr:cNvPr id="1" name="Chart 2"/>
        <xdr:cNvGraphicFramePr/>
      </xdr:nvGraphicFramePr>
      <xdr:xfrm>
        <a:off x="5004360" y="8591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39</xdr:row>
      <xdr:rowOff>198000</xdr:rowOff>
    </xdr:from>
    <xdr:to>
      <xdr:col>21</xdr:col>
      <xdr:colOff>559080</xdr:colOff>
      <xdr:row>55</xdr:row>
      <xdr:rowOff>123840</xdr:rowOff>
    </xdr:to>
    <xdr:graphicFrame>
      <xdr:nvGraphicFramePr>
        <xdr:cNvPr id="2" name="Chart 3"/>
        <xdr:cNvGraphicFramePr/>
      </xdr:nvGraphicFramePr>
      <xdr:xfrm>
        <a:off x="9938520" y="8591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57</xdr:row>
      <xdr:rowOff>112320</xdr:rowOff>
    </xdr:from>
    <xdr:to>
      <xdr:col>7</xdr:col>
      <xdr:colOff>395280</xdr:colOff>
      <xdr:row>73</xdr:row>
      <xdr:rowOff>123840</xdr:rowOff>
    </xdr:to>
    <xdr:graphicFrame>
      <xdr:nvGraphicFramePr>
        <xdr:cNvPr id="3" name="Chart 4"/>
        <xdr:cNvGraphicFramePr/>
      </xdr:nvGraphicFramePr>
      <xdr:xfrm>
        <a:off x="0" y="12020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57</xdr:row>
      <xdr:rowOff>112320</xdr:rowOff>
    </xdr:from>
    <xdr:to>
      <xdr:col>14</xdr:col>
      <xdr:colOff>465480</xdr:colOff>
      <xdr:row>73</xdr:row>
      <xdr:rowOff>123840</xdr:rowOff>
    </xdr:to>
    <xdr:graphicFrame>
      <xdr:nvGraphicFramePr>
        <xdr:cNvPr id="4" name="Chart 5"/>
        <xdr:cNvGraphicFramePr/>
      </xdr:nvGraphicFramePr>
      <xdr:xfrm>
        <a:off x="5004360" y="12020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57</xdr:row>
      <xdr:rowOff>112320</xdr:rowOff>
    </xdr:from>
    <xdr:to>
      <xdr:col>21</xdr:col>
      <xdr:colOff>559080</xdr:colOff>
      <xdr:row>73</xdr:row>
      <xdr:rowOff>123840</xdr:rowOff>
    </xdr:to>
    <xdr:graphicFrame>
      <xdr:nvGraphicFramePr>
        <xdr:cNvPr id="5" name="Chart 6"/>
        <xdr:cNvGraphicFramePr/>
      </xdr:nvGraphicFramePr>
      <xdr:xfrm>
        <a:off x="9938520" y="12020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75</xdr:row>
      <xdr:rowOff>112320</xdr:rowOff>
    </xdr:from>
    <xdr:to>
      <xdr:col>7</xdr:col>
      <xdr:colOff>395280</xdr:colOff>
      <xdr:row>91</xdr:row>
      <xdr:rowOff>123840</xdr:rowOff>
    </xdr:to>
    <xdr:graphicFrame>
      <xdr:nvGraphicFramePr>
        <xdr:cNvPr id="6" name="Chart 7"/>
        <xdr:cNvGraphicFramePr/>
      </xdr:nvGraphicFramePr>
      <xdr:xfrm>
        <a:off x="0" y="15449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75</xdr:row>
      <xdr:rowOff>112320</xdr:rowOff>
    </xdr:from>
    <xdr:to>
      <xdr:col>14</xdr:col>
      <xdr:colOff>465480</xdr:colOff>
      <xdr:row>91</xdr:row>
      <xdr:rowOff>123840</xdr:rowOff>
    </xdr:to>
    <xdr:graphicFrame>
      <xdr:nvGraphicFramePr>
        <xdr:cNvPr id="7" name="Chart 8"/>
        <xdr:cNvGraphicFramePr/>
      </xdr:nvGraphicFramePr>
      <xdr:xfrm>
        <a:off x="5004360" y="15449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14</xdr:col>
      <xdr:colOff>0</xdr:colOff>
      <xdr:row>75</xdr:row>
      <xdr:rowOff>112320</xdr:rowOff>
    </xdr:from>
    <xdr:to>
      <xdr:col>21</xdr:col>
      <xdr:colOff>559080</xdr:colOff>
      <xdr:row>91</xdr:row>
      <xdr:rowOff>123840</xdr:rowOff>
    </xdr:to>
    <xdr:graphicFrame>
      <xdr:nvGraphicFramePr>
        <xdr:cNvPr id="8" name="Chart 9"/>
        <xdr:cNvGraphicFramePr/>
      </xdr:nvGraphicFramePr>
      <xdr:xfrm>
        <a:off x="9938520" y="15449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93</xdr:row>
      <xdr:rowOff>112320</xdr:rowOff>
    </xdr:from>
    <xdr:to>
      <xdr:col>7</xdr:col>
      <xdr:colOff>395280</xdr:colOff>
      <xdr:row>109</xdr:row>
      <xdr:rowOff>123840</xdr:rowOff>
    </xdr:to>
    <xdr:graphicFrame>
      <xdr:nvGraphicFramePr>
        <xdr:cNvPr id="9" name="Chart 10"/>
        <xdr:cNvGraphicFramePr/>
      </xdr:nvGraphicFramePr>
      <xdr:xfrm>
        <a:off x="0" y="18878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7</xdr:col>
      <xdr:colOff>0</xdr:colOff>
      <xdr:row>93</xdr:row>
      <xdr:rowOff>112320</xdr:rowOff>
    </xdr:from>
    <xdr:to>
      <xdr:col>14</xdr:col>
      <xdr:colOff>465480</xdr:colOff>
      <xdr:row>109</xdr:row>
      <xdr:rowOff>123840</xdr:rowOff>
    </xdr:to>
    <xdr:graphicFrame>
      <xdr:nvGraphicFramePr>
        <xdr:cNvPr id="10" name="Chart 11"/>
        <xdr:cNvGraphicFramePr/>
      </xdr:nvGraphicFramePr>
      <xdr:xfrm>
        <a:off x="5004360" y="18878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12</xdr:row>
      <xdr:rowOff>0</xdr:rowOff>
    </xdr:from>
    <xdr:to>
      <xdr:col>35</xdr:col>
      <xdr:colOff>78480</xdr:colOff>
      <xdr:row>29</xdr:row>
      <xdr:rowOff>1440</xdr:rowOff>
    </xdr:to>
    <xdr:graphicFrame>
      <xdr:nvGraphicFramePr>
        <xdr:cNvPr id="11" name="Chart 1"/>
        <xdr:cNvGraphicFramePr/>
      </xdr:nvGraphicFramePr>
      <xdr:xfrm>
        <a:off x="11184120" y="261000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59</xdr:row>
      <xdr:rowOff>0</xdr:rowOff>
    </xdr:from>
    <xdr:to>
      <xdr:col>7</xdr:col>
      <xdr:colOff>42840</xdr:colOff>
      <xdr:row>75</xdr:row>
      <xdr:rowOff>11520</xdr:rowOff>
    </xdr:to>
    <xdr:graphicFrame>
      <xdr:nvGraphicFramePr>
        <xdr:cNvPr id="12" name="Chart 1"/>
        <xdr:cNvGraphicFramePr/>
      </xdr:nvGraphicFramePr>
      <xdr:xfrm>
        <a:off x="0" y="116679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59</xdr:row>
      <xdr:rowOff>0</xdr:rowOff>
    </xdr:from>
    <xdr:to>
      <xdr:col>11</xdr:col>
      <xdr:colOff>606600</xdr:colOff>
      <xdr:row>75</xdr:row>
      <xdr:rowOff>11520</xdr:rowOff>
    </xdr:to>
    <xdr:graphicFrame>
      <xdr:nvGraphicFramePr>
        <xdr:cNvPr id="13" name="Chart 2"/>
        <xdr:cNvGraphicFramePr/>
      </xdr:nvGraphicFramePr>
      <xdr:xfrm>
        <a:off x="3665160" y="116679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59</xdr:row>
      <xdr:rowOff>0</xdr:rowOff>
    </xdr:from>
    <xdr:to>
      <xdr:col>18</xdr:col>
      <xdr:colOff>486720</xdr:colOff>
      <xdr:row>75</xdr:row>
      <xdr:rowOff>11520</xdr:rowOff>
    </xdr:to>
    <xdr:graphicFrame>
      <xdr:nvGraphicFramePr>
        <xdr:cNvPr id="14" name="Chart 3"/>
        <xdr:cNvGraphicFramePr/>
      </xdr:nvGraphicFramePr>
      <xdr:xfrm>
        <a:off x="7612560" y="116679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42840</xdr:colOff>
      <xdr:row>93</xdr:row>
      <xdr:rowOff>11520</xdr:rowOff>
    </xdr:to>
    <xdr:graphicFrame>
      <xdr:nvGraphicFramePr>
        <xdr:cNvPr id="15" name="Chart 4"/>
        <xdr:cNvGraphicFramePr/>
      </xdr:nvGraphicFramePr>
      <xdr:xfrm>
        <a:off x="0" y="150969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77</xdr:row>
      <xdr:rowOff>0</xdr:rowOff>
    </xdr:from>
    <xdr:to>
      <xdr:col>11</xdr:col>
      <xdr:colOff>606600</xdr:colOff>
      <xdr:row>93</xdr:row>
      <xdr:rowOff>11520</xdr:rowOff>
    </xdr:to>
    <xdr:graphicFrame>
      <xdr:nvGraphicFramePr>
        <xdr:cNvPr id="16" name="Chart 5"/>
        <xdr:cNvGraphicFramePr/>
      </xdr:nvGraphicFramePr>
      <xdr:xfrm>
        <a:off x="3665160" y="150969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7</xdr:col>
      <xdr:colOff>113400</xdr:colOff>
      <xdr:row>34</xdr:row>
      <xdr:rowOff>11880</xdr:rowOff>
    </xdr:to>
    <xdr:graphicFrame>
      <xdr:nvGraphicFramePr>
        <xdr:cNvPr id="17" name="Chart 1"/>
        <xdr:cNvGraphicFramePr/>
      </xdr:nvGraphicFramePr>
      <xdr:xfrm>
        <a:off x="0" y="3753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11</xdr:col>
      <xdr:colOff>606600</xdr:colOff>
      <xdr:row>34</xdr:row>
      <xdr:rowOff>11880</xdr:rowOff>
    </xdr:to>
    <xdr:graphicFrame>
      <xdr:nvGraphicFramePr>
        <xdr:cNvPr id="18" name="Chart 2"/>
        <xdr:cNvGraphicFramePr/>
      </xdr:nvGraphicFramePr>
      <xdr:xfrm>
        <a:off x="3665160" y="3753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18</xdr:row>
      <xdr:rowOff>0</xdr:rowOff>
    </xdr:from>
    <xdr:to>
      <xdr:col>17</xdr:col>
      <xdr:colOff>252360</xdr:colOff>
      <xdr:row>34</xdr:row>
      <xdr:rowOff>11880</xdr:rowOff>
    </xdr:to>
    <xdr:graphicFrame>
      <xdr:nvGraphicFramePr>
        <xdr:cNvPr id="19" name="Chart 3"/>
        <xdr:cNvGraphicFramePr/>
      </xdr:nvGraphicFramePr>
      <xdr:xfrm>
        <a:off x="7612560" y="3753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7</xdr:col>
      <xdr:colOff>113400</xdr:colOff>
      <xdr:row>52</xdr:row>
      <xdr:rowOff>11880</xdr:rowOff>
    </xdr:to>
    <xdr:graphicFrame>
      <xdr:nvGraphicFramePr>
        <xdr:cNvPr id="20" name="Chart 4"/>
        <xdr:cNvGraphicFramePr/>
      </xdr:nvGraphicFramePr>
      <xdr:xfrm>
        <a:off x="0" y="7182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36</xdr:row>
      <xdr:rowOff>0</xdr:rowOff>
    </xdr:from>
    <xdr:to>
      <xdr:col>11</xdr:col>
      <xdr:colOff>606600</xdr:colOff>
      <xdr:row>52</xdr:row>
      <xdr:rowOff>11880</xdr:rowOff>
    </xdr:to>
    <xdr:graphicFrame>
      <xdr:nvGraphicFramePr>
        <xdr:cNvPr id="21" name="Chart 5"/>
        <xdr:cNvGraphicFramePr/>
      </xdr:nvGraphicFramePr>
      <xdr:xfrm>
        <a:off x="3665160" y="7182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17</xdr:col>
      <xdr:colOff>252360</xdr:colOff>
      <xdr:row>52</xdr:row>
      <xdr:rowOff>11880</xdr:rowOff>
    </xdr:to>
    <xdr:graphicFrame>
      <xdr:nvGraphicFramePr>
        <xdr:cNvPr id="22" name="Chart 6"/>
        <xdr:cNvGraphicFramePr/>
      </xdr:nvGraphicFramePr>
      <xdr:xfrm>
        <a:off x="7612560" y="7182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7</xdr:col>
      <xdr:colOff>113400</xdr:colOff>
      <xdr:row>70</xdr:row>
      <xdr:rowOff>11880</xdr:rowOff>
    </xdr:to>
    <xdr:graphicFrame>
      <xdr:nvGraphicFramePr>
        <xdr:cNvPr id="23" name="Chart 7"/>
        <xdr:cNvGraphicFramePr/>
      </xdr:nvGraphicFramePr>
      <xdr:xfrm>
        <a:off x="0" y="10611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101160</xdr:rowOff>
    </xdr:from>
    <xdr:to>
      <xdr:col>10</xdr:col>
      <xdr:colOff>202320</xdr:colOff>
      <xdr:row>35</xdr:row>
      <xdr:rowOff>102240</xdr:rowOff>
    </xdr:to>
    <xdr:graphicFrame>
      <xdr:nvGraphicFramePr>
        <xdr:cNvPr id="24" name="Chart 1"/>
        <xdr:cNvGraphicFramePr/>
      </xdr:nvGraphicFramePr>
      <xdr:xfrm>
        <a:off x="0" y="404820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100800</xdr:rowOff>
    </xdr:from>
    <xdr:to>
      <xdr:col>10</xdr:col>
      <xdr:colOff>202320</xdr:colOff>
      <xdr:row>54</xdr:row>
      <xdr:rowOff>102240</xdr:rowOff>
    </xdr:to>
    <xdr:graphicFrame>
      <xdr:nvGraphicFramePr>
        <xdr:cNvPr id="25" name="Chart 2"/>
        <xdr:cNvGraphicFramePr/>
      </xdr:nvGraphicFramePr>
      <xdr:xfrm>
        <a:off x="0" y="76676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true"/>
  </sheetPr>
  <dimension ref="A1:T1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0" min="2" style="0" width="1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2" t="str">
        <f aca="true">"Powerlifting · CrossFit · HYROX   |   " &amp; AthleteName &amp; "   |   Today: " &amp; TEXT(TODAY(),"dddd, mmmm d, yyyy")</f>
        <v>Powerlifting · CrossFit · HYROX   |   Athlete   |   Today: Thursday, July 30, 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21.75" hidden="false" customHeight="true" outlineLevel="0" collapsed="false">
      <c r="A3" s="3" t="str">
        <f aca="false">HYPERLINK("#'Daily Tracker'!A1","📅 Daily")</f>
        <v>📅 Daily</v>
      </c>
      <c r="B3" s="3"/>
      <c r="C3" s="3" t="str">
        <f aca="false">HYPERLINK("#'Workout Log'!A1","🏋️ Workouts")</f>
        <v>🏋️ Workouts</v>
      </c>
      <c r="D3" s="3"/>
      <c r="E3" s="3" t="str">
        <f aca="false">HYPERLINK("#'Cardio &amp; HYROX Log'!A1","🏃 Cardio")</f>
        <v>🏃 Cardio</v>
      </c>
      <c r="F3" s="3"/>
      <c r="G3" s="3" t="str">
        <f aca="false">HYPERLINK("#'Recovery Tracker'!A1","🛌 Recovery")</f>
        <v>🛌 Recovery</v>
      </c>
      <c r="H3" s="3"/>
      <c r="I3" s="3" t="str">
        <f aca="false">HYPERLINK("#'Nutrition Tracker'!A1","🥗 Nutrition")</f>
        <v>🥗 Nutrition</v>
      </c>
      <c r="J3" s="3"/>
      <c r="K3" s="3" t="str">
        <f aca="false">HYPERLINK("#'Weekly Dashboard'!A1","📊 Weekly")</f>
        <v>📊 Weekly</v>
      </c>
      <c r="L3" s="3"/>
      <c r="M3" s="3" t="str">
        <f aca="false">HYPERLINK("#'Monthly Dashboard'!A1","🗓 Monthly")</f>
        <v>🗓 Monthly</v>
      </c>
      <c r="N3" s="3"/>
      <c r="O3" s="3" t="str">
        <f aca="false">HYPERLINK("#'Personal Record (PR) Tracker'!A1","🏆 PRs")</f>
        <v>🏆 PRs</v>
      </c>
      <c r="P3" s="3"/>
      <c r="Q3" s="3" t="str">
        <f aca="false">HYPERLINK("#'Goals &amp; Settings'!A1","⚙️ Settings")</f>
        <v>⚙️ Settings</v>
      </c>
      <c r="R3" s="3"/>
      <c r="S3" s="4"/>
      <c r="T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21.75" hidden="false" customHeight="true" outlineLevel="0" collapsed="false">
      <c r="A5" s="5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6" t="s">
        <v>2</v>
      </c>
      <c r="B6" s="6"/>
      <c r="C6" s="6"/>
      <c r="D6" s="6"/>
      <c r="E6" s="4"/>
      <c r="F6" s="6" t="s">
        <v>3</v>
      </c>
      <c r="G6" s="6"/>
      <c r="H6" s="6"/>
      <c r="I6" s="6"/>
      <c r="J6" s="4"/>
      <c r="K6" s="6" t="s">
        <v>4</v>
      </c>
      <c r="L6" s="6"/>
      <c r="M6" s="6"/>
      <c r="N6" s="6"/>
      <c r="O6" s="4"/>
      <c r="P6" s="6" t="s">
        <v>5</v>
      </c>
      <c r="Q6" s="6"/>
      <c r="R6" s="6"/>
      <c r="S6" s="6"/>
      <c r="T6" s="4"/>
    </row>
    <row r="7" customFormat="false" ht="15" hidden="false" customHeight="false" outlineLevel="0" collapsed="false">
      <c r="A7" s="7" t="n">
        <f aca="false">SUM('Daily Tracker'!E5:E369)</f>
        <v>11500</v>
      </c>
      <c r="B7" s="7"/>
      <c r="C7" s="7"/>
      <c r="D7" s="7"/>
      <c r="E7" s="4"/>
      <c r="F7" s="7" t="n">
        <f aca="false">IFERROR(AVERAGE('Daily Tracker'!E5:E369),0)</f>
        <v>11500</v>
      </c>
      <c r="G7" s="7"/>
      <c r="H7" s="7"/>
      <c r="I7" s="7"/>
      <c r="J7" s="4"/>
      <c r="K7" s="8" t="n">
        <f aca="false">IFERROR(AVERAGE('Daily Tracker'!F5:F369),0)</f>
        <v>7.5</v>
      </c>
      <c r="L7" s="8"/>
      <c r="M7" s="8"/>
      <c r="N7" s="8"/>
      <c r="O7" s="4"/>
      <c r="P7" s="7" t="n">
        <f aca="false">SUM('Daily Tracker'!X5:X369)</f>
        <v>1</v>
      </c>
      <c r="Q7" s="7"/>
      <c r="R7" s="7"/>
      <c r="S7" s="7"/>
      <c r="T7" s="4"/>
    </row>
    <row r="8" customFormat="false" ht="15" hidden="false" customHeight="false" outlineLevel="0" collapsed="false">
      <c r="A8" s="7"/>
      <c r="B8" s="7"/>
      <c r="C8" s="7"/>
      <c r="D8" s="7"/>
      <c r="E8" s="4"/>
      <c r="F8" s="7"/>
      <c r="G8" s="7"/>
      <c r="H8" s="7"/>
      <c r="I8" s="7"/>
      <c r="J8" s="4"/>
      <c r="K8" s="8"/>
      <c r="L8" s="8"/>
      <c r="M8" s="8"/>
      <c r="N8" s="8"/>
      <c r="O8" s="4"/>
      <c r="P8" s="7"/>
      <c r="Q8" s="7"/>
      <c r="R8" s="7"/>
      <c r="S8" s="7"/>
      <c r="T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15" hidden="false" customHeight="false" outlineLevel="0" collapsed="false">
      <c r="A10" s="6" t="s">
        <v>6</v>
      </c>
      <c r="B10" s="6"/>
      <c r="C10" s="6"/>
      <c r="D10" s="6"/>
      <c r="E10" s="4"/>
      <c r="F10" s="6" t="s">
        <v>7</v>
      </c>
      <c r="G10" s="6"/>
      <c r="H10" s="6"/>
      <c r="I10" s="6"/>
      <c r="J10" s="4"/>
      <c r="K10" s="6" t="s">
        <v>8</v>
      </c>
      <c r="L10" s="6"/>
      <c r="M10" s="6"/>
      <c r="N10" s="6"/>
      <c r="O10" s="4"/>
      <c r="P10" s="6" t="s">
        <v>9</v>
      </c>
      <c r="Q10" s="6"/>
      <c r="R10" s="6"/>
      <c r="S10" s="6"/>
      <c r="T10" s="4"/>
    </row>
    <row r="11" customFormat="false" ht="15" hidden="false" customHeight="false" outlineLevel="0" collapsed="false">
      <c r="A11" s="9" t="n">
        <f aca="false">SUM('Daily Tracker'!M5:M369)/60</f>
        <v>1.25</v>
      </c>
      <c r="B11" s="9"/>
      <c r="C11" s="9"/>
      <c r="D11" s="9"/>
      <c r="E11" s="4"/>
      <c r="F11" s="7" t="n">
        <f aca="false">SUM('Daily Tracker'!K5:K369)</f>
        <v>3100</v>
      </c>
      <c r="G11" s="7"/>
      <c r="H11" s="7"/>
      <c r="I11" s="7"/>
      <c r="J11" s="4"/>
      <c r="K11" s="10" t="n">
        <f aca="false">SUM('Daily Tracker'!I5:I369)</f>
        <v>4.2</v>
      </c>
      <c r="L11" s="10"/>
      <c r="M11" s="10"/>
      <c r="N11" s="10"/>
      <c r="O11" s="4"/>
      <c r="P11" s="11" t="n">
        <f aca="false">IFERROR(LOOKUP(2,1/('Daily Tracker'!$G$5:$G$369&lt;&gt;""),'Daily Tracker'!$G$5:$G$369),StartWeight)</f>
        <v>76</v>
      </c>
      <c r="Q11" s="11"/>
      <c r="R11" s="11"/>
      <c r="S11" s="11"/>
      <c r="T11" s="4"/>
    </row>
    <row r="12" customFormat="false" ht="15" hidden="false" customHeight="false" outlineLevel="0" collapsed="false">
      <c r="A12" s="9"/>
      <c r="B12" s="9"/>
      <c r="C12" s="9"/>
      <c r="D12" s="9"/>
      <c r="E12" s="4"/>
      <c r="F12" s="7"/>
      <c r="G12" s="7"/>
      <c r="H12" s="7"/>
      <c r="I12" s="7"/>
      <c r="J12" s="4"/>
      <c r="K12" s="10"/>
      <c r="L12" s="10"/>
      <c r="M12" s="10"/>
      <c r="N12" s="10"/>
      <c r="O12" s="4"/>
      <c r="P12" s="11"/>
      <c r="Q12" s="11"/>
      <c r="R12" s="11"/>
      <c r="S12" s="11"/>
      <c r="T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5" hidden="false" customHeight="false" outlineLevel="0" collapsed="false">
      <c r="A14" s="6" t="s">
        <v>10</v>
      </c>
      <c r="B14" s="6"/>
      <c r="C14" s="6"/>
      <c r="D14" s="6"/>
      <c r="E14" s="4"/>
      <c r="F14" s="6" t="s">
        <v>11</v>
      </c>
      <c r="G14" s="6"/>
      <c r="H14" s="6"/>
      <c r="I14" s="6"/>
      <c r="J14" s="4"/>
      <c r="K14" s="6" t="s">
        <v>12</v>
      </c>
      <c r="L14" s="6"/>
      <c r="M14" s="6"/>
      <c r="N14" s="6"/>
      <c r="O14" s="4"/>
      <c r="P14" s="6" t="s">
        <v>13</v>
      </c>
      <c r="Q14" s="6"/>
      <c r="R14" s="6"/>
      <c r="S14" s="6"/>
      <c r="T14" s="4"/>
    </row>
    <row r="15" customFormat="false" ht="22.05" hidden="false" customHeight="false" outlineLevel="0" collapsed="false">
      <c r="A15" s="12" t="n">
        <f aca="false">IFERROR(LOOKUP(2,1/('Daily Tracker'!$G$5:$G$369&lt;&gt;""),'Daily Tracker'!$G$5:$G$369),StartWeight)-StartWeight</f>
        <v>1</v>
      </c>
      <c r="B15" s="12"/>
      <c r="C15" s="12"/>
      <c r="D15" s="12"/>
      <c r="E15" s="4"/>
      <c r="F15" s="13" t="n">
        <f aca="true">IFERROR(INDEX('Daily Tracker'!$Y$5:$Y$369,MATCH(TODAY(),'Daily Tracker'!$A$5:$A$369,0)),0)</f>
        <v>0</v>
      </c>
      <c r="G15" s="13"/>
      <c r="H15" s="13"/>
      <c r="I15" s="13"/>
      <c r="J15" s="4"/>
      <c r="K15" s="14" t="n">
        <f aca="true">IFERROR(SUM('Daily Tracker'!X5:X369)/(SessionsGoal/7*(TODAY()-StartDate+1)),0)</f>
        <v>0.00663507109004739</v>
      </c>
      <c r="L15" s="14"/>
      <c r="M15" s="14"/>
      <c r="N15" s="14"/>
      <c r="O15" s="4"/>
      <c r="P15" s="15" t="n">
        <f aca="false">IFERROR(LOOKUP(2,1/('Recovery Tracker'!$E$5:$E$369&lt;&gt;""),'Recovery Tracker'!$E$5:$E$369),0)</f>
        <v>84</v>
      </c>
      <c r="Q15" s="15"/>
      <c r="R15" s="15"/>
      <c r="S15" s="15"/>
      <c r="T15" s="4"/>
    </row>
    <row r="16" customFormat="false" ht="15" hidden="false" customHeight="false" outlineLevel="0" collapsed="false">
      <c r="A16" s="12"/>
      <c r="B16" s="12"/>
      <c r="C16" s="12"/>
      <c r="D16" s="12"/>
      <c r="E16" s="4"/>
      <c r="F16" s="13"/>
      <c r="G16" s="13"/>
      <c r="H16" s="13"/>
      <c r="I16" s="13"/>
      <c r="J16" s="4"/>
      <c r="K16" s="14"/>
      <c r="L16" s="14"/>
      <c r="M16" s="14"/>
      <c r="N16" s="14"/>
      <c r="O16" s="4"/>
      <c r="P16" s="16" t="s">
        <v>14</v>
      </c>
      <c r="Q16" s="16"/>
      <c r="R16" s="16"/>
      <c r="S16" s="16"/>
      <c r="T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15" hidden="false" customHeight="false" outlineLevel="0" collapsed="false">
      <c r="A18" s="6" t="s">
        <v>15</v>
      </c>
      <c r="B18" s="6"/>
      <c r="C18" s="6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22.05" hidden="false" customHeight="false" outlineLevel="0" collapsed="false">
      <c r="A19" s="17" t="n">
        <f aca="true">IFERROR(AVERAGEIFS('Daily Tracker'!$AC$5:$AC$369,'Daily Tracker'!$D$5:$D$369,TEXT(TODAY(),"mmm")),0)</f>
        <v>0</v>
      </c>
      <c r="B19" s="17"/>
      <c r="C19" s="17"/>
      <c r="D19" s="1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15" hidden="false" customHeight="false" outlineLevel="0" collapsed="false">
      <c r="A20" s="16" t="s">
        <v>16</v>
      </c>
      <c r="B20" s="16"/>
      <c r="C20" s="16"/>
      <c r="D20" s="1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21.75" hidden="false" customHeight="true" outlineLevel="0" collapsed="false">
      <c r="A22" s="18" t="s">
        <v>17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customFormat="false" ht="15" hidden="false" customHeight="false" outlineLevel="0" collapsed="false">
      <c r="A23" s="6" t="s">
        <v>18</v>
      </c>
      <c r="B23" s="6"/>
      <c r="C23" s="6"/>
      <c r="D23" s="6"/>
      <c r="E23" s="4"/>
      <c r="F23" s="6" t="s">
        <v>19</v>
      </c>
      <c r="G23" s="6"/>
      <c r="H23" s="6"/>
      <c r="I23" s="6"/>
      <c r="J23" s="4"/>
      <c r="K23" s="6" t="s">
        <v>20</v>
      </c>
      <c r="L23" s="6"/>
      <c r="M23" s="6"/>
      <c r="N23" s="6"/>
      <c r="O23" s="4"/>
      <c r="P23" s="6" t="s">
        <v>21</v>
      </c>
      <c r="Q23" s="6"/>
      <c r="R23" s="6"/>
      <c r="S23" s="6"/>
      <c r="T23" s="4"/>
    </row>
    <row r="24" customFormat="false" ht="22.05" hidden="false" customHeight="false" outlineLevel="0" collapsed="false">
      <c r="A24" s="19" t="n">
        <f aca="true">IFERROR(INDEX('Daily Tracker'!$Y$5:$Y$369,MATCH(TODAY(),'Daily Tracker'!$A$5:$A$369,0)),0)</f>
        <v>0</v>
      </c>
      <c r="B24" s="19"/>
      <c r="C24" s="19"/>
      <c r="D24" s="19"/>
      <c r="E24" s="4"/>
      <c r="F24" s="19" t="n">
        <f aca="true">IFERROR(INDEX('Daily Tracker'!$Z$5:$Z$369,MATCH(TODAY(),'Daily Tracker'!$A$5:$A$369,0)),0)</f>
        <v>0</v>
      </c>
      <c r="G24" s="19"/>
      <c r="H24" s="19"/>
      <c r="I24" s="19"/>
      <c r="J24" s="4"/>
      <c r="K24" s="19" t="n">
        <f aca="true">IFERROR(INDEX('Daily Tracker'!$AA$5:$AA$369,MATCH(TODAY(),'Daily Tracker'!$A$5:$A$369,0)),0)</f>
        <v>0</v>
      </c>
      <c r="L24" s="19"/>
      <c r="M24" s="19"/>
      <c r="N24" s="19"/>
      <c r="O24" s="4"/>
      <c r="P24" s="19" t="n">
        <f aca="true">IFERROR(INDEX('Daily Tracker'!$AB$5:$AB$369,MATCH(TODAY(),'Daily Tracker'!$A$5:$A$369,0)),0)</f>
        <v>0</v>
      </c>
      <c r="Q24" s="19"/>
      <c r="R24" s="19"/>
      <c r="S24" s="19"/>
      <c r="T24" s="4"/>
    </row>
    <row r="25" customFormat="false" ht="15" hidden="false" customHeight="false" outlineLevel="0" collapsed="false">
      <c r="A25" s="16" t="s">
        <v>22</v>
      </c>
      <c r="B25" s="16"/>
      <c r="C25" s="16"/>
      <c r="D25" s="16"/>
      <c r="E25" s="4"/>
      <c r="F25" s="16" t="s">
        <v>22</v>
      </c>
      <c r="G25" s="16"/>
      <c r="H25" s="16"/>
      <c r="I25" s="16"/>
      <c r="J25" s="4"/>
      <c r="K25" s="16" t="s">
        <v>22</v>
      </c>
      <c r="L25" s="16"/>
      <c r="M25" s="16"/>
      <c r="N25" s="16"/>
      <c r="O25" s="4"/>
      <c r="P25" s="16" t="s">
        <v>22</v>
      </c>
      <c r="Q25" s="16"/>
      <c r="R25" s="16"/>
      <c r="S25" s="16"/>
      <c r="T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5" hidden="false" customHeight="false" outlineLevel="0" collapsed="false">
      <c r="A27" s="20" t="str">
        <f aca="false">"🔥 Longest streak ever: " &amp; MAX('Daily Tracker'!Y5:Y369) &amp; " consecutive workout days"</f>
        <v>🔥 Longest streak ever: 1 consecutive workout days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21.75" hidden="false" customHeight="true" outlineLevel="0" collapsed="false">
      <c r="A29" s="21" t="s">
        <v>23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customFormat="false" ht="15" hidden="false" customHeight="false" outlineLevel="0" collapsed="false">
      <c r="A30" s="22" t="s">
        <v>24</v>
      </c>
      <c r="B30" s="22"/>
      <c r="C30" s="22"/>
      <c r="D30" s="22"/>
      <c r="E30" s="22" t="s">
        <v>25</v>
      </c>
      <c r="F30" s="22"/>
      <c r="G30" s="22"/>
      <c r="H30" s="22"/>
      <c r="I30" s="22" t="s">
        <v>26</v>
      </c>
      <c r="J30" s="22"/>
      <c r="K30" s="22"/>
      <c r="L30" s="22"/>
      <c r="M30" s="22" t="s">
        <v>27</v>
      </c>
      <c r="N30" s="22"/>
      <c r="O30" s="22"/>
      <c r="P30" s="22"/>
      <c r="Q30" s="22" t="s">
        <v>28</v>
      </c>
      <c r="R30" s="22"/>
      <c r="S30" s="22"/>
      <c r="T30" s="22"/>
    </row>
    <row r="31" customFormat="false" ht="15" hidden="false" customHeight="false" outlineLevel="0" collapsed="false">
      <c r="A31" s="23" t="str">
        <f aca="false">IF(SUM('Daily Tracker'!X5:X369)&gt;=1,"✅ Unlocked","🔒 Locked")</f>
        <v>✅ Unlocked</v>
      </c>
      <c r="B31" s="23"/>
      <c r="C31" s="23"/>
      <c r="D31" s="23"/>
      <c r="E31" s="23" t="str">
        <f aca="false">IF(MAX('Daily Tracker'!Y5:Y369)&gt;=5,"✅ Unlocked","🔒 Locked")</f>
        <v>🔒 Locked</v>
      </c>
      <c r="F31" s="23"/>
      <c r="G31" s="23"/>
      <c r="H31" s="23"/>
      <c r="I31" s="23" t="str">
        <f aca="false">IF(MAX('Daily Tracker'!Y5:Y369)&gt;=10,"✅ Unlocked","🔒 Locked")</f>
        <v>🔒 Locked</v>
      </c>
      <c r="J31" s="23"/>
      <c r="K31" s="23"/>
      <c r="L31" s="23"/>
      <c r="M31" s="23" t="str">
        <f aca="false">IF(MAX('Daily Tracker'!Y5:Y369)&gt;=30,"✅ Unlocked","🔒 Locked")</f>
        <v>🔒 Locked</v>
      </c>
      <c r="N31" s="23"/>
      <c r="O31" s="23"/>
      <c r="P31" s="23"/>
      <c r="Q31" s="23" t="str">
        <f aca="false">IF(MAX('Weekly Dashboard'!C5:C57)&gt;=100000,"✅ Unlocked","🔒 Locked")</f>
        <v>🔒 Locked</v>
      </c>
      <c r="R31" s="23"/>
      <c r="S31" s="23"/>
      <c r="T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5" hidden="false" customHeight="false" outlineLevel="0" collapsed="false">
      <c r="A34" s="22" t="s">
        <v>29</v>
      </c>
      <c r="B34" s="22"/>
      <c r="C34" s="22"/>
      <c r="D34" s="22"/>
      <c r="E34" s="22" t="s">
        <v>30</v>
      </c>
      <c r="F34" s="22"/>
      <c r="G34" s="22"/>
      <c r="H34" s="22"/>
      <c r="I34" s="22" t="s">
        <v>31</v>
      </c>
      <c r="J34" s="22"/>
      <c r="K34" s="22"/>
      <c r="L34" s="22"/>
      <c r="M34" s="22" t="s">
        <v>32</v>
      </c>
      <c r="N34" s="22"/>
      <c r="O34" s="22"/>
      <c r="P34" s="22"/>
      <c r="Q34" s="22" t="s">
        <v>33</v>
      </c>
      <c r="R34" s="22"/>
      <c r="S34" s="22"/>
      <c r="T34" s="22"/>
    </row>
    <row r="35" customFormat="false" ht="15" hidden="false" customHeight="false" outlineLevel="0" collapsed="false">
      <c r="A35" s="23" t="str">
        <f aca="false">IF(MAX('Weekly Dashboard'!L5:L57)&gt;=95,"✅ Unlocked","🔒 Locked")</f>
        <v>🔒 Locked</v>
      </c>
      <c r="B35" s="23"/>
      <c r="C35" s="23"/>
      <c r="D35" s="23"/>
      <c r="E35" s="23" t="str">
        <f aca="false">IF(MAX('Daily Tracker'!AA5:AA369)&gt;=7,"✅ Unlocked","🔒 Locked")</f>
        <v>🔒 Locked</v>
      </c>
      <c r="F35" s="23"/>
      <c r="G35" s="23"/>
      <c r="H35" s="23"/>
      <c r="I35" s="23" t="str">
        <f aca="false">IF(MAX('Daily Tracker'!AB5:AB369)&gt;=7,"✅ Unlocked","🔒 Locked")</f>
        <v>🔒 Locked</v>
      </c>
      <c r="J35" s="23"/>
      <c r="K35" s="23"/>
      <c r="L35" s="23"/>
      <c r="M35" s="23" t="str">
        <f aca="true">IF(COUNTIFS('Workout Log'!$A$5:$A$504,"&gt;="&amp;(TODAY()-7),'Workout Log'!$I$5:$I$504,"Yes")&gt;0,"✅ Unlocked","🔒 Locked")</f>
        <v>🔒 Locked</v>
      </c>
      <c r="N35" s="23"/>
      <c r="O35" s="23"/>
      <c r="P35" s="23"/>
      <c r="Q35" s="23" t="str">
        <f aca="false">IF(MAX('Monthly Dashboard'!N5:N16)&gt;=0.9,"✅ Unlocked","🔒 Locked")</f>
        <v>🔒 Locked</v>
      </c>
      <c r="R35" s="23"/>
      <c r="S35" s="23"/>
      <c r="T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21.75" hidden="false" customHeight="true" outlineLevel="0" collapsed="false">
      <c r="A40" s="5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</sheetData>
  <mergeCells count="76">
    <mergeCell ref="A1:T1"/>
    <mergeCell ref="A2:T2"/>
    <mergeCell ref="A3:B3"/>
    <mergeCell ref="C3:D3"/>
    <mergeCell ref="E3:F3"/>
    <mergeCell ref="G3:H3"/>
    <mergeCell ref="I3:J3"/>
    <mergeCell ref="K3:L3"/>
    <mergeCell ref="M3:N3"/>
    <mergeCell ref="O3:P3"/>
    <mergeCell ref="Q3:R3"/>
    <mergeCell ref="A5:T5"/>
    <mergeCell ref="A6:D6"/>
    <mergeCell ref="F6:I6"/>
    <mergeCell ref="K6:N6"/>
    <mergeCell ref="P6:S6"/>
    <mergeCell ref="A7:D8"/>
    <mergeCell ref="F7:I8"/>
    <mergeCell ref="K7:N8"/>
    <mergeCell ref="P7:S8"/>
    <mergeCell ref="A10:D10"/>
    <mergeCell ref="F10:I10"/>
    <mergeCell ref="K10:N10"/>
    <mergeCell ref="P10:S10"/>
    <mergeCell ref="A11:D12"/>
    <mergeCell ref="F11:I12"/>
    <mergeCell ref="K11:N12"/>
    <mergeCell ref="P11:S12"/>
    <mergeCell ref="A14:D14"/>
    <mergeCell ref="F14:I14"/>
    <mergeCell ref="K14:N14"/>
    <mergeCell ref="P14:S14"/>
    <mergeCell ref="A15:D16"/>
    <mergeCell ref="F15:I16"/>
    <mergeCell ref="K15:N16"/>
    <mergeCell ref="P15:S15"/>
    <mergeCell ref="P16:S16"/>
    <mergeCell ref="A18:D18"/>
    <mergeCell ref="A19:D19"/>
    <mergeCell ref="A20:D20"/>
    <mergeCell ref="A22:T22"/>
    <mergeCell ref="A23:D23"/>
    <mergeCell ref="F23:I23"/>
    <mergeCell ref="K23:N23"/>
    <mergeCell ref="P23:S23"/>
    <mergeCell ref="A24:D24"/>
    <mergeCell ref="F24:I24"/>
    <mergeCell ref="K24:N24"/>
    <mergeCell ref="P24:S24"/>
    <mergeCell ref="A25:D25"/>
    <mergeCell ref="F25:I25"/>
    <mergeCell ref="K25:N25"/>
    <mergeCell ref="P25:S25"/>
    <mergeCell ref="A27:T27"/>
    <mergeCell ref="A29:T29"/>
    <mergeCell ref="A30:D30"/>
    <mergeCell ref="E30:H30"/>
    <mergeCell ref="I30:L30"/>
    <mergeCell ref="M30:P30"/>
    <mergeCell ref="Q30:T30"/>
    <mergeCell ref="A31:D32"/>
    <mergeCell ref="E31:H32"/>
    <mergeCell ref="I31:L32"/>
    <mergeCell ref="M31:P32"/>
    <mergeCell ref="Q31:T32"/>
    <mergeCell ref="A34:D34"/>
    <mergeCell ref="E34:H34"/>
    <mergeCell ref="I34:L34"/>
    <mergeCell ref="M34:P34"/>
    <mergeCell ref="Q34:T34"/>
    <mergeCell ref="A35:D36"/>
    <mergeCell ref="E35:H36"/>
    <mergeCell ref="I35:L36"/>
    <mergeCell ref="M35:P36"/>
    <mergeCell ref="Q35:T36"/>
    <mergeCell ref="A40:T40"/>
  </mergeCells>
  <printOptions headings="false" gridLines="false" gridLinesSet="true" horizontalCentered="false" verticalCentered="false"/>
  <pageMargins left="0.3" right="0.3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&amp;N&amp;R&amp;F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AG3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6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10" min="9" style="0" width="8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6"/>
    <col collapsed="false" customWidth="true" hidden="false" outlineLevel="0" max="16" min="15" style="0" width="7"/>
    <col collapsed="false" customWidth="true" hidden="false" outlineLevel="0" max="17" min="17" style="0" width="8"/>
    <col collapsed="false" customWidth="true" hidden="false" outlineLevel="0" max="18" min="18" style="0" width="7"/>
    <col collapsed="false" customWidth="true" hidden="false" outlineLevel="0" max="19" min="19" style="0" width="22"/>
    <col collapsed="false" customWidth="true" hidden="false" outlineLevel="0" max="23" min="20" style="0" width="10"/>
    <col collapsed="false" customWidth="true" hidden="true" outlineLevel="0" max="24" min="24" style="0" width="6"/>
    <col collapsed="false" customWidth="true" hidden="false" outlineLevel="0" max="25" min="25" style="0" width="10"/>
    <col collapsed="false" customWidth="true" hidden="false" outlineLevel="0" max="28" min="26" style="0" width="9"/>
    <col collapsed="false" customWidth="true" hidden="false" outlineLevel="0" max="29" min="29" style="0" width="10"/>
  </cols>
  <sheetData>
    <row r="1" customFormat="false" ht="39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8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6" hidden="false" customHeight="true" outlineLevel="0" collapsed="false"/>
    <row r="4" customFormat="false" ht="21.75" hidden="false" customHeight="true" outlineLevel="0" collapsed="false">
      <c r="A4" s="24" t="s">
        <v>37</v>
      </c>
      <c r="B4" s="24" t="s">
        <v>38</v>
      </c>
      <c r="C4" s="24" t="s">
        <v>39</v>
      </c>
      <c r="D4" s="24" t="s">
        <v>40</v>
      </c>
      <c r="E4" s="24" t="s">
        <v>41</v>
      </c>
      <c r="F4" s="24" t="s">
        <v>42</v>
      </c>
      <c r="G4" s="24" t="s">
        <v>43</v>
      </c>
      <c r="H4" s="24" t="s">
        <v>44</v>
      </c>
      <c r="I4" s="24" t="s">
        <v>45</v>
      </c>
      <c r="J4" s="24" t="s">
        <v>46</v>
      </c>
      <c r="K4" s="24" t="s">
        <v>47</v>
      </c>
      <c r="L4" s="24" t="s">
        <v>48</v>
      </c>
      <c r="M4" s="24" t="s">
        <v>49</v>
      </c>
      <c r="N4" s="24" t="s">
        <v>50</v>
      </c>
      <c r="O4" s="24" t="s">
        <v>51</v>
      </c>
      <c r="P4" s="24" t="s">
        <v>52</v>
      </c>
      <c r="Q4" s="24" t="s">
        <v>53</v>
      </c>
      <c r="R4" s="24" t="s">
        <v>54</v>
      </c>
      <c r="S4" s="24" t="s">
        <v>55</v>
      </c>
      <c r="T4" s="24" t="s">
        <v>56</v>
      </c>
      <c r="U4" s="24" t="s">
        <v>57</v>
      </c>
      <c r="V4" s="24" t="s">
        <v>58</v>
      </c>
      <c r="W4" s="24" t="s">
        <v>59</v>
      </c>
      <c r="X4" s="24" t="s">
        <v>60</v>
      </c>
      <c r="Y4" s="24" t="s">
        <v>61</v>
      </c>
      <c r="Z4" s="24" t="s">
        <v>62</v>
      </c>
      <c r="AA4" s="24" t="s">
        <v>63</v>
      </c>
      <c r="AB4" s="24" t="s">
        <v>64</v>
      </c>
      <c r="AC4" s="24" t="s">
        <v>65</v>
      </c>
      <c r="AE4" s="25" t="s">
        <v>66</v>
      </c>
      <c r="AF4" s="25"/>
      <c r="AG4" s="25"/>
    </row>
    <row r="5" customFormat="false" ht="15" hidden="false" customHeight="false" outlineLevel="0" collapsed="false">
      <c r="A5" s="26" t="n">
        <f aca="false">StartDate</f>
        <v>46023</v>
      </c>
      <c r="B5" s="27" t="str">
        <f aca="false">TEXT(A5,"ddd")</f>
        <v>Thu</v>
      </c>
      <c r="C5" s="27" t="n">
        <f aca="false">INT((A5-StartDate)/7)+1</f>
        <v>1</v>
      </c>
      <c r="D5" s="27" t="str">
        <f aca="false">TEXT(A5,"mmm")</f>
        <v>Jan</v>
      </c>
      <c r="E5" s="28" t="n">
        <v>11500</v>
      </c>
      <c r="F5" s="29" t="n">
        <v>7.5</v>
      </c>
      <c r="G5" s="29" t="n">
        <v>76</v>
      </c>
      <c r="H5" s="30" t="n">
        <v>17.8</v>
      </c>
      <c r="I5" s="29" t="n">
        <v>4.2</v>
      </c>
      <c r="J5" s="28" t="n">
        <v>2850</v>
      </c>
      <c r="K5" s="28" t="n">
        <v>3100</v>
      </c>
      <c r="L5" s="31" t="s">
        <v>67</v>
      </c>
      <c r="M5" s="28" t="n">
        <v>75</v>
      </c>
      <c r="N5" s="31" t="n">
        <v>8</v>
      </c>
      <c r="O5" s="31" t="n">
        <v>4</v>
      </c>
      <c r="P5" s="31" t="n">
        <v>4</v>
      </c>
      <c r="Q5" s="31" t="n">
        <v>4</v>
      </c>
      <c r="R5" s="31" t="n">
        <v>2</v>
      </c>
      <c r="S5" s="32" t="s">
        <v>68</v>
      </c>
      <c r="T5" s="33" t="n">
        <f aca="false">IF(E5="","",E5/StepGoal)</f>
        <v>1.15</v>
      </c>
      <c r="U5" s="33" t="n">
        <f aca="false">IF(F5="","",F5/SleepGoal)</f>
        <v>0.9375</v>
      </c>
      <c r="V5" s="33" t="n">
        <f aca="false">IF(I5="","",I5/WaterGoal)</f>
        <v>1.05</v>
      </c>
      <c r="W5" s="33" t="n">
        <f aca="false">IF(COUNT(E5,F5,I5)=0,"",(IF(N(T5)&gt;=1,1,0)+IF(N(U5)&gt;=1,1,0)+IF(N(V5)&gt;=1,1,0))/3)</f>
        <v>0.666666666666667</v>
      </c>
      <c r="X5" s="27" t="n">
        <f aca="false">IF(AND(L5&lt;&gt;"",L5&lt;&gt;"Rest Day"),1,0)</f>
        <v>1</v>
      </c>
      <c r="Y5" s="34" t="n">
        <f aca="false">X5</f>
        <v>1</v>
      </c>
      <c r="Z5" s="34" t="n">
        <f aca="false">IF(N(T5)&gt;=1,1,0)</f>
        <v>1</v>
      </c>
      <c r="AA5" s="34" t="n">
        <f aca="false">IF(N(U5)&gt;=1,1,0)</f>
        <v>0</v>
      </c>
      <c r="AB5" s="34" t="n">
        <f aca="false">IF(N(V5)&gt;=1,1,0)</f>
        <v>1</v>
      </c>
      <c r="AC5" s="34" t="n">
        <f aca="false">IF(COUNT(E5,F5,I5,J5)=0,"",ROUND((MIN(IFERROR(E5/StepGoal,0),1)*100)*0.2+(MIN(IFERROR(F5/SleepGoal,0),1)*100)*0.2+(IF(L5="",0,IF(L5="Rest Day",100,MIN(IFERROR(M5/60,0),1)*100)))*0.25+(IFERROR(INDEX('Recovery Tracker'!$E$5:$E$369,MATCH(A5,'Recovery Tracker'!$A$5:$A$369,0))+0,70))*0.15+(MIN(IFERROR(I5/WaterGoal,0),1)*100)*0.1+(IF(J5="",0,MAX(0,100-MIN(ABS(J5-CalorieGoal)/CalorieGoal,1)*100)))*0.1,0))</f>
        <v>96</v>
      </c>
    </row>
    <row r="6" customFormat="false" ht="15" hidden="false" customHeight="false" outlineLevel="0" collapsed="false">
      <c r="A6" s="35" t="n">
        <f aca="false">A5+1</f>
        <v>46024</v>
      </c>
      <c r="B6" s="36" t="str">
        <f aca="false">TEXT(A6,"ddd")</f>
        <v>Fri</v>
      </c>
      <c r="C6" s="36" t="n">
        <f aca="false">INT((A6-StartDate)/7)+1</f>
        <v>1</v>
      </c>
      <c r="D6" s="36" t="str">
        <f aca="false">TEXT(A6,"mmm")</f>
        <v>Jan</v>
      </c>
      <c r="E6" s="28"/>
      <c r="F6" s="29"/>
      <c r="G6" s="29"/>
      <c r="H6" s="30"/>
      <c r="I6" s="29"/>
      <c r="J6" s="28"/>
      <c r="K6" s="28"/>
      <c r="L6" s="31"/>
      <c r="M6" s="28"/>
      <c r="N6" s="31"/>
      <c r="O6" s="31"/>
      <c r="P6" s="31"/>
      <c r="Q6" s="31"/>
      <c r="R6" s="31"/>
      <c r="S6" s="32"/>
      <c r="T6" s="37" t="str">
        <f aca="false">IF(E6="","",E6/StepGoal)</f>
        <v/>
      </c>
      <c r="U6" s="37" t="str">
        <f aca="false">IF(F6="","",F6/SleepGoal)</f>
        <v/>
      </c>
      <c r="V6" s="37" t="str">
        <f aca="false">IF(I6="","",I6/WaterGoal)</f>
        <v/>
      </c>
      <c r="W6" s="37" t="str">
        <f aca="false">IF(COUNT(E6,F6,I6)=0,"",(IF(N(T6)&gt;=1,1,0)+IF(N(U6)&gt;=1,1,0)+IF(N(V6)&gt;=1,1,0))/3)</f>
        <v/>
      </c>
      <c r="X6" s="36" t="n">
        <f aca="false">IF(AND(L6&lt;&gt;"",L6&lt;&gt;"Rest Day"),1,0)</f>
        <v>0</v>
      </c>
      <c r="Y6" s="38" t="n">
        <f aca="false">IF(X6=1,Y5+1,0)</f>
        <v>0</v>
      </c>
      <c r="Z6" s="38" t="n">
        <f aca="false">IF(N(T6)&gt;=1,Z5+1,0)</f>
        <v>0</v>
      </c>
      <c r="AA6" s="38" t="n">
        <f aca="false">IF(N(U6)&gt;=1,AA5+1,0)</f>
        <v>0</v>
      </c>
      <c r="AB6" s="38" t="n">
        <f aca="false">IF(N(V6)&gt;=1,AB5+1,0)</f>
        <v>0</v>
      </c>
      <c r="AC6" s="38" t="str">
        <f aca="false">IF(COUNT(E6,F6,I6,J6)=0,"",ROUND((MIN(IFERROR(E6/StepGoal,0),1)*100)*0.2+(MIN(IFERROR(F6/SleepGoal,0),1)*100)*0.2+(IF(L6="",0,IF(L6="Rest Day",100,MIN(IFERROR(M6/60,0),1)*100)))*0.25+(IFERROR(INDEX('Recovery Tracker'!$E$5:$E$369,MATCH(A6,'Recovery Tracker'!$A$5:$A$369,0))+0,70))*0.15+(MIN(IFERROR(I6/WaterGoal,0),1)*100)*0.1+(IF(J6="",0,MAX(0,100-MIN(ABS(J6-CalorieGoal)/CalorieGoal,1)*100)))*0.1,0))</f>
        <v/>
      </c>
      <c r="AE6" s="39" t="s">
        <v>69</v>
      </c>
      <c r="AF6" s="39"/>
      <c r="AG6" s="40" t="n">
        <f aca="true">SUMIFS($E$5:$E$369,$C$5:$C$369,INT((TODAY()-StartDate)/7)+1)</f>
        <v>0</v>
      </c>
    </row>
    <row r="7" customFormat="false" ht="15" hidden="false" customHeight="false" outlineLevel="0" collapsed="false">
      <c r="A7" s="26" t="n">
        <f aca="false">A6+1</f>
        <v>46025</v>
      </c>
      <c r="B7" s="27" t="str">
        <f aca="false">TEXT(A7,"ddd")</f>
        <v>Sat</v>
      </c>
      <c r="C7" s="27" t="n">
        <f aca="false">INT((A7-StartDate)/7)+1</f>
        <v>1</v>
      </c>
      <c r="D7" s="27" t="str">
        <f aca="false">TEXT(A7,"mmm")</f>
        <v>Jan</v>
      </c>
      <c r="E7" s="28"/>
      <c r="F7" s="29"/>
      <c r="G7" s="29"/>
      <c r="H7" s="30"/>
      <c r="I7" s="29"/>
      <c r="J7" s="28"/>
      <c r="K7" s="28"/>
      <c r="L7" s="31"/>
      <c r="M7" s="28"/>
      <c r="N7" s="31"/>
      <c r="O7" s="31"/>
      <c r="P7" s="31"/>
      <c r="Q7" s="31"/>
      <c r="R7" s="31"/>
      <c r="S7" s="32"/>
      <c r="T7" s="33" t="str">
        <f aca="false">IF(E7="","",E7/StepGoal)</f>
        <v/>
      </c>
      <c r="U7" s="33" t="str">
        <f aca="false">IF(F7="","",F7/SleepGoal)</f>
        <v/>
      </c>
      <c r="V7" s="33" t="str">
        <f aca="false">IF(I7="","",I7/WaterGoal)</f>
        <v/>
      </c>
      <c r="W7" s="33" t="str">
        <f aca="false">IF(COUNT(E7,F7,I7)=0,"",(IF(N(T7)&gt;=1,1,0)+IF(N(U7)&gt;=1,1,0)+IF(N(V7)&gt;=1,1,0))/3)</f>
        <v/>
      </c>
      <c r="X7" s="27" t="n">
        <f aca="false">IF(AND(L7&lt;&gt;"",L7&lt;&gt;"Rest Day"),1,0)</f>
        <v>0</v>
      </c>
      <c r="Y7" s="34" t="n">
        <f aca="false">IF(X7=1,Y6+1,0)</f>
        <v>0</v>
      </c>
      <c r="Z7" s="34" t="n">
        <f aca="false">IF(N(T7)&gt;=1,Z6+1,0)</f>
        <v>0</v>
      </c>
      <c r="AA7" s="34" t="n">
        <f aca="false">IF(N(U7)&gt;=1,AA6+1,0)</f>
        <v>0</v>
      </c>
      <c r="AB7" s="34" t="n">
        <f aca="false">IF(N(V7)&gt;=1,AB6+1,0)</f>
        <v>0</v>
      </c>
      <c r="AC7" s="34" t="str">
        <f aca="false">IF(COUNT(E7,F7,I7,J7)=0,"",ROUND((MIN(IFERROR(E7/StepGoal,0),1)*100)*0.2+(MIN(IFERROR(F7/SleepGoal,0),1)*100)*0.2+(IF(L7="",0,IF(L7="Rest Day",100,MIN(IFERROR(M7/60,0),1)*100)))*0.25+(IFERROR(INDEX('Recovery Tracker'!$E$5:$E$369,MATCH(A7,'Recovery Tracker'!$A$5:$A$369,0))+0,70))*0.15+(MIN(IFERROR(I7/WaterGoal,0),1)*100)*0.1+(IF(J7="",0,MAX(0,100-MIN(ABS(J7-CalorieGoal)/CalorieGoal,1)*100)))*0.1,0))</f>
        <v/>
      </c>
      <c r="AE7" s="41" t="s">
        <v>70</v>
      </c>
      <c r="AF7" s="41"/>
      <c r="AG7" s="42" t="n">
        <f aca="true">IFERROR(AVERAGEIFS($F$5:$F$369,$C$5:$C$369,INT((TODAY()-StartDate)/7)+1),0)</f>
        <v>0</v>
      </c>
    </row>
    <row r="8" customFormat="false" ht="15" hidden="false" customHeight="false" outlineLevel="0" collapsed="false">
      <c r="A8" s="35" t="n">
        <f aca="false">A7+1</f>
        <v>46026</v>
      </c>
      <c r="B8" s="36" t="str">
        <f aca="false">TEXT(A8,"ddd")</f>
        <v>Sun</v>
      </c>
      <c r="C8" s="36" t="n">
        <f aca="false">INT((A8-StartDate)/7)+1</f>
        <v>1</v>
      </c>
      <c r="D8" s="36" t="str">
        <f aca="false">TEXT(A8,"mmm")</f>
        <v>Jan</v>
      </c>
      <c r="E8" s="28"/>
      <c r="F8" s="29"/>
      <c r="G8" s="29"/>
      <c r="H8" s="30"/>
      <c r="I8" s="29"/>
      <c r="J8" s="28"/>
      <c r="K8" s="28"/>
      <c r="L8" s="31"/>
      <c r="M8" s="28"/>
      <c r="N8" s="31"/>
      <c r="O8" s="31"/>
      <c r="P8" s="31"/>
      <c r="Q8" s="31"/>
      <c r="R8" s="31"/>
      <c r="S8" s="32"/>
      <c r="T8" s="37" t="str">
        <f aca="false">IF(E8="","",E8/StepGoal)</f>
        <v/>
      </c>
      <c r="U8" s="37" t="str">
        <f aca="false">IF(F8="","",F8/SleepGoal)</f>
        <v/>
      </c>
      <c r="V8" s="37" t="str">
        <f aca="false">IF(I8="","",I8/WaterGoal)</f>
        <v/>
      </c>
      <c r="W8" s="37" t="str">
        <f aca="false">IF(COUNT(E8,F8,I8)=0,"",(IF(N(T8)&gt;=1,1,0)+IF(N(U8)&gt;=1,1,0)+IF(N(V8)&gt;=1,1,0))/3)</f>
        <v/>
      </c>
      <c r="X8" s="36" t="n">
        <f aca="false">IF(AND(L8&lt;&gt;"",L8&lt;&gt;"Rest Day"),1,0)</f>
        <v>0</v>
      </c>
      <c r="Y8" s="38" t="n">
        <f aca="false">IF(X8=1,Y7+1,0)</f>
        <v>0</v>
      </c>
      <c r="Z8" s="38" t="n">
        <f aca="false">IF(N(T8)&gt;=1,Z7+1,0)</f>
        <v>0</v>
      </c>
      <c r="AA8" s="38" t="n">
        <f aca="false">IF(N(U8)&gt;=1,AA7+1,0)</f>
        <v>0</v>
      </c>
      <c r="AB8" s="38" t="n">
        <f aca="false">IF(N(V8)&gt;=1,AB7+1,0)</f>
        <v>0</v>
      </c>
      <c r="AC8" s="38" t="str">
        <f aca="false">IF(COUNT(E8,F8,I8,J8)=0,"",ROUND((MIN(IFERROR(E8/StepGoal,0),1)*100)*0.2+(MIN(IFERROR(F8/SleepGoal,0),1)*100)*0.2+(IF(L8="",0,IF(L8="Rest Day",100,MIN(IFERROR(M8/60,0),1)*100)))*0.25+(IFERROR(INDEX('Recovery Tracker'!$E$5:$E$369,MATCH(A8,'Recovery Tracker'!$A$5:$A$369,0))+0,70))*0.15+(MIN(IFERROR(I8/WaterGoal,0),1)*100)*0.1+(IF(J8="",0,MAX(0,100-MIN(ABS(J8-CalorieGoal)/CalorieGoal,1)*100)))*0.1,0))</f>
        <v/>
      </c>
      <c r="AE8" s="39" t="s">
        <v>71</v>
      </c>
      <c r="AF8" s="39"/>
      <c r="AG8" s="43" t="n">
        <f aca="true">COUNTIFS($C$5:$C$369,INT((TODAY()-StartDate)/7)+1,$X$5:$X$369,1)</f>
        <v>0</v>
      </c>
    </row>
    <row r="9" customFormat="false" ht="15" hidden="false" customHeight="false" outlineLevel="0" collapsed="false">
      <c r="A9" s="26" t="n">
        <f aca="false">A8+1</f>
        <v>46027</v>
      </c>
      <c r="B9" s="27" t="str">
        <f aca="false">TEXT(A9,"ddd")</f>
        <v>Mon</v>
      </c>
      <c r="C9" s="27" t="n">
        <f aca="false">INT((A9-StartDate)/7)+1</f>
        <v>1</v>
      </c>
      <c r="D9" s="27" t="str">
        <f aca="false">TEXT(A9,"mmm")</f>
        <v>Jan</v>
      </c>
      <c r="E9" s="28"/>
      <c r="F9" s="29"/>
      <c r="G9" s="29"/>
      <c r="H9" s="30"/>
      <c r="I9" s="29"/>
      <c r="J9" s="28"/>
      <c r="K9" s="28"/>
      <c r="L9" s="31"/>
      <c r="M9" s="28"/>
      <c r="N9" s="31"/>
      <c r="O9" s="31"/>
      <c r="P9" s="31"/>
      <c r="Q9" s="31"/>
      <c r="R9" s="31"/>
      <c r="S9" s="32"/>
      <c r="T9" s="33" t="str">
        <f aca="false">IF(E9="","",E9/StepGoal)</f>
        <v/>
      </c>
      <c r="U9" s="33" t="str">
        <f aca="false">IF(F9="","",F9/SleepGoal)</f>
        <v/>
      </c>
      <c r="V9" s="33" t="str">
        <f aca="false">IF(I9="","",I9/WaterGoal)</f>
        <v/>
      </c>
      <c r="W9" s="33" t="str">
        <f aca="false">IF(COUNT(E9,F9,I9)=0,"",(IF(N(T9)&gt;=1,1,0)+IF(N(U9)&gt;=1,1,0)+IF(N(V9)&gt;=1,1,0))/3)</f>
        <v/>
      </c>
      <c r="X9" s="27" t="n">
        <f aca="false">IF(AND(L9&lt;&gt;"",L9&lt;&gt;"Rest Day"),1,0)</f>
        <v>0</v>
      </c>
      <c r="Y9" s="34" t="n">
        <f aca="false">IF(X9=1,Y8+1,0)</f>
        <v>0</v>
      </c>
      <c r="Z9" s="34" t="n">
        <f aca="false">IF(N(T9)&gt;=1,Z8+1,0)</f>
        <v>0</v>
      </c>
      <c r="AA9" s="34" t="n">
        <f aca="false">IF(N(U9)&gt;=1,AA8+1,0)</f>
        <v>0</v>
      </c>
      <c r="AB9" s="34" t="n">
        <f aca="false">IF(N(V9)&gt;=1,AB8+1,0)</f>
        <v>0</v>
      </c>
      <c r="AC9" s="34" t="str">
        <f aca="false">IF(COUNT(E9,F9,I9,J9)=0,"",ROUND((MIN(IFERROR(E9/StepGoal,0),1)*100)*0.2+(MIN(IFERROR(F9/SleepGoal,0),1)*100)*0.2+(IF(L9="",0,IF(L9="Rest Day",100,MIN(IFERROR(M9/60,0),1)*100)))*0.25+(IFERROR(INDEX('Recovery Tracker'!$E$5:$E$369,MATCH(A9,'Recovery Tracker'!$A$5:$A$369,0))+0,70))*0.15+(MIN(IFERROR(I9/WaterGoal,0),1)*100)*0.1+(IF(J9="",0,MAX(0,100-MIN(ABS(J9-CalorieGoal)/CalorieGoal,1)*100)))*0.1,0))</f>
        <v/>
      </c>
      <c r="AE9" s="41" t="s">
        <v>72</v>
      </c>
      <c r="AF9" s="41"/>
      <c r="AG9" s="42" t="n">
        <f aca="true">SUMIFS($I$5:$I$369,$C$5:$C$369,INT((TODAY()-StartDate)/7)+1)</f>
        <v>0</v>
      </c>
    </row>
    <row r="10" customFormat="false" ht="15" hidden="false" customHeight="false" outlineLevel="0" collapsed="false">
      <c r="A10" s="35" t="n">
        <f aca="false">A9+1</f>
        <v>46028</v>
      </c>
      <c r="B10" s="36" t="str">
        <f aca="false">TEXT(A10,"ddd")</f>
        <v>Tue</v>
      </c>
      <c r="C10" s="36" t="n">
        <f aca="false">INT((A10-StartDate)/7)+1</f>
        <v>1</v>
      </c>
      <c r="D10" s="36" t="str">
        <f aca="false">TEXT(A10,"mmm")</f>
        <v>Jan</v>
      </c>
      <c r="E10" s="28"/>
      <c r="F10" s="29"/>
      <c r="G10" s="29"/>
      <c r="H10" s="30"/>
      <c r="I10" s="29"/>
      <c r="J10" s="28"/>
      <c r="K10" s="28"/>
      <c r="L10" s="31"/>
      <c r="M10" s="28"/>
      <c r="N10" s="31"/>
      <c r="O10" s="31"/>
      <c r="P10" s="31"/>
      <c r="Q10" s="31"/>
      <c r="R10" s="31"/>
      <c r="S10" s="32"/>
      <c r="T10" s="37" t="str">
        <f aca="false">IF(E10="","",E10/StepGoal)</f>
        <v/>
      </c>
      <c r="U10" s="37" t="str">
        <f aca="false">IF(F10="","",F10/SleepGoal)</f>
        <v/>
      </c>
      <c r="V10" s="37" t="str">
        <f aca="false">IF(I10="","",I10/WaterGoal)</f>
        <v/>
      </c>
      <c r="W10" s="37" t="str">
        <f aca="false">IF(COUNT(E10,F10,I10)=0,"",(IF(N(T10)&gt;=1,1,0)+IF(N(U10)&gt;=1,1,0)+IF(N(V10)&gt;=1,1,0))/3)</f>
        <v/>
      </c>
      <c r="X10" s="36" t="n">
        <f aca="false">IF(AND(L10&lt;&gt;"",L10&lt;&gt;"Rest Day"),1,0)</f>
        <v>0</v>
      </c>
      <c r="Y10" s="38" t="n">
        <f aca="false">IF(X10=1,Y9+1,0)</f>
        <v>0</v>
      </c>
      <c r="Z10" s="38" t="n">
        <f aca="false">IF(N(T10)&gt;=1,Z9+1,0)</f>
        <v>0</v>
      </c>
      <c r="AA10" s="38" t="n">
        <f aca="false">IF(N(U10)&gt;=1,AA9+1,0)</f>
        <v>0</v>
      </c>
      <c r="AB10" s="38" t="n">
        <f aca="false">IF(N(V10)&gt;=1,AB9+1,0)</f>
        <v>0</v>
      </c>
      <c r="AC10" s="38" t="str">
        <f aca="false">IF(COUNT(E10,F10,I10,J10)=0,"",ROUND((MIN(IFERROR(E10/StepGoal,0),1)*100)*0.2+(MIN(IFERROR(F10/SleepGoal,0),1)*100)*0.2+(IF(L10="",0,IF(L10="Rest Day",100,MIN(IFERROR(M10/60,0),1)*100)))*0.25+(IFERROR(INDEX('Recovery Tracker'!$E$5:$E$369,MATCH(A10,'Recovery Tracker'!$A$5:$A$369,0))+0,70))*0.15+(MIN(IFERROR(I10/WaterGoal,0),1)*100)*0.1+(IF(J10="",0,MAX(0,100-MIN(ABS(J10-CalorieGoal)/CalorieGoal,1)*100)))*0.1,0))</f>
        <v/>
      </c>
      <c r="AE10" s="39" t="s">
        <v>73</v>
      </c>
      <c r="AF10" s="39"/>
      <c r="AG10" s="40" t="n">
        <f aca="true">SUMIFS($E$5:$E$369,$D$5:$D$369,TEXT(TODAY(),"mmm"))</f>
        <v>0</v>
      </c>
    </row>
    <row r="11" customFormat="false" ht="15" hidden="false" customHeight="false" outlineLevel="0" collapsed="false">
      <c r="A11" s="26" t="n">
        <f aca="false">A10+1</f>
        <v>46029</v>
      </c>
      <c r="B11" s="27" t="str">
        <f aca="false">TEXT(A11,"ddd")</f>
        <v>Wed</v>
      </c>
      <c r="C11" s="27" t="n">
        <f aca="false">INT((A11-StartDate)/7)+1</f>
        <v>1</v>
      </c>
      <c r="D11" s="27" t="str">
        <f aca="false">TEXT(A11,"mmm")</f>
        <v>Jan</v>
      </c>
      <c r="E11" s="28"/>
      <c r="F11" s="29"/>
      <c r="G11" s="29"/>
      <c r="H11" s="30"/>
      <c r="I11" s="29"/>
      <c r="J11" s="28"/>
      <c r="K11" s="28"/>
      <c r="L11" s="31"/>
      <c r="M11" s="28"/>
      <c r="N11" s="31"/>
      <c r="O11" s="31"/>
      <c r="P11" s="31"/>
      <c r="Q11" s="31"/>
      <c r="R11" s="31"/>
      <c r="S11" s="32"/>
      <c r="T11" s="33" t="str">
        <f aca="false">IF(E11="","",E11/StepGoal)</f>
        <v/>
      </c>
      <c r="U11" s="33" t="str">
        <f aca="false">IF(F11="","",F11/SleepGoal)</f>
        <v/>
      </c>
      <c r="V11" s="33" t="str">
        <f aca="false">IF(I11="","",I11/WaterGoal)</f>
        <v/>
      </c>
      <c r="W11" s="33" t="str">
        <f aca="false">IF(COUNT(E11,F11,I11)=0,"",(IF(N(T11)&gt;=1,1,0)+IF(N(U11)&gt;=1,1,0)+IF(N(V11)&gt;=1,1,0))/3)</f>
        <v/>
      </c>
      <c r="X11" s="27" t="n">
        <f aca="false">IF(AND(L11&lt;&gt;"",L11&lt;&gt;"Rest Day"),1,0)</f>
        <v>0</v>
      </c>
      <c r="Y11" s="34" t="n">
        <f aca="false">IF(X11=1,Y10+1,0)</f>
        <v>0</v>
      </c>
      <c r="Z11" s="34" t="n">
        <f aca="false">IF(N(T11)&gt;=1,Z10+1,0)</f>
        <v>0</v>
      </c>
      <c r="AA11" s="34" t="n">
        <f aca="false">IF(N(U11)&gt;=1,AA10+1,0)</f>
        <v>0</v>
      </c>
      <c r="AB11" s="34" t="n">
        <f aca="false">IF(N(V11)&gt;=1,AB10+1,0)</f>
        <v>0</v>
      </c>
      <c r="AC11" s="34" t="str">
        <f aca="false">IF(COUNT(E11,F11,I11,J11)=0,"",ROUND((MIN(IFERROR(E11/StepGoal,0),1)*100)*0.2+(MIN(IFERROR(F11/SleepGoal,0),1)*100)*0.2+(IF(L11="",0,IF(L11="Rest Day",100,MIN(IFERROR(M11/60,0),1)*100)))*0.25+(IFERROR(INDEX('Recovery Tracker'!$E$5:$E$369,MATCH(A11,'Recovery Tracker'!$A$5:$A$369,0))+0,70))*0.15+(MIN(IFERROR(I11/WaterGoal,0),1)*100)*0.1+(IF(J11="",0,MAX(0,100-MIN(ABS(J11-CalorieGoal)/CalorieGoal,1)*100)))*0.1,0))</f>
        <v/>
      </c>
      <c r="AE11" s="41" t="s">
        <v>74</v>
      </c>
      <c r="AF11" s="41"/>
      <c r="AG11" s="42" t="n">
        <f aca="true">IFERROR(AVERAGEIFS($F$5:$F$369,$D$5:$D$369,TEXT(TODAY(),"mmm")),0)</f>
        <v>0</v>
      </c>
    </row>
    <row r="12" customFormat="false" ht="15" hidden="false" customHeight="false" outlineLevel="0" collapsed="false">
      <c r="A12" s="35" t="n">
        <f aca="false">A11+1</f>
        <v>46030</v>
      </c>
      <c r="B12" s="36" t="str">
        <f aca="false">TEXT(A12,"ddd")</f>
        <v>Thu</v>
      </c>
      <c r="C12" s="36" t="n">
        <f aca="false">INT((A12-StartDate)/7)+1</f>
        <v>2</v>
      </c>
      <c r="D12" s="36" t="str">
        <f aca="false">TEXT(A12,"mmm")</f>
        <v>Jan</v>
      </c>
      <c r="E12" s="28"/>
      <c r="F12" s="29"/>
      <c r="G12" s="29"/>
      <c r="H12" s="30"/>
      <c r="I12" s="29"/>
      <c r="J12" s="28"/>
      <c r="K12" s="28"/>
      <c r="L12" s="31"/>
      <c r="M12" s="28"/>
      <c r="N12" s="31"/>
      <c r="O12" s="31"/>
      <c r="P12" s="31"/>
      <c r="Q12" s="31"/>
      <c r="R12" s="31"/>
      <c r="S12" s="32"/>
      <c r="T12" s="37" t="str">
        <f aca="false">IF(E12="","",E12/StepGoal)</f>
        <v/>
      </c>
      <c r="U12" s="37" t="str">
        <f aca="false">IF(F12="","",F12/SleepGoal)</f>
        <v/>
      </c>
      <c r="V12" s="37" t="str">
        <f aca="false">IF(I12="","",I12/WaterGoal)</f>
        <v/>
      </c>
      <c r="W12" s="37" t="str">
        <f aca="false">IF(COUNT(E12,F12,I12)=0,"",(IF(N(T12)&gt;=1,1,0)+IF(N(U12)&gt;=1,1,0)+IF(N(V12)&gt;=1,1,0))/3)</f>
        <v/>
      </c>
      <c r="X12" s="36" t="n">
        <f aca="false">IF(AND(L12&lt;&gt;"",L12&lt;&gt;"Rest Day"),1,0)</f>
        <v>0</v>
      </c>
      <c r="Y12" s="38" t="n">
        <f aca="false">IF(X12=1,Y11+1,0)</f>
        <v>0</v>
      </c>
      <c r="Z12" s="38" t="n">
        <f aca="false">IF(N(T12)&gt;=1,Z11+1,0)</f>
        <v>0</v>
      </c>
      <c r="AA12" s="38" t="n">
        <f aca="false">IF(N(U12)&gt;=1,AA11+1,0)</f>
        <v>0</v>
      </c>
      <c r="AB12" s="38" t="n">
        <f aca="false">IF(N(V12)&gt;=1,AB11+1,0)</f>
        <v>0</v>
      </c>
      <c r="AC12" s="38" t="str">
        <f aca="false">IF(COUNT(E12,F12,I12,J12)=0,"",ROUND((MIN(IFERROR(E12/StepGoal,0),1)*100)*0.2+(MIN(IFERROR(F12/SleepGoal,0),1)*100)*0.2+(IF(L12="",0,IF(L12="Rest Day",100,MIN(IFERROR(M12/60,0),1)*100)))*0.25+(IFERROR(INDEX('Recovery Tracker'!$E$5:$E$369,MATCH(A12,'Recovery Tracker'!$A$5:$A$369,0))+0,70))*0.15+(MIN(IFERROR(I12/WaterGoal,0),1)*100)*0.1+(IF(J12="",0,MAX(0,100-MIN(ABS(J12-CalorieGoal)/CalorieGoal,1)*100)))*0.1,0))</f>
        <v/>
      </c>
      <c r="AE12" s="39" t="s">
        <v>75</v>
      </c>
      <c r="AF12" s="39"/>
      <c r="AG12" s="43" t="n">
        <f aca="true">COUNTIFS($D$5:$D$369,TEXT(TODAY(),"mmm"),$X$5:$X$369,1)</f>
        <v>0</v>
      </c>
    </row>
    <row r="13" customFormat="false" ht="15" hidden="false" customHeight="false" outlineLevel="0" collapsed="false">
      <c r="A13" s="26" t="n">
        <f aca="false">A12+1</f>
        <v>46031</v>
      </c>
      <c r="B13" s="27" t="str">
        <f aca="false">TEXT(A13,"ddd")</f>
        <v>Fri</v>
      </c>
      <c r="C13" s="27" t="n">
        <f aca="false">INT((A13-StartDate)/7)+1</f>
        <v>2</v>
      </c>
      <c r="D13" s="27" t="str">
        <f aca="false">TEXT(A13,"mmm")</f>
        <v>Jan</v>
      </c>
      <c r="E13" s="28"/>
      <c r="F13" s="29"/>
      <c r="G13" s="29"/>
      <c r="H13" s="30"/>
      <c r="I13" s="29"/>
      <c r="J13" s="28"/>
      <c r="K13" s="28"/>
      <c r="L13" s="31"/>
      <c r="M13" s="28"/>
      <c r="N13" s="31"/>
      <c r="O13" s="31"/>
      <c r="P13" s="31"/>
      <c r="Q13" s="31"/>
      <c r="R13" s="31"/>
      <c r="S13" s="32"/>
      <c r="T13" s="33" t="str">
        <f aca="false">IF(E13="","",E13/StepGoal)</f>
        <v/>
      </c>
      <c r="U13" s="33" t="str">
        <f aca="false">IF(F13="","",F13/SleepGoal)</f>
        <v/>
      </c>
      <c r="V13" s="33" t="str">
        <f aca="false">IF(I13="","",I13/WaterGoal)</f>
        <v/>
      </c>
      <c r="W13" s="33" t="str">
        <f aca="false">IF(COUNT(E13,F13,I13)=0,"",(IF(N(T13)&gt;=1,1,0)+IF(N(U13)&gt;=1,1,0)+IF(N(V13)&gt;=1,1,0))/3)</f>
        <v/>
      </c>
      <c r="X13" s="27" t="n">
        <f aca="false">IF(AND(L13&lt;&gt;"",L13&lt;&gt;"Rest Day"),1,0)</f>
        <v>0</v>
      </c>
      <c r="Y13" s="34" t="n">
        <f aca="false">IF(X13=1,Y12+1,0)</f>
        <v>0</v>
      </c>
      <c r="Z13" s="34" t="n">
        <f aca="false">IF(N(T13)&gt;=1,Z12+1,0)</f>
        <v>0</v>
      </c>
      <c r="AA13" s="34" t="n">
        <f aca="false">IF(N(U13)&gt;=1,AA12+1,0)</f>
        <v>0</v>
      </c>
      <c r="AB13" s="34" t="n">
        <f aca="false">IF(N(V13)&gt;=1,AB12+1,0)</f>
        <v>0</v>
      </c>
      <c r="AC13" s="34" t="str">
        <f aca="false">IF(COUNT(E13,F13,I13,J13)=0,"",ROUND((MIN(IFERROR(E13/StepGoal,0),1)*100)*0.2+(MIN(IFERROR(F13/SleepGoal,0),1)*100)*0.2+(IF(L13="",0,IF(L13="Rest Day",100,MIN(IFERROR(M13/60,0),1)*100)))*0.25+(IFERROR(INDEX('Recovery Tracker'!$E$5:$E$369,MATCH(A13,'Recovery Tracker'!$A$5:$A$369,0))+0,70))*0.15+(MIN(IFERROR(I13/WaterGoal,0),1)*100)*0.1+(IF(J13="",0,MAX(0,100-MIN(ABS(J13-CalorieGoal)/CalorieGoal,1)*100)))*0.1,0))</f>
        <v/>
      </c>
      <c r="AE13" s="41" t="s">
        <v>76</v>
      </c>
      <c r="AF13" s="41"/>
      <c r="AG13" s="44" t="n">
        <f aca="true">IFERROR(INDEX($Y$5:$Y$369,MATCH(TODAY(),$A$5:$A$369,0)),0)</f>
        <v>0</v>
      </c>
    </row>
    <row r="14" customFormat="false" ht="15" hidden="false" customHeight="false" outlineLevel="0" collapsed="false">
      <c r="A14" s="35" t="n">
        <f aca="false">A13+1</f>
        <v>46032</v>
      </c>
      <c r="B14" s="36" t="str">
        <f aca="false">TEXT(A14,"ddd")</f>
        <v>Sat</v>
      </c>
      <c r="C14" s="36" t="n">
        <f aca="false">INT((A14-StartDate)/7)+1</f>
        <v>2</v>
      </c>
      <c r="D14" s="36" t="str">
        <f aca="false">TEXT(A14,"mmm")</f>
        <v>Jan</v>
      </c>
      <c r="E14" s="28"/>
      <c r="F14" s="29"/>
      <c r="G14" s="29"/>
      <c r="H14" s="30"/>
      <c r="I14" s="29"/>
      <c r="J14" s="28"/>
      <c r="K14" s="28"/>
      <c r="L14" s="31"/>
      <c r="M14" s="28"/>
      <c r="N14" s="31"/>
      <c r="O14" s="31"/>
      <c r="P14" s="31"/>
      <c r="Q14" s="31"/>
      <c r="R14" s="31"/>
      <c r="S14" s="32"/>
      <c r="T14" s="37" t="str">
        <f aca="false">IF(E14="","",E14/StepGoal)</f>
        <v/>
      </c>
      <c r="U14" s="37" t="str">
        <f aca="false">IF(F14="","",F14/SleepGoal)</f>
        <v/>
      </c>
      <c r="V14" s="37" t="str">
        <f aca="false">IF(I14="","",I14/WaterGoal)</f>
        <v/>
      </c>
      <c r="W14" s="37" t="str">
        <f aca="false">IF(COUNT(E14,F14,I14)=0,"",(IF(N(T14)&gt;=1,1,0)+IF(N(U14)&gt;=1,1,0)+IF(N(V14)&gt;=1,1,0))/3)</f>
        <v/>
      </c>
      <c r="X14" s="36" t="n">
        <f aca="false">IF(AND(L14&lt;&gt;"",L14&lt;&gt;"Rest Day"),1,0)</f>
        <v>0</v>
      </c>
      <c r="Y14" s="38" t="n">
        <f aca="false">IF(X14=1,Y13+1,0)</f>
        <v>0</v>
      </c>
      <c r="Z14" s="38" t="n">
        <f aca="false">IF(N(T14)&gt;=1,Z13+1,0)</f>
        <v>0</v>
      </c>
      <c r="AA14" s="38" t="n">
        <f aca="false">IF(N(U14)&gt;=1,AA13+1,0)</f>
        <v>0</v>
      </c>
      <c r="AB14" s="38" t="n">
        <f aca="false">IF(N(V14)&gt;=1,AB13+1,0)</f>
        <v>0</v>
      </c>
      <c r="AC14" s="38" t="str">
        <f aca="false">IF(COUNT(E14,F14,I14,J14)=0,"",ROUND((MIN(IFERROR(E14/StepGoal,0),1)*100)*0.2+(MIN(IFERROR(F14/SleepGoal,0),1)*100)*0.2+(IF(L14="",0,IF(L14="Rest Day",100,MIN(IFERROR(M14/60,0),1)*100)))*0.25+(IFERROR(INDEX('Recovery Tracker'!$E$5:$E$369,MATCH(A14,'Recovery Tracker'!$A$5:$A$369,0))+0,70))*0.15+(MIN(IFERROR(I14/WaterGoal,0),1)*100)*0.1+(IF(J14="",0,MAX(0,100-MIN(ABS(J14-CalorieGoal)/CalorieGoal,1)*100)))*0.1,0))</f>
        <v/>
      </c>
      <c r="AE14" s="39" t="s">
        <v>77</v>
      </c>
      <c r="AF14" s="39"/>
      <c r="AG14" s="43" t="n">
        <f aca="false">MAX($Y$5:$Y$369)</f>
        <v>1</v>
      </c>
    </row>
    <row r="15" customFormat="false" ht="15" hidden="false" customHeight="false" outlineLevel="0" collapsed="false">
      <c r="A15" s="26" t="n">
        <f aca="false">A14+1</f>
        <v>46033</v>
      </c>
      <c r="B15" s="27" t="str">
        <f aca="false">TEXT(A15,"ddd")</f>
        <v>Sun</v>
      </c>
      <c r="C15" s="27" t="n">
        <f aca="false">INT((A15-StartDate)/7)+1</f>
        <v>2</v>
      </c>
      <c r="D15" s="27" t="str">
        <f aca="false">TEXT(A15,"mmm")</f>
        <v>Jan</v>
      </c>
      <c r="E15" s="28"/>
      <c r="F15" s="29"/>
      <c r="G15" s="29"/>
      <c r="H15" s="30"/>
      <c r="I15" s="29"/>
      <c r="J15" s="28"/>
      <c r="K15" s="28"/>
      <c r="L15" s="31"/>
      <c r="M15" s="28"/>
      <c r="N15" s="31"/>
      <c r="O15" s="31"/>
      <c r="P15" s="31"/>
      <c r="Q15" s="31"/>
      <c r="R15" s="31"/>
      <c r="S15" s="32"/>
      <c r="T15" s="33" t="str">
        <f aca="false">IF(E15="","",E15/StepGoal)</f>
        <v/>
      </c>
      <c r="U15" s="33" t="str">
        <f aca="false">IF(F15="","",F15/SleepGoal)</f>
        <v/>
      </c>
      <c r="V15" s="33" t="str">
        <f aca="false">IF(I15="","",I15/WaterGoal)</f>
        <v/>
      </c>
      <c r="W15" s="33" t="str">
        <f aca="false">IF(COUNT(E15,F15,I15)=0,"",(IF(N(T15)&gt;=1,1,0)+IF(N(U15)&gt;=1,1,0)+IF(N(V15)&gt;=1,1,0))/3)</f>
        <v/>
      </c>
      <c r="X15" s="27" t="n">
        <f aca="false">IF(AND(L15&lt;&gt;"",L15&lt;&gt;"Rest Day"),1,0)</f>
        <v>0</v>
      </c>
      <c r="Y15" s="34" t="n">
        <f aca="false">IF(X15=1,Y14+1,0)</f>
        <v>0</v>
      </c>
      <c r="Z15" s="34" t="n">
        <f aca="false">IF(N(T15)&gt;=1,Z14+1,0)</f>
        <v>0</v>
      </c>
      <c r="AA15" s="34" t="n">
        <f aca="false">IF(N(U15)&gt;=1,AA14+1,0)</f>
        <v>0</v>
      </c>
      <c r="AB15" s="34" t="n">
        <f aca="false">IF(N(V15)&gt;=1,AB14+1,0)</f>
        <v>0</v>
      </c>
      <c r="AC15" s="34" t="str">
        <f aca="false">IF(COUNT(E15,F15,I15,J15)=0,"",ROUND((MIN(IFERROR(E15/StepGoal,0),1)*100)*0.2+(MIN(IFERROR(F15/SleepGoal,0),1)*100)*0.2+(IF(L15="",0,IF(L15="Rest Day",100,MIN(IFERROR(M15/60,0),1)*100)))*0.25+(IFERROR(INDEX('Recovery Tracker'!$E$5:$E$369,MATCH(A15,'Recovery Tracker'!$A$5:$A$369,0))+0,70))*0.15+(MIN(IFERROR(I15/WaterGoal,0),1)*100)*0.1+(IF(J15="",0,MAX(0,100-MIN(ABS(J15-CalorieGoal)/CalorieGoal,1)*100)))*0.1,0))</f>
        <v/>
      </c>
    </row>
    <row r="16" customFormat="false" ht="15" hidden="false" customHeight="false" outlineLevel="0" collapsed="false">
      <c r="A16" s="35" t="n">
        <f aca="false">A15+1</f>
        <v>46034</v>
      </c>
      <c r="B16" s="36" t="str">
        <f aca="false">TEXT(A16,"ddd")</f>
        <v>Mon</v>
      </c>
      <c r="C16" s="36" t="n">
        <f aca="false">INT((A16-StartDate)/7)+1</f>
        <v>2</v>
      </c>
      <c r="D16" s="36" t="str">
        <f aca="false">TEXT(A16,"mmm")</f>
        <v>Jan</v>
      </c>
      <c r="E16" s="28"/>
      <c r="F16" s="29"/>
      <c r="G16" s="29"/>
      <c r="H16" s="30"/>
      <c r="I16" s="29"/>
      <c r="J16" s="28"/>
      <c r="K16" s="28"/>
      <c r="L16" s="31"/>
      <c r="M16" s="28"/>
      <c r="N16" s="31"/>
      <c r="O16" s="31"/>
      <c r="P16" s="31"/>
      <c r="Q16" s="31"/>
      <c r="R16" s="31"/>
      <c r="S16" s="32"/>
      <c r="T16" s="37" t="str">
        <f aca="false">IF(E16="","",E16/StepGoal)</f>
        <v/>
      </c>
      <c r="U16" s="37" t="str">
        <f aca="false">IF(F16="","",F16/SleepGoal)</f>
        <v/>
      </c>
      <c r="V16" s="37" t="str">
        <f aca="false">IF(I16="","",I16/WaterGoal)</f>
        <v/>
      </c>
      <c r="W16" s="37" t="str">
        <f aca="false">IF(COUNT(E16,F16,I16)=0,"",(IF(N(T16)&gt;=1,1,0)+IF(N(U16)&gt;=1,1,0)+IF(N(V16)&gt;=1,1,0))/3)</f>
        <v/>
      </c>
      <c r="X16" s="36" t="n">
        <f aca="false">IF(AND(L16&lt;&gt;"",L16&lt;&gt;"Rest Day"),1,0)</f>
        <v>0</v>
      </c>
      <c r="Y16" s="38" t="n">
        <f aca="false">IF(X16=1,Y15+1,0)</f>
        <v>0</v>
      </c>
      <c r="Z16" s="38" t="n">
        <f aca="false">IF(N(T16)&gt;=1,Z15+1,0)</f>
        <v>0</v>
      </c>
      <c r="AA16" s="38" t="n">
        <f aca="false">IF(N(U16)&gt;=1,AA15+1,0)</f>
        <v>0</v>
      </c>
      <c r="AB16" s="38" t="n">
        <f aca="false">IF(N(V16)&gt;=1,AB15+1,0)</f>
        <v>0</v>
      </c>
      <c r="AC16" s="38" t="str">
        <f aca="false">IF(COUNT(E16,F16,I16,J16)=0,"",ROUND((MIN(IFERROR(E16/StepGoal,0),1)*100)*0.2+(MIN(IFERROR(F16/SleepGoal,0),1)*100)*0.2+(IF(L16="",0,IF(L16="Rest Day",100,MIN(IFERROR(M16/60,0),1)*100)))*0.25+(IFERROR(INDEX('Recovery Tracker'!$E$5:$E$369,MATCH(A16,'Recovery Tracker'!$A$5:$A$369,0))+0,70))*0.15+(MIN(IFERROR(I16/WaterGoal,0),1)*100)*0.1+(IF(J16="",0,MAX(0,100-MIN(ABS(J16-CalorieGoal)/CalorieGoal,1)*100)))*0.1,0))</f>
        <v/>
      </c>
    </row>
    <row r="17" customFormat="false" ht="15" hidden="false" customHeight="false" outlineLevel="0" collapsed="false">
      <c r="A17" s="26" t="n">
        <f aca="false">A16+1</f>
        <v>46035</v>
      </c>
      <c r="B17" s="27" t="str">
        <f aca="false">TEXT(A17,"ddd")</f>
        <v>Tue</v>
      </c>
      <c r="C17" s="27" t="n">
        <f aca="false">INT((A17-StartDate)/7)+1</f>
        <v>2</v>
      </c>
      <c r="D17" s="27" t="str">
        <f aca="false">TEXT(A17,"mmm")</f>
        <v>Jan</v>
      </c>
      <c r="E17" s="28"/>
      <c r="F17" s="29"/>
      <c r="G17" s="29"/>
      <c r="H17" s="30"/>
      <c r="I17" s="29"/>
      <c r="J17" s="28"/>
      <c r="K17" s="28"/>
      <c r="L17" s="31"/>
      <c r="M17" s="28"/>
      <c r="N17" s="31"/>
      <c r="O17" s="31"/>
      <c r="P17" s="31"/>
      <c r="Q17" s="31"/>
      <c r="R17" s="31"/>
      <c r="S17" s="32"/>
      <c r="T17" s="33" t="str">
        <f aca="false">IF(E17="","",E17/StepGoal)</f>
        <v/>
      </c>
      <c r="U17" s="33" t="str">
        <f aca="false">IF(F17="","",F17/SleepGoal)</f>
        <v/>
      </c>
      <c r="V17" s="33" t="str">
        <f aca="false">IF(I17="","",I17/WaterGoal)</f>
        <v/>
      </c>
      <c r="W17" s="33" t="str">
        <f aca="false">IF(COUNT(E17,F17,I17)=0,"",(IF(N(T17)&gt;=1,1,0)+IF(N(U17)&gt;=1,1,0)+IF(N(V17)&gt;=1,1,0))/3)</f>
        <v/>
      </c>
      <c r="X17" s="27" t="n">
        <f aca="false">IF(AND(L17&lt;&gt;"",L17&lt;&gt;"Rest Day"),1,0)</f>
        <v>0</v>
      </c>
      <c r="Y17" s="34" t="n">
        <f aca="false">IF(X17=1,Y16+1,0)</f>
        <v>0</v>
      </c>
      <c r="Z17" s="34" t="n">
        <f aca="false">IF(N(T17)&gt;=1,Z16+1,0)</f>
        <v>0</v>
      </c>
      <c r="AA17" s="34" t="n">
        <f aca="false">IF(N(U17)&gt;=1,AA16+1,0)</f>
        <v>0</v>
      </c>
      <c r="AB17" s="34" t="n">
        <f aca="false">IF(N(V17)&gt;=1,AB16+1,0)</f>
        <v>0</v>
      </c>
      <c r="AC17" s="34" t="str">
        <f aca="false">IF(COUNT(E17,F17,I17,J17)=0,"",ROUND((MIN(IFERROR(E17/StepGoal,0),1)*100)*0.2+(MIN(IFERROR(F17/SleepGoal,0),1)*100)*0.2+(IF(L17="",0,IF(L17="Rest Day",100,MIN(IFERROR(M17/60,0),1)*100)))*0.25+(IFERROR(INDEX('Recovery Tracker'!$E$5:$E$369,MATCH(A17,'Recovery Tracker'!$A$5:$A$369,0))+0,70))*0.15+(MIN(IFERROR(I17/WaterGoal,0),1)*100)*0.1+(IF(J17="",0,MAX(0,100-MIN(ABS(J17-CalorieGoal)/CalorieGoal,1)*100)))*0.1,0))</f>
        <v/>
      </c>
    </row>
    <row r="18" customFormat="false" ht="15" hidden="false" customHeight="false" outlineLevel="0" collapsed="false">
      <c r="A18" s="35" t="n">
        <f aca="false">A17+1</f>
        <v>46036</v>
      </c>
      <c r="B18" s="36" t="str">
        <f aca="false">TEXT(A18,"ddd")</f>
        <v>Wed</v>
      </c>
      <c r="C18" s="36" t="n">
        <f aca="false">INT((A18-StartDate)/7)+1</f>
        <v>2</v>
      </c>
      <c r="D18" s="36" t="str">
        <f aca="false">TEXT(A18,"mmm")</f>
        <v>Jan</v>
      </c>
      <c r="E18" s="28"/>
      <c r="F18" s="29"/>
      <c r="G18" s="29"/>
      <c r="H18" s="30"/>
      <c r="I18" s="29"/>
      <c r="J18" s="28"/>
      <c r="K18" s="28"/>
      <c r="L18" s="31"/>
      <c r="M18" s="28"/>
      <c r="N18" s="31"/>
      <c r="O18" s="31"/>
      <c r="P18" s="31"/>
      <c r="Q18" s="31"/>
      <c r="R18" s="31"/>
      <c r="S18" s="32"/>
      <c r="T18" s="37" t="str">
        <f aca="false">IF(E18="","",E18/StepGoal)</f>
        <v/>
      </c>
      <c r="U18" s="37" t="str">
        <f aca="false">IF(F18="","",F18/SleepGoal)</f>
        <v/>
      </c>
      <c r="V18" s="37" t="str">
        <f aca="false">IF(I18="","",I18/WaterGoal)</f>
        <v/>
      </c>
      <c r="W18" s="37" t="str">
        <f aca="false">IF(COUNT(E18,F18,I18)=0,"",(IF(N(T18)&gt;=1,1,0)+IF(N(U18)&gt;=1,1,0)+IF(N(V18)&gt;=1,1,0))/3)</f>
        <v/>
      </c>
      <c r="X18" s="36" t="n">
        <f aca="false">IF(AND(L18&lt;&gt;"",L18&lt;&gt;"Rest Day"),1,0)</f>
        <v>0</v>
      </c>
      <c r="Y18" s="38" t="n">
        <f aca="false">IF(X18=1,Y17+1,0)</f>
        <v>0</v>
      </c>
      <c r="Z18" s="38" t="n">
        <f aca="false">IF(N(T18)&gt;=1,Z17+1,0)</f>
        <v>0</v>
      </c>
      <c r="AA18" s="38" t="n">
        <f aca="false">IF(N(U18)&gt;=1,AA17+1,0)</f>
        <v>0</v>
      </c>
      <c r="AB18" s="38" t="n">
        <f aca="false">IF(N(V18)&gt;=1,AB17+1,0)</f>
        <v>0</v>
      </c>
      <c r="AC18" s="38" t="str">
        <f aca="false">IF(COUNT(E18,F18,I18,J18)=0,"",ROUND((MIN(IFERROR(E18/StepGoal,0),1)*100)*0.2+(MIN(IFERROR(F18/SleepGoal,0),1)*100)*0.2+(IF(L18="",0,IF(L18="Rest Day",100,MIN(IFERROR(M18/60,0),1)*100)))*0.25+(IFERROR(INDEX('Recovery Tracker'!$E$5:$E$369,MATCH(A18,'Recovery Tracker'!$A$5:$A$369,0))+0,70))*0.15+(MIN(IFERROR(I18/WaterGoal,0),1)*100)*0.1+(IF(J18="",0,MAX(0,100-MIN(ABS(J18-CalorieGoal)/CalorieGoal,1)*100)))*0.1,0))</f>
        <v/>
      </c>
    </row>
    <row r="19" customFormat="false" ht="15" hidden="false" customHeight="false" outlineLevel="0" collapsed="false">
      <c r="A19" s="26" t="n">
        <f aca="false">A18+1</f>
        <v>46037</v>
      </c>
      <c r="B19" s="27" t="str">
        <f aca="false">TEXT(A19,"ddd")</f>
        <v>Thu</v>
      </c>
      <c r="C19" s="27" t="n">
        <f aca="false">INT((A19-StartDate)/7)+1</f>
        <v>3</v>
      </c>
      <c r="D19" s="27" t="str">
        <f aca="false">TEXT(A19,"mmm")</f>
        <v>Jan</v>
      </c>
      <c r="E19" s="28"/>
      <c r="F19" s="29"/>
      <c r="G19" s="29"/>
      <c r="H19" s="30"/>
      <c r="I19" s="29"/>
      <c r="J19" s="28"/>
      <c r="K19" s="28"/>
      <c r="L19" s="31"/>
      <c r="M19" s="28"/>
      <c r="N19" s="31"/>
      <c r="O19" s="31"/>
      <c r="P19" s="31"/>
      <c r="Q19" s="31"/>
      <c r="R19" s="31"/>
      <c r="S19" s="32"/>
      <c r="T19" s="33" t="str">
        <f aca="false">IF(E19="","",E19/StepGoal)</f>
        <v/>
      </c>
      <c r="U19" s="33" t="str">
        <f aca="false">IF(F19="","",F19/SleepGoal)</f>
        <v/>
      </c>
      <c r="V19" s="33" t="str">
        <f aca="false">IF(I19="","",I19/WaterGoal)</f>
        <v/>
      </c>
      <c r="W19" s="33" t="str">
        <f aca="false">IF(COUNT(E19,F19,I19)=0,"",(IF(N(T19)&gt;=1,1,0)+IF(N(U19)&gt;=1,1,0)+IF(N(V19)&gt;=1,1,0))/3)</f>
        <v/>
      </c>
      <c r="X19" s="27" t="n">
        <f aca="false">IF(AND(L19&lt;&gt;"",L19&lt;&gt;"Rest Day"),1,0)</f>
        <v>0</v>
      </c>
      <c r="Y19" s="34" t="n">
        <f aca="false">IF(X19=1,Y18+1,0)</f>
        <v>0</v>
      </c>
      <c r="Z19" s="34" t="n">
        <f aca="false">IF(N(T19)&gt;=1,Z18+1,0)</f>
        <v>0</v>
      </c>
      <c r="AA19" s="34" t="n">
        <f aca="false">IF(N(U19)&gt;=1,AA18+1,0)</f>
        <v>0</v>
      </c>
      <c r="AB19" s="34" t="n">
        <f aca="false">IF(N(V19)&gt;=1,AB18+1,0)</f>
        <v>0</v>
      </c>
      <c r="AC19" s="34" t="str">
        <f aca="false">IF(COUNT(E19,F19,I19,J19)=0,"",ROUND((MIN(IFERROR(E19/StepGoal,0),1)*100)*0.2+(MIN(IFERROR(F19/SleepGoal,0),1)*100)*0.2+(IF(L19="",0,IF(L19="Rest Day",100,MIN(IFERROR(M19/60,0),1)*100)))*0.25+(IFERROR(INDEX('Recovery Tracker'!$E$5:$E$369,MATCH(A19,'Recovery Tracker'!$A$5:$A$369,0))+0,70))*0.15+(MIN(IFERROR(I19/WaterGoal,0),1)*100)*0.1+(IF(J19="",0,MAX(0,100-MIN(ABS(J19-CalorieGoal)/CalorieGoal,1)*100)))*0.1,0))</f>
        <v/>
      </c>
    </row>
    <row r="20" customFormat="false" ht="15" hidden="false" customHeight="false" outlineLevel="0" collapsed="false">
      <c r="A20" s="35" t="n">
        <f aca="false">A19+1</f>
        <v>46038</v>
      </c>
      <c r="B20" s="36" t="str">
        <f aca="false">TEXT(A20,"ddd")</f>
        <v>Fri</v>
      </c>
      <c r="C20" s="36" t="n">
        <f aca="false">INT((A20-StartDate)/7)+1</f>
        <v>3</v>
      </c>
      <c r="D20" s="36" t="str">
        <f aca="false">TEXT(A20,"mmm")</f>
        <v>Jan</v>
      </c>
      <c r="E20" s="28"/>
      <c r="F20" s="29"/>
      <c r="G20" s="29"/>
      <c r="H20" s="30"/>
      <c r="I20" s="29"/>
      <c r="J20" s="28"/>
      <c r="K20" s="28"/>
      <c r="L20" s="31"/>
      <c r="M20" s="28"/>
      <c r="N20" s="31"/>
      <c r="O20" s="31"/>
      <c r="P20" s="31"/>
      <c r="Q20" s="31"/>
      <c r="R20" s="31"/>
      <c r="S20" s="32"/>
      <c r="T20" s="37" t="str">
        <f aca="false">IF(E20="","",E20/StepGoal)</f>
        <v/>
      </c>
      <c r="U20" s="37" t="str">
        <f aca="false">IF(F20="","",F20/SleepGoal)</f>
        <v/>
      </c>
      <c r="V20" s="37" t="str">
        <f aca="false">IF(I20="","",I20/WaterGoal)</f>
        <v/>
      </c>
      <c r="W20" s="37" t="str">
        <f aca="false">IF(COUNT(E20,F20,I20)=0,"",(IF(N(T20)&gt;=1,1,0)+IF(N(U20)&gt;=1,1,0)+IF(N(V20)&gt;=1,1,0))/3)</f>
        <v/>
      </c>
      <c r="X20" s="36" t="n">
        <f aca="false">IF(AND(L20&lt;&gt;"",L20&lt;&gt;"Rest Day"),1,0)</f>
        <v>0</v>
      </c>
      <c r="Y20" s="38" t="n">
        <f aca="false">IF(X20=1,Y19+1,0)</f>
        <v>0</v>
      </c>
      <c r="Z20" s="38" t="n">
        <f aca="false">IF(N(T20)&gt;=1,Z19+1,0)</f>
        <v>0</v>
      </c>
      <c r="AA20" s="38" t="n">
        <f aca="false">IF(N(U20)&gt;=1,AA19+1,0)</f>
        <v>0</v>
      </c>
      <c r="AB20" s="38" t="n">
        <f aca="false">IF(N(V20)&gt;=1,AB19+1,0)</f>
        <v>0</v>
      </c>
      <c r="AC20" s="38" t="str">
        <f aca="false">IF(COUNT(E20,F20,I20,J20)=0,"",ROUND((MIN(IFERROR(E20/StepGoal,0),1)*100)*0.2+(MIN(IFERROR(F20/SleepGoal,0),1)*100)*0.2+(IF(L20="",0,IF(L20="Rest Day",100,MIN(IFERROR(M20/60,0),1)*100)))*0.25+(IFERROR(INDEX('Recovery Tracker'!$E$5:$E$369,MATCH(A20,'Recovery Tracker'!$A$5:$A$369,0))+0,70))*0.15+(MIN(IFERROR(I20/WaterGoal,0),1)*100)*0.1+(IF(J20="",0,MAX(0,100-MIN(ABS(J20-CalorieGoal)/CalorieGoal,1)*100)))*0.1,0))</f>
        <v/>
      </c>
    </row>
    <row r="21" customFormat="false" ht="15" hidden="false" customHeight="false" outlineLevel="0" collapsed="false">
      <c r="A21" s="26" t="n">
        <f aca="false">A20+1</f>
        <v>46039</v>
      </c>
      <c r="B21" s="27" t="str">
        <f aca="false">TEXT(A21,"ddd")</f>
        <v>Sat</v>
      </c>
      <c r="C21" s="27" t="n">
        <f aca="false">INT((A21-StartDate)/7)+1</f>
        <v>3</v>
      </c>
      <c r="D21" s="27" t="str">
        <f aca="false">TEXT(A21,"mmm")</f>
        <v>Jan</v>
      </c>
      <c r="E21" s="28"/>
      <c r="F21" s="29"/>
      <c r="G21" s="29"/>
      <c r="H21" s="30"/>
      <c r="I21" s="29"/>
      <c r="J21" s="28"/>
      <c r="K21" s="28"/>
      <c r="L21" s="31"/>
      <c r="M21" s="28"/>
      <c r="N21" s="31"/>
      <c r="O21" s="31"/>
      <c r="P21" s="31"/>
      <c r="Q21" s="31"/>
      <c r="R21" s="31"/>
      <c r="S21" s="32"/>
      <c r="T21" s="33" t="str">
        <f aca="false">IF(E21="","",E21/StepGoal)</f>
        <v/>
      </c>
      <c r="U21" s="33" t="str">
        <f aca="false">IF(F21="","",F21/SleepGoal)</f>
        <v/>
      </c>
      <c r="V21" s="33" t="str">
        <f aca="false">IF(I21="","",I21/WaterGoal)</f>
        <v/>
      </c>
      <c r="W21" s="33" t="str">
        <f aca="false">IF(COUNT(E21,F21,I21)=0,"",(IF(N(T21)&gt;=1,1,0)+IF(N(U21)&gt;=1,1,0)+IF(N(V21)&gt;=1,1,0))/3)</f>
        <v/>
      </c>
      <c r="X21" s="27" t="n">
        <f aca="false">IF(AND(L21&lt;&gt;"",L21&lt;&gt;"Rest Day"),1,0)</f>
        <v>0</v>
      </c>
      <c r="Y21" s="34" t="n">
        <f aca="false">IF(X21=1,Y20+1,0)</f>
        <v>0</v>
      </c>
      <c r="Z21" s="34" t="n">
        <f aca="false">IF(N(T21)&gt;=1,Z20+1,0)</f>
        <v>0</v>
      </c>
      <c r="AA21" s="34" t="n">
        <f aca="false">IF(N(U21)&gt;=1,AA20+1,0)</f>
        <v>0</v>
      </c>
      <c r="AB21" s="34" t="n">
        <f aca="false">IF(N(V21)&gt;=1,AB20+1,0)</f>
        <v>0</v>
      </c>
      <c r="AC21" s="34" t="str">
        <f aca="false">IF(COUNT(E21,F21,I21,J21)=0,"",ROUND((MIN(IFERROR(E21/StepGoal,0),1)*100)*0.2+(MIN(IFERROR(F21/SleepGoal,0),1)*100)*0.2+(IF(L21="",0,IF(L21="Rest Day",100,MIN(IFERROR(M21/60,0),1)*100)))*0.25+(IFERROR(INDEX('Recovery Tracker'!$E$5:$E$369,MATCH(A21,'Recovery Tracker'!$A$5:$A$369,0))+0,70))*0.15+(MIN(IFERROR(I21/WaterGoal,0),1)*100)*0.1+(IF(J21="",0,MAX(0,100-MIN(ABS(J21-CalorieGoal)/CalorieGoal,1)*100)))*0.1,0))</f>
        <v/>
      </c>
    </row>
    <row r="22" customFormat="false" ht="15" hidden="false" customHeight="false" outlineLevel="0" collapsed="false">
      <c r="A22" s="35" t="n">
        <f aca="false">A21+1</f>
        <v>46040</v>
      </c>
      <c r="B22" s="36" t="str">
        <f aca="false">TEXT(A22,"ddd")</f>
        <v>Sun</v>
      </c>
      <c r="C22" s="36" t="n">
        <f aca="false">INT((A22-StartDate)/7)+1</f>
        <v>3</v>
      </c>
      <c r="D22" s="36" t="str">
        <f aca="false">TEXT(A22,"mmm")</f>
        <v>Jan</v>
      </c>
      <c r="E22" s="28"/>
      <c r="F22" s="29"/>
      <c r="G22" s="29"/>
      <c r="H22" s="30"/>
      <c r="I22" s="29"/>
      <c r="J22" s="28"/>
      <c r="K22" s="28"/>
      <c r="L22" s="31"/>
      <c r="M22" s="28"/>
      <c r="N22" s="31"/>
      <c r="O22" s="31"/>
      <c r="P22" s="31"/>
      <c r="Q22" s="31"/>
      <c r="R22" s="31"/>
      <c r="S22" s="32"/>
      <c r="T22" s="37" t="str">
        <f aca="false">IF(E22="","",E22/StepGoal)</f>
        <v/>
      </c>
      <c r="U22" s="37" t="str">
        <f aca="false">IF(F22="","",F22/SleepGoal)</f>
        <v/>
      </c>
      <c r="V22" s="37" t="str">
        <f aca="false">IF(I22="","",I22/WaterGoal)</f>
        <v/>
      </c>
      <c r="W22" s="37" t="str">
        <f aca="false">IF(COUNT(E22,F22,I22)=0,"",(IF(N(T22)&gt;=1,1,0)+IF(N(U22)&gt;=1,1,0)+IF(N(V22)&gt;=1,1,0))/3)</f>
        <v/>
      </c>
      <c r="X22" s="36" t="n">
        <f aca="false">IF(AND(L22&lt;&gt;"",L22&lt;&gt;"Rest Day"),1,0)</f>
        <v>0</v>
      </c>
      <c r="Y22" s="38" t="n">
        <f aca="false">IF(X22=1,Y21+1,0)</f>
        <v>0</v>
      </c>
      <c r="Z22" s="38" t="n">
        <f aca="false">IF(N(T22)&gt;=1,Z21+1,0)</f>
        <v>0</v>
      </c>
      <c r="AA22" s="38" t="n">
        <f aca="false">IF(N(U22)&gt;=1,AA21+1,0)</f>
        <v>0</v>
      </c>
      <c r="AB22" s="38" t="n">
        <f aca="false">IF(N(V22)&gt;=1,AB21+1,0)</f>
        <v>0</v>
      </c>
      <c r="AC22" s="38" t="str">
        <f aca="false">IF(COUNT(E22,F22,I22,J22)=0,"",ROUND((MIN(IFERROR(E22/StepGoal,0),1)*100)*0.2+(MIN(IFERROR(F22/SleepGoal,0),1)*100)*0.2+(IF(L22="",0,IF(L22="Rest Day",100,MIN(IFERROR(M22/60,0),1)*100)))*0.25+(IFERROR(INDEX('Recovery Tracker'!$E$5:$E$369,MATCH(A22,'Recovery Tracker'!$A$5:$A$369,0))+0,70))*0.15+(MIN(IFERROR(I22/WaterGoal,0),1)*100)*0.1+(IF(J22="",0,MAX(0,100-MIN(ABS(J22-CalorieGoal)/CalorieGoal,1)*100)))*0.1,0))</f>
        <v/>
      </c>
    </row>
    <row r="23" customFormat="false" ht="15" hidden="false" customHeight="false" outlineLevel="0" collapsed="false">
      <c r="A23" s="26" t="n">
        <f aca="false">A22+1</f>
        <v>46041</v>
      </c>
      <c r="B23" s="27" t="str">
        <f aca="false">TEXT(A23,"ddd")</f>
        <v>Mon</v>
      </c>
      <c r="C23" s="27" t="n">
        <f aca="false">INT((A23-StartDate)/7)+1</f>
        <v>3</v>
      </c>
      <c r="D23" s="27" t="str">
        <f aca="false">TEXT(A23,"mmm")</f>
        <v>Jan</v>
      </c>
      <c r="E23" s="28"/>
      <c r="F23" s="29"/>
      <c r="G23" s="29"/>
      <c r="H23" s="30"/>
      <c r="I23" s="29"/>
      <c r="J23" s="28"/>
      <c r="K23" s="28"/>
      <c r="L23" s="31"/>
      <c r="M23" s="28"/>
      <c r="N23" s="31"/>
      <c r="O23" s="31"/>
      <c r="P23" s="31"/>
      <c r="Q23" s="31"/>
      <c r="R23" s="31"/>
      <c r="S23" s="32"/>
      <c r="T23" s="33" t="str">
        <f aca="false">IF(E23="","",E23/StepGoal)</f>
        <v/>
      </c>
      <c r="U23" s="33" t="str">
        <f aca="false">IF(F23="","",F23/SleepGoal)</f>
        <v/>
      </c>
      <c r="V23" s="33" t="str">
        <f aca="false">IF(I23="","",I23/WaterGoal)</f>
        <v/>
      </c>
      <c r="W23" s="33" t="str">
        <f aca="false">IF(COUNT(E23,F23,I23)=0,"",(IF(N(T23)&gt;=1,1,0)+IF(N(U23)&gt;=1,1,0)+IF(N(V23)&gt;=1,1,0))/3)</f>
        <v/>
      </c>
      <c r="X23" s="27" t="n">
        <f aca="false">IF(AND(L23&lt;&gt;"",L23&lt;&gt;"Rest Day"),1,0)</f>
        <v>0</v>
      </c>
      <c r="Y23" s="34" t="n">
        <f aca="false">IF(X23=1,Y22+1,0)</f>
        <v>0</v>
      </c>
      <c r="Z23" s="34" t="n">
        <f aca="false">IF(N(T23)&gt;=1,Z22+1,0)</f>
        <v>0</v>
      </c>
      <c r="AA23" s="34" t="n">
        <f aca="false">IF(N(U23)&gt;=1,AA22+1,0)</f>
        <v>0</v>
      </c>
      <c r="AB23" s="34" t="n">
        <f aca="false">IF(N(V23)&gt;=1,AB22+1,0)</f>
        <v>0</v>
      </c>
      <c r="AC23" s="34" t="str">
        <f aca="false">IF(COUNT(E23,F23,I23,J23)=0,"",ROUND((MIN(IFERROR(E23/StepGoal,0),1)*100)*0.2+(MIN(IFERROR(F23/SleepGoal,0),1)*100)*0.2+(IF(L23="",0,IF(L23="Rest Day",100,MIN(IFERROR(M23/60,0),1)*100)))*0.25+(IFERROR(INDEX('Recovery Tracker'!$E$5:$E$369,MATCH(A23,'Recovery Tracker'!$A$5:$A$369,0))+0,70))*0.15+(MIN(IFERROR(I23/WaterGoal,0),1)*100)*0.1+(IF(J23="",0,MAX(0,100-MIN(ABS(J23-CalorieGoal)/CalorieGoal,1)*100)))*0.1,0))</f>
        <v/>
      </c>
    </row>
    <row r="24" customFormat="false" ht="15" hidden="false" customHeight="false" outlineLevel="0" collapsed="false">
      <c r="A24" s="35" t="n">
        <f aca="false">A23+1</f>
        <v>46042</v>
      </c>
      <c r="B24" s="36" t="str">
        <f aca="false">TEXT(A24,"ddd")</f>
        <v>Tue</v>
      </c>
      <c r="C24" s="36" t="n">
        <f aca="false">INT((A24-StartDate)/7)+1</f>
        <v>3</v>
      </c>
      <c r="D24" s="36" t="str">
        <f aca="false">TEXT(A24,"mmm")</f>
        <v>Jan</v>
      </c>
      <c r="E24" s="28"/>
      <c r="F24" s="29"/>
      <c r="G24" s="29"/>
      <c r="H24" s="30"/>
      <c r="I24" s="29"/>
      <c r="J24" s="28"/>
      <c r="K24" s="28"/>
      <c r="L24" s="31"/>
      <c r="M24" s="28"/>
      <c r="N24" s="31"/>
      <c r="O24" s="31"/>
      <c r="P24" s="31"/>
      <c r="Q24" s="31"/>
      <c r="R24" s="31"/>
      <c r="S24" s="32"/>
      <c r="T24" s="37" t="str">
        <f aca="false">IF(E24="","",E24/StepGoal)</f>
        <v/>
      </c>
      <c r="U24" s="37" t="str">
        <f aca="false">IF(F24="","",F24/SleepGoal)</f>
        <v/>
      </c>
      <c r="V24" s="37" t="str">
        <f aca="false">IF(I24="","",I24/WaterGoal)</f>
        <v/>
      </c>
      <c r="W24" s="37" t="str">
        <f aca="false">IF(COUNT(E24,F24,I24)=0,"",(IF(N(T24)&gt;=1,1,0)+IF(N(U24)&gt;=1,1,0)+IF(N(V24)&gt;=1,1,0))/3)</f>
        <v/>
      </c>
      <c r="X24" s="36" t="n">
        <f aca="false">IF(AND(L24&lt;&gt;"",L24&lt;&gt;"Rest Day"),1,0)</f>
        <v>0</v>
      </c>
      <c r="Y24" s="38" t="n">
        <f aca="false">IF(X24=1,Y23+1,0)</f>
        <v>0</v>
      </c>
      <c r="Z24" s="38" t="n">
        <f aca="false">IF(N(T24)&gt;=1,Z23+1,0)</f>
        <v>0</v>
      </c>
      <c r="AA24" s="38" t="n">
        <f aca="false">IF(N(U24)&gt;=1,AA23+1,0)</f>
        <v>0</v>
      </c>
      <c r="AB24" s="38" t="n">
        <f aca="false">IF(N(V24)&gt;=1,AB23+1,0)</f>
        <v>0</v>
      </c>
      <c r="AC24" s="38" t="str">
        <f aca="false">IF(COUNT(E24,F24,I24,J24)=0,"",ROUND((MIN(IFERROR(E24/StepGoal,0),1)*100)*0.2+(MIN(IFERROR(F24/SleepGoal,0),1)*100)*0.2+(IF(L24="",0,IF(L24="Rest Day",100,MIN(IFERROR(M24/60,0),1)*100)))*0.25+(IFERROR(INDEX('Recovery Tracker'!$E$5:$E$369,MATCH(A24,'Recovery Tracker'!$A$5:$A$369,0))+0,70))*0.15+(MIN(IFERROR(I24/WaterGoal,0),1)*100)*0.1+(IF(J24="",0,MAX(0,100-MIN(ABS(J24-CalorieGoal)/CalorieGoal,1)*100)))*0.1,0))</f>
        <v/>
      </c>
    </row>
    <row r="25" customFormat="false" ht="15" hidden="false" customHeight="false" outlineLevel="0" collapsed="false">
      <c r="A25" s="26" t="n">
        <f aca="false">A24+1</f>
        <v>46043</v>
      </c>
      <c r="B25" s="27" t="str">
        <f aca="false">TEXT(A25,"ddd")</f>
        <v>Wed</v>
      </c>
      <c r="C25" s="27" t="n">
        <f aca="false">INT((A25-StartDate)/7)+1</f>
        <v>3</v>
      </c>
      <c r="D25" s="27" t="str">
        <f aca="false">TEXT(A25,"mmm")</f>
        <v>Jan</v>
      </c>
      <c r="E25" s="28"/>
      <c r="F25" s="29"/>
      <c r="G25" s="29"/>
      <c r="H25" s="30"/>
      <c r="I25" s="29"/>
      <c r="J25" s="28"/>
      <c r="K25" s="28"/>
      <c r="L25" s="31"/>
      <c r="M25" s="28"/>
      <c r="N25" s="31"/>
      <c r="O25" s="31"/>
      <c r="P25" s="31"/>
      <c r="Q25" s="31"/>
      <c r="R25" s="31"/>
      <c r="S25" s="32"/>
      <c r="T25" s="33" t="str">
        <f aca="false">IF(E25="","",E25/StepGoal)</f>
        <v/>
      </c>
      <c r="U25" s="33" t="str">
        <f aca="false">IF(F25="","",F25/SleepGoal)</f>
        <v/>
      </c>
      <c r="V25" s="33" t="str">
        <f aca="false">IF(I25="","",I25/WaterGoal)</f>
        <v/>
      </c>
      <c r="W25" s="33" t="str">
        <f aca="false">IF(COUNT(E25,F25,I25)=0,"",(IF(N(T25)&gt;=1,1,0)+IF(N(U25)&gt;=1,1,0)+IF(N(V25)&gt;=1,1,0))/3)</f>
        <v/>
      </c>
      <c r="X25" s="27" t="n">
        <f aca="false">IF(AND(L25&lt;&gt;"",L25&lt;&gt;"Rest Day"),1,0)</f>
        <v>0</v>
      </c>
      <c r="Y25" s="34" t="n">
        <f aca="false">IF(X25=1,Y24+1,0)</f>
        <v>0</v>
      </c>
      <c r="Z25" s="34" t="n">
        <f aca="false">IF(N(T25)&gt;=1,Z24+1,0)</f>
        <v>0</v>
      </c>
      <c r="AA25" s="34" t="n">
        <f aca="false">IF(N(U25)&gt;=1,AA24+1,0)</f>
        <v>0</v>
      </c>
      <c r="AB25" s="34" t="n">
        <f aca="false">IF(N(V25)&gt;=1,AB24+1,0)</f>
        <v>0</v>
      </c>
      <c r="AC25" s="34" t="str">
        <f aca="false">IF(COUNT(E25,F25,I25,J25)=0,"",ROUND((MIN(IFERROR(E25/StepGoal,0),1)*100)*0.2+(MIN(IFERROR(F25/SleepGoal,0),1)*100)*0.2+(IF(L25="",0,IF(L25="Rest Day",100,MIN(IFERROR(M25/60,0),1)*100)))*0.25+(IFERROR(INDEX('Recovery Tracker'!$E$5:$E$369,MATCH(A25,'Recovery Tracker'!$A$5:$A$369,0))+0,70))*0.15+(MIN(IFERROR(I25/WaterGoal,0),1)*100)*0.1+(IF(J25="",0,MAX(0,100-MIN(ABS(J25-CalorieGoal)/CalorieGoal,1)*100)))*0.1,0))</f>
        <v/>
      </c>
    </row>
    <row r="26" customFormat="false" ht="15" hidden="false" customHeight="false" outlineLevel="0" collapsed="false">
      <c r="A26" s="35" t="n">
        <f aca="false">A25+1</f>
        <v>46044</v>
      </c>
      <c r="B26" s="36" t="str">
        <f aca="false">TEXT(A26,"ddd")</f>
        <v>Thu</v>
      </c>
      <c r="C26" s="36" t="n">
        <f aca="false">INT((A26-StartDate)/7)+1</f>
        <v>4</v>
      </c>
      <c r="D26" s="36" t="str">
        <f aca="false">TEXT(A26,"mmm")</f>
        <v>Jan</v>
      </c>
      <c r="E26" s="28"/>
      <c r="F26" s="29"/>
      <c r="G26" s="29"/>
      <c r="H26" s="30"/>
      <c r="I26" s="29"/>
      <c r="J26" s="28"/>
      <c r="K26" s="28"/>
      <c r="L26" s="31"/>
      <c r="M26" s="28"/>
      <c r="N26" s="31"/>
      <c r="O26" s="31"/>
      <c r="P26" s="31"/>
      <c r="Q26" s="31"/>
      <c r="R26" s="31"/>
      <c r="S26" s="32"/>
      <c r="T26" s="37" t="str">
        <f aca="false">IF(E26="","",E26/StepGoal)</f>
        <v/>
      </c>
      <c r="U26" s="37" t="str">
        <f aca="false">IF(F26="","",F26/SleepGoal)</f>
        <v/>
      </c>
      <c r="V26" s="37" t="str">
        <f aca="false">IF(I26="","",I26/WaterGoal)</f>
        <v/>
      </c>
      <c r="W26" s="37" t="str">
        <f aca="false">IF(COUNT(E26,F26,I26)=0,"",(IF(N(T26)&gt;=1,1,0)+IF(N(U26)&gt;=1,1,0)+IF(N(V26)&gt;=1,1,0))/3)</f>
        <v/>
      </c>
      <c r="X26" s="36" t="n">
        <f aca="false">IF(AND(L26&lt;&gt;"",L26&lt;&gt;"Rest Day"),1,0)</f>
        <v>0</v>
      </c>
      <c r="Y26" s="38" t="n">
        <f aca="false">IF(X26=1,Y25+1,0)</f>
        <v>0</v>
      </c>
      <c r="Z26" s="38" t="n">
        <f aca="false">IF(N(T26)&gt;=1,Z25+1,0)</f>
        <v>0</v>
      </c>
      <c r="AA26" s="38" t="n">
        <f aca="false">IF(N(U26)&gt;=1,AA25+1,0)</f>
        <v>0</v>
      </c>
      <c r="AB26" s="38" t="n">
        <f aca="false">IF(N(V26)&gt;=1,AB25+1,0)</f>
        <v>0</v>
      </c>
      <c r="AC26" s="38" t="str">
        <f aca="false">IF(COUNT(E26,F26,I26,J26)=0,"",ROUND((MIN(IFERROR(E26/StepGoal,0),1)*100)*0.2+(MIN(IFERROR(F26/SleepGoal,0),1)*100)*0.2+(IF(L26="",0,IF(L26="Rest Day",100,MIN(IFERROR(M26/60,0),1)*100)))*0.25+(IFERROR(INDEX('Recovery Tracker'!$E$5:$E$369,MATCH(A26,'Recovery Tracker'!$A$5:$A$369,0))+0,70))*0.15+(MIN(IFERROR(I26/WaterGoal,0),1)*100)*0.1+(IF(J26="",0,MAX(0,100-MIN(ABS(J26-CalorieGoal)/CalorieGoal,1)*100)))*0.1,0))</f>
        <v/>
      </c>
    </row>
    <row r="27" customFormat="false" ht="15" hidden="false" customHeight="false" outlineLevel="0" collapsed="false">
      <c r="A27" s="26" t="n">
        <f aca="false">A26+1</f>
        <v>46045</v>
      </c>
      <c r="B27" s="27" t="str">
        <f aca="false">TEXT(A27,"ddd")</f>
        <v>Fri</v>
      </c>
      <c r="C27" s="27" t="n">
        <f aca="false">INT((A27-StartDate)/7)+1</f>
        <v>4</v>
      </c>
      <c r="D27" s="27" t="str">
        <f aca="false">TEXT(A27,"mmm")</f>
        <v>Jan</v>
      </c>
      <c r="E27" s="28"/>
      <c r="F27" s="29"/>
      <c r="G27" s="29"/>
      <c r="H27" s="30"/>
      <c r="I27" s="29"/>
      <c r="J27" s="28"/>
      <c r="K27" s="28"/>
      <c r="L27" s="31"/>
      <c r="M27" s="28"/>
      <c r="N27" s="31"/>
      <c r="O27" s="31"/>
      <c r="P27" s="31"/>
      <c r="Q27" s="31"/>
      <c r="R27" s="31"/>
      <c r="S27" s="32"/>
      <c r="T27" s="33" t="str">
        <f aca="false">IF(E27="","",E27/StepGoal)</f>
        <v/>
      </c>
      <c r="U27" s="33" t="str">
        <f aca="false">IF(F27="","",F27/SleepGoal)</f>
        <v/>
      </c>
      <c r="V27" s="33" t="str">
        <f aca="false">IF(I27="","",I27/WaterGoal)</f>
        <v/>
      </c>
      <c r="W27" s="33" t="str">
        <f aca="false">IF(COUNT(E27,F27,I27)=0,"",(IF(N(T27)&gt;=1,1,0)+IF(N(U27)&gt;=1,1,0)+IF(N(V27)&gt;=1,1,0))/3)</f>
        <v/>
      </c>
      <c r="X27" s="27" t="n">
        <f aca="false">IF(AND(L27&lt;&gt;"",L27&lt;&gt;"Rest Day"),1,0)</f>
        <v>0</v>
      </c>
      <c r="Y27" s="34" t="n">
        <f aca="false">IF(X27=1,Y26+1,0)</f>
        <v>0</v>
      </c>
      <c r="Z27" s="34" t="n">
        <f aca="false">IF(N(T27)&gt;=1,Z26+1,0)</f>
        <v>0</v>
      </c>
      <c r="AA27" s="34" t="n">
        <f aca="false">IF(N(U27)&gt;=1,AA26+1,0)</f>
        <v>0</v>
      </c>
      <c r="AB27" s="34" t="n">
        <f aca="false">IF(N(V27)&gt;=1,AB26+1,0)</f>
        <v>0</v>
      </c>
      <c r="AC27" s="34" t="str">
        <f aca="false">IF(COUNT(E27,F27,I27,J27)=0,"",ROUND((MIN(IFERROR(E27/StepGoal,0),1)*100)*0.2+(MIN(IFERROR(F27/SleepGoal,0),1)*100)*0.2+(IF(L27="",0,IF(L27="Rest Day",100,MIN(IFERROR(M27/60,0),1)*100)))*0.25+(IFERROR(INDEX('Recovery Tracker'!$E$5:$E$369,MATCH(A27,'Recovery Tracker'!$A$5:$A$369,0))+0,70))*0.15+(MIN(IFERROR(I27/WaterGoal,0),1)*100)*0.1+(IF(J27="",0,MAX(0,100-MIN(ABS(J27-CalorieGoal)/CalorieGoal,1)*100)))*0.1,0))</f>
        <v/>
      </c>
    </row>
    <row r="28" customFormat="false" ht="15" hidden="false" customHeight="false" outlineLevel="0" collapsed="false">
      <c r="A28" s="35" t="n">
        <f aca="false">A27+1</f>
        <v>46046</v>
      </c>
      <c r="B28" s="36" t="str">
        <f aca="false">TEXT(A28,"ddd")</f>
        <v>Sat</v>
      </c>
      <c r="C28" s="36" t="n">
        <f aca="false">INT((A28-StartDate)/7)+1</f>
        <v>4</v>
      </c>
      <c r="D28" s="36" t="str">
        <f aca="false">TEXT(A28,"mmm")</f>
        <v>Jan</v>
      </c>
      <c r="E28" s="28"/>
      <c r="F28" s="29"/>
      <c r="G28" s="29"/>
      <c r="H28" s="30"/>
      <c r="I28" s="29"/>
      <c r="J28" s="28"/>
      <c r="K28" s="28"/>
      <c r="L28" s="31"/>
      <c r="M28" s="28"/>
      <c r="N28" s="31"/>
      <c r="O28" s="31"/>
      <c r="P28" s="31"/>
      <c r="Q28" s="31"/>
      <c r="R28" s="31"/>
      <c r="S28" s="32"/>
      <c r="T28" s="37" t="str">
        <f aca="false">IF(E28="","",E28/StepGoal)</f>
        <v/>
      </c>
      <c r="U28" s="37" t="str">
        <f aca="false">IF(F28="","",F28/SleepGoal)</f>
        <v/>
      </c>
      <c r="V28" s="37" t="str">
        <f aca="false">IF(I28="","",I28/WaterGoal)</f>
        <v/>
      </c>
      <c r="W28" s="37" t="str">
        <f aca="false">IF(COUNT(E28,F28,I28)=0,"",(IF(N(T28)&gt;=1,1,0)+IF(N(U28)&gt;=1,1,0)+IF(N(V28)&gt;=1,1,0))/3)</f>
        <v/>
      </c>
      <c r="X28" s="36" t="n">
        <f aca="false">IF(AND(L28&lt;&gt;"",L28&lt;&gt;"Rest Day"),1,0)</f>
        <v>0</v>
      </c>
      <c r="Y28" s="38" t="n">
        <f aca="false">IF(X28=1,Y27+1,0)</f>
        <v>0</v>
      </c>
      <c r="Z28" s="38" t="n">
        <f aca="false">IF(N(T28)&gt;=1,Z27+1,0)</f>
        <v>0</v>
      </c>
      <c r="AA28" s="38" t="n">
        <f aca="false">IF(N(U28)&gt;=1,AA27+1,0)</f>
        <v>0</v>
      </c>
      <c r="AB28" s="38" t="n">
        <f aca="false">IF(N(V28)&gt;=1,AB27+1,0)</f>
        <v>0</v>
      </c>
      <c r="AC28" s="38" t="str">
        <f aca="false">IF(COUNT(E28,F28,I28,J28)=0,"",ROUND((MIN(IFERROR(E28/StepGoal,0),1)*100)*0.2+(MIN(IFERROR(F28/SleepGoal,0),1)*100)*0.2+(IF(L28="",0,IF(L28="Rest Day",100,MIN(IFERROR(M28/60,0),1)*100)))*0.25+(IFERROR(INDEX('Recovery Tracker'!$E$5:$E$369,MATCH(A28,'Recovery Tracker'!$A$5:$A$369,0))+0,70))*0.15+(MIN(IFERROR(I28/WaterGoal,0),1)*100)*0.1+(IF(J28="",0,MAX(0,100-MIN(ABS(J28-CalorieGoal)/CalorieGoal,1)*100)))*0.1,0))</f>
        <v/>
      </c>
    </row>
    <row r="29" customFormat="false" ht="15" hidden="false" customHeight="false" outlineLevel="0" collapsed="false">
      <c r="A29" s="26" t="n">
        <f aca="false">A28+1</f>
        <v>46047</v>
      </c>
      <c r="B29" s="27" t="str">
        <f aca="false">TEXT(A29,"ddd")</f>
        <v>Sun</v>
      </c>
      <c r="C29" s="27" t="n">
        <f aca="false">INT((A29-StartDate)/7)+1</f>
        <v>4</v>
      </c>
      <c r="D29" s="27" t="str">
        <f aca="false">TEXT(A29,"mmm")</f>
        <v>Jan</v>
      </c>
      <c r="E29" s="28"/>
      <c r="F29" s="29"/>
      <c r="G29" s="29"/>
      <c r="H29" s="30"/>
      <c r="I29" s="29"/>
      <c r="J29" s="28"/>
      <c r="K29" s="28"/>
      <c r="L29" s="31"/>
      <c r="M29" s="28"/>
      <c r="N29" s="31"/>
      <c r="O29" s="31"/>
      <c r="P29" s="31"/>
      <c r="Q29" s="31"/>
      <c r="R29" s="31"/>
      <c r="S29" s="32"/>
      <c r="T29" s="33" t="str">
        <f aca="false">IF(E29="","",E29/StepGoal)</f>
        <v/>
      </c>
      <c r="U29" s="33" t="str">
        <f aca="false">IF(F29="","",F29/SleepGoal)</f>
        <v/>
      </c>
      <c r="V29" s="33" t="str">
        <f aca="false">IF(I29="","",I29/WaterGoal)</f>
        <v/>
      </c>
      <c r="W29" s="33" t="str">
        <f aca="false">IF(COUNT(E29,F29,I29)=0,"",(IF(N(T29)&gt;=1,1,0)+IF(N(U29)&gt;=1,1,0)+IF(N(V29)&gt;=1,1,0))/3)</f>
        <v/>
      </c>
      <c r="X29" s="27" t="n">
        <f aca="false">IF(AND(L29&lt;&gt;"",L29&lt;&gt;"Rest Day"),1,0)</f>
        <v>0</v>
      </c>
      <c r="Y29" s="34" t="n">
        <f aca="false">IF(X29=1,Y28+1,0)</f>
        <v>0</v>
      </c>
      <c r="Z29" s="34" t="n">
        <f aca="false">IF(N(T29)&gt;=1,Z28+1,0)</f>
        <v>0</v>
      </c>
      <c r="AA29" s="34" t="n">
        <f aca="false">IF(N(U29)&gt;=1,AA28+1,0)</f>
        <v>0</v>
      </c>
      <c r="AB29" s="34" t="n">
        <f aca="false">IF(N(V29)&gt;=1,AB28+1,0)</f>
        <v>0</v>
      </c>
      <c r="AC29" s="34" t="str">
        <f aca="false">IF(COUNT(E29,F29,I29,J29)=0,"",ROUND((MIN(IFERROR(E29/StepGoal,0),1)*100)*0.2+(MIN(IFERROR(F29/SleepGoal,0),1)*100)*0.2+(IF(L29="",0,IF(L29="Rest Day",100,MIN(IFERROR(M29/60,0),1)*100)))*0.25+(IFERROR(INDEX('Recovery Tracker'!$E$5:$E$369,MATCH(A29,'Recovery Tracker'!$A$5:$A$369,0))+0,70))*0.15+(MIN(IFERROR(I29/WaterGoal,0),1)*100)*0.1+(IF(J29="",0,MAX(0,100-MIN(ABS(J29-CalorieGoal)/CalorieGoal,1)*100)))*0.1,0))</f>
        <v/>
      </c>
    </row>
    <row r="30" customFormat="false" ht="15" hidden="false" customHeight="false" outlineLevel="0" collapsed="false">
      <c r="A30" s="35" t="n">
        <f aca="false">A29+1</f>
        <v>46048</v>
      </c>
      <c r="B30" s="36" t="str">
        <f aca="false">TEXT(A30,"ddd")</f>
        <v>Mon</v>
      </c>
      <c r="C30" s="36" t="n">
        <f aca="false">INT((A30-StartDate)/7)+1</f>
        <v>4</v>
      </c>
      <c r="D30" s="36" t="str">
        <f aca="false">TEXT(A30,"mmm")</f>
        <v>Jan</v>
      </c>
      <c r="E30" s="28"/>
      <c r="F30" s="29"/>
      <c r="G30" s="29"/>
      <c r="H30" s="30"/>
      <c r="I30" s="29"/>
      <c r="J30" s="28"/>
      <c r="K30" s="28"/>
      <c r="L30" s="31"/>
      <c r="M30" s="28"/>
      <c r="N30" s="31"/>
      <c r="O30" s="31"/>
      <c r="P30" s="31"/>
      <c r="Q30" s="31"/>
      <c r="R30" s="31"/>
      <c r="S30" s="32"/>
      <c r="T30" s="37" t="str">
        <f aca="false">IF(E30="","",E30/StepGoal)</f>
        <v/>
      </c>
      <c r="U30" s="37" t="str">
        <f aca="false">IF(F30="","",F30/SleepGoal)</f>
        <v/>
      </c>
      <c r="V30" s="37" t="str">
        <f aca="false">IF(I30="","",I30/WaterGoal)</f>
        <v/>
      </c>
      <c r="W30" s="37" t="str">
        <f aca="false">IF(COUNT(E30,F30,I30)=0,"",(IF(N(T30)&gt;=1,1,0)+IF(N(U30)&gt;=1,1,0)+IF(N(V30)&gt;=1,1,0))/3)</f>
        <v/>
      </c>
      <c r="X30" s="36" t="n">
        <f aca="false">IF(AND(L30&lt;&gt;"",L30&lt;&gt;"Rest Day"),1,0)</f>
        <v>0</v>
      </c>
      <c r="Y30" s="38" t="n">
        <f aca="false">IF(X30=1,Y29+1,0)</f>
        <v>0</v>
      </c>
      <c r="Z30" s="38" t="n">
        <f aca="false">IF(N(T30)&gt;=1,Z29+1,0)</f>
        <v>0</v>
      </c>
      <c r="AA30" s="38" t="n">
        <f aca="false">IF(N(U30)&gt;=1,AA29+1,0)</f>
        <v>0</v>
      </c>
      <c r="AB30" s="38" t="n">
        <f aca="false">IF(N(V30)&gt;=1,AB29+1,0)</f>
        <v>0</v>
      </c>
      <c r="AC30" s="38" t="str">
        <f aca="false">IF(COUNT(E30,F30,I30,J30)=0,"",ROUND((MIN(IFERROR(E30/StepGoal,0),1)*100)*0.2+(MIN(IFERROR(F30/SleepGoal,0),1)*100)*0.2+(IF(L30="",0,IF(L30="Rest Day",100,MIN(IFERROR(M30/60,0),1)*100)))*0.25+(IFERROR(INDEX('Recovery Tracker'!$E$5:$E$369,MATCH(A30,'Recovery Tracker'!$A$5:$A$369,0))+0,70))*0.15+(MIN(IFERROR(I30/WaterGoal,0),1)*100)*0.1+(IF(J30="",0,MAX(0,100-MIN(ABS(J30-CalorieGoal)/CalorieGoal,1)*100)))*0.1,0))</f>
        <v/>
      </c>
    </row>
    <row r="31" customFormat="false" ht="15" hidden="false" customHeight="false" outlineLevel="0" collapsed="false">
      <c r="A31" s="26" t="n">
        <f aca="false">A30+1</f>
        <v>46049</v>
      </c>
      <c r="B31" s="27" t="str">
        <f aca="false">TEXT(A31,"ddd")</f>
        <v>Tue</v>
      </c>
      <c r="C31" s="27" t="n">
        <f aca="false">INT((A31-StartDate)/7)+1</f>
        <v>4</v>
      </c>
      <c r="D31" s="27" t="str">
        <f aca="false">TEXT(A31,"mmm")</f>
        <v>Jan</v>
      </c>
      <c r="E31" s="28"/>
      <c r="F31" s="29"/>
      <c r="G31" s="29"/>
      <c r="H31" s="30"/>
      <c r="I31" s="29"/>
      <c r="J31" s="28"/>
      <c r="K31" s="28"/>
      <c r="L31" s="31"/>
      <c r="M31" s="28"/>
      <c r="N31" s="31"/>
      <c r="O31" s="31"/>
      <c r="P31" s="31"/>
      <c r="Q31" s="31"/>
      <c r="R31" s="31"/>
      <c r="S31" s="32"/>
      <c r="T31" s="33" t="str">
        <f aca="false">IF(E31="","",E31/StepGoal)</f>
        <v/>
      </c>
      <c r="U31" s="33" t="str">
        <f aca="false">IF(F31="","",F31/SleepGoal)</f>
        <v/>
      </c>
      <c r="V31" s="33" t="str">
        <f aca="false">IF(I31="","",I31/WaterGoal)</f>
        <v/>
      </c>
      <c r="W31" s="33" t="str">
        <f aca="false">IF(COUNT(E31,F31,I31)=0,"",(IF(N(T31)&gt;=1,1,0)+IF(N(U31)&gt;=1,1,0)+IF(N(V31)&gt;=1,1,0))/3)</f>
        <v/>
      </c>
      <c r="X31" s="27" t="n">
        <f aca="false">IF(AND(L31&lt;&gt;"",L31&lt;&gt;"Rest Day"),1,0)</f>
        <v>0</v>
      </c>
      <c r="Y31" s="34" t="n">
        <f aca="false">IF(X31=1,Y30+1,0)</f>
        <v>0</v>
      </c>
      <c r="Z31" s="34" t="n">
        <f aca="false">IF(N(T31)&gt;=1,Z30+1,0)</f>
        <v>0</v>
      </c>
      <c r="AA31" s="34" t="n">
        <f aca="false">IF(N(U31)&gt;=1,AA30+1,0)</f>
        <v>0</v>
      </c>
      <c r="AB31" s="34" t="n">
        <f aca="false">IF(N(V31)&gt;=1,AB30+1,0)</f>
        <v>0</v>
      </c>
      <c r="AC31" s="34" t="str">
        <f aca="false">IF(COUNT(E31,F31,I31,J31)=0,"",ROUND((MIN(IFERROR(E31/StepGoal,0),1)*100)*0.2+(MIN(IFERROR(F31/SleepGoal,0),1)*100)*0.2+(IF(L31="",0,IF(L31="Rest Day",100,MIN(IFERROR(M31/60,0),1)*100)))*0.25+(IFERROR(INDEX('Recovery Tracker'!$E$5:$E$369,MATCH(A31,'Recovery Tracker'!$A$5:$A$369,0))+0,70))*0.15+(MIN(IFERROR(I31/WaterGoal,0),1)*100)*0.1+(IF(J31="",0,MAX(0,100-MIN(ABS(J31-CalorieGoal)/CalorieGoal,1)*100)))*0.1,0))</f>
        <v/>
      </c>
    </row>
    <row r="32" customFormat="false" ht="15" hidden="false" customHeight="false" outlineLevel="0" collapsed="false">
      <c r="A32" s="35" t="n">
        <f aca="false">A31+1</f>
        <v>46050</v>
      </c>
      <c r="B32" s="36" t="str">
        <f aca="false">TEXT(A32,"ddd")</f>
        <v>Wed</v>
      </c>
      <c r="C32" s="36" t="n">
        <f aca="false">INT((A32-StartDate)/7)+1</f>
        <v>4</v>
      </c>
      <c r="D32" s="36" t="str">
        <f aca="false">TEXT(A32,"mmm")</f>
        <v>Jan</v>
      </c>
      <c r="E32" s="28"/>
      <c r="F32" s="29"/>
      <c r="G32" s="29"/>
      <c r="H32" s="30"/>
      <c r="I32" s="29"/>
      <c r="J32" s="28"/>
      <c r="K32" s="28"/>
      <c r="L32" s="31"/>
      <c r="M32" s="28"/>
      <c r="N32" s="31"/>
      <c r="O32" s="31"/>
      <c r="P32" s="31"/>
      <c r="Q32" s="31"/>
      <c r="R32" s="31"/>
      <c r="S32" s="32"/>
      <c r="T32" s="37" t="str">
        <f aca="false">IF(E32="","",E32/StepGoal)</f>
        <v/>
      </c>
      <c r="U32" s="37" t="str">
        <f aca="false">IF(F32="","",F32/SleepGoal)</f>
        <v/>
      </c>
      <c r="V32" s="37" t="str">
        <f aca="false">IF(I32="","",I32/WaterGoal)</f>
        <v/>
      </c>
      <c r="W32" s="37" t="str">
        <f aca="false">IF(COUNT(E32,F32,I32)=0,"",(IF(N(T32)&gt;=1,1,0)+IF(N(U32)&gt;=1,1,0)+IF(N(V32)&gt;=1,1,0))/3)</f>
        <v/>
      </c>
      <c r="X32" s="36" t="n">
        <f aca="false">IF(AND(L32&lt;&gt;"",L32&lt;&gt;"Rest Day"),1,0)</f>
        <v>0</v>
      </c>
      <c r="Y32" s="38" t="n">
        <f aca="false">IF(X32=1,Y31+1,0)</f>
        <v>0</v>
      </c>
      <c r="Z32" s="38" t="n">
        <f aca="false">IF(N(T32)&gt;=1,Z31+1,0)</f>
        <v>0</v>
      </c>
      <c r="AA32" s="38" t="n">
        <f aca="false">IF(N(U32)&gt;=1,AA31+1,0)</f>
        <v>0</v>
      </c>
      <c r="AB32" s="38" t="n">
        <f aca="false">IF(N(V32)&gt;=1,AB31+1,0)</f>
        <v>0</v>
      </c>
      <c r="AC32" s="38" t="str">
        <f aca="false">IF(COUNT(E32,F32,I32,J32)=0,"",ROUND((MIN(IFERROR(E32/StepGoal,0),1)*100)*0.2+(MIN(IFERROR(F32/SleepGoal,0),1)*100)*0.2+(IF(L32="",0,IF(L32="Rest Day",100,MIN(IFERROR(M32/60,0),1)*100)))*0.25+(IFERROR(INDEX('Recovery Tracker'!$E$5:$E$369,MATCH(A32,'Recovery Tracker'!$A$5:$A$369,0))+0,70))*0.15+(MIN(IFERROR(I32/WaterGoal,0),1)*100)*0.1+(IF(J32="",0,MAX(0,100-MIN(ABS(J32-CalorieGoal)/CalorieGoal,1)*100)))*0.1,0))</f>
        <v/>
      </c>
    </row>
    <row r="33" customFormat="false" ht="15" hidden="false" customHeight="false" outlineLevel="0" collapsed="false">
      <c r="A33" s="26" t="n">
        <f aca="false">A32+1</f>
        <v>46051</v>
      </c>
      <c r="B33" s="27" t="str">
        <f aca="false">TEXT(A33,"ddd")</f>
        <v>Thu</v>
      </c>
      <c r="C33" s="27" t="n">
        <f aca="false">INT((A33-StartDate)/7)+1</f>
        <v>5</v>
      </c>
      <c r="D33" s="27" t="str">
        <f aca="false">TEXT(A33,"mmm")</f>
        <v>Jan</v>
      </c>
      <c r="E33" s="28"/>
      <c r="F33" s="29"/>
      <c r="G33" s="29"/>
      <c r="H33" s="30"/>
      <c r="I33" s="29"/>
      <c r="J33" s="28"/>
      <c r="K33" s="28"/>
      <c r="L33" s="31"/>
      <c r="M33" s="28"/>
      <c r="N33" s="31"/>
      <c r="O33" s="31"/>
      <c r="P33" s="31"/>
      <c r="Q33" s="31"/>
      <c r="R33" s="31"/>
      <c r="S33" s="32"/>
      <c r="T33" s="33" t="str">
        <f aca="false">IF(E33="","",E33/StepGoal)</f>
        <v/>
      </c>
      <c r="U33" s="33" t="str">
        <f aca="false">IF(F33="","",F33/SleepGoal)</f>
        <v/>
      </c>
      <c r="V33" s="33" t="str">
        <f aca="false">IF(I33="","",I33/WaterGoal)</f>
        <v/>
      </c>
      <c r="W33" s="33" t="str">
        <f aca="false">IF(COUNT(E33,F33,I33)=0,"",(IF(N(T33)&gt;=1,1,0)+IF(N(U33)&gt;=1,1,0)+IF(N(V33)&gt;=1,1,0))/3)</f>
        <v/>
      </c>
      <c r="X33" s="27" t="n">
        <f aca="false">IF(AND(L33&lt;&gt;"",L33&lt;&gt;"Rest Day"),1,0)</f>
        <v>0</v>
      </c>
      <c r="Y33" s="34" t="n">
        <f aca="false">IF(X33=1,Y32+1,0)</f>
        <v>0</v>
      </c>
      <c r="Z33" s="34" t="n">
        <f aca="false">IF(N(T33)&gt;=1,Z32+1,0)</f>
        <v>0</v>
      </c>
      <c r="AA33" s="34" t="n">
        <f aca="false">IF(N(U33)&gt;=1,AA32+1,0)</f>
        <v>0</v>
      </c>
      <c r="AB33" s="34" t="n">
        <f aca="false">IF(N(V33)&gt;=1,AB32+1,0)</f>
        <v>0</v>
      </c>
      <c r="AC33" s="34" t="str">
        <f aca="false">IF(COUNT(E33,F33,I33,J33)=0,"",ROUND((MIN(IFERROR(E33/StepGoal,0),1)*100)*0.2+(MIN(IFERROR(F33/SleepGoal,0),1)*100)*0.2+(IF(L33="",0,IF(L33="Rest Day",100,MIN(IFERROR(M33/60,0),1)*100)))*0.25+(IFERROR(INDEX('Recovery Tracker'!$E$5:$E$369,MATCH(A33,'Recovery Tracker'!$A$5:$A$369,0))+0,70))*0.15+(MIN(IFERROR(I33/WaterGoal,0),1)*100)*0.1+(IF(J33="",0,MAX(0,100-MIN(ABS(J33-CalorieGoal)/CalorieGoal,1)*100)))*0.1,0))</f>
        <v/>
      </c>
    </row>
    <row r="34" customFormat="false" ht="15" hidden="false" customHeight="false" outlineLevel="0" collapsed="false">
      <c r="A34" s="35" t="n">
        <f aca="false">A33+1</f>
        <v>46052</v>
      </c>
      <c r="B34" s="36" t="str">
        <f aca="false">TEXT(A34,"ddd")</f>
        <v>Fri</v>
      </c>
      <c r="C34" s="36" t="n">
        <f aca="false">INT((A34-StartDate)/7)+1</f>
        <v>5</v>
      </c>
      <c r="D34" s="36" t="str">
        <f aca="false">TEXT(A34,"mmm")</f>
        <v>Jan</v>
      </c>
      <c r="E34" s="28"/>
      <c r="F34" s="29"/>
      <c r="G34" s="29"/>
      <c r="H34" s="30"/>
      <c r="I34" s="29"/>
      <c r="J34" s="28"/>
      <c r="K34" s="28"/>
      <c r="L34" s="31"/>
      <c r="M34" s="28"/>
      <c r="N34" s="31"/>
      <c r="O34" s="31"/>
      <c r="P34" s="31"/>
      <c r="Q34" s="31"/>
      <c r="R34" s="31"/>
      <c r="S34" s="32"/>
      <c r="T34" s="37" t="str">
        <f aca="false">IF(E34="","",E34/StepGoal)</f>
        <v/>
      </c>
      <c r="U34" s="37" t="str">
        <f aca="false">IF(F34="","",F34/SleepGoal)</f>
        <v/>
      </c>
      <c r="V34" s="37" t="str">
        <f aca="false">IF(I34="","",I34/WaterGoal)</f>
        <v/>
      </c>
      <c r="W34" s="37" t="str">
        <f aca="false">IF(COUNT(E34,F34,I34)=0,"",(IF(N(T34)&gt;=1,1,0)+IF(N(U34)&gt;=1,1,0)+IF(N(V34)&gt;=1,1,0))/3)</f>
        <v/>
      </c>
      <c r="X34" s="36" t="n">
        <f aca="false">IF(AND(L34&lt;&gt;"",L34&lt;&gt;"Rest Day"),1,0)</f>
        <v>0</v>
      </c>
      <c r="Y34" s="38" t="n">
        <f aca="false">IF(X34=1,Y33+1,0)</f>
        <v>0</v>
      </c>
      <c r="Z34" s="38" t="n">
        <f aca="false">IF(N(T34)&gt;=1,Z33+1,0)</f>
        <v>0</v>
      </c>
      <c r="AA34" s="38" t="n">
        <f aca="false">IF(N(U34)&gt;=1,AA33+1,0)</f>
        <v>0</v>
      </c>
      <c r="AB34" s="38" t="n">
        <f aca="false">IF(N(V34)&gt;=1,AB33+1,0)</f>
        <v>0</v>
      </c>
      <c r="AC34" s="38" t="str">
        <f aca="false">IF(COUNT(E34,F34,I34,J34)=0,"",ROUND((MIN(IFERROR(E34/StepGoal,0),1)*100)*0.2+(MIN(IFERROR(F34/SleepGoal,0),1)*100)*0.2+(IF(L34="",0,IF(L34="Rest Day",100,MIN(IFERROR(M34/60,0),1)*100)))*0.25+(IFERROR(INDEX('Recovery Tracker'!$E$5:$E$369,MATCH(A34,'Recovery Tracker'!$A$5:$A$369,0))+0,70))*0.15+(MIN(IFERROR(I34/WaterGoal,0),1)*100)*0.1+(IF(J34="",0,MAX(0,100-MIN(ABS(J34-CalorieGoal)/CalorieGoal,1)*100)))*0.1,0))</f>
        <v/>
      </c>
    </row>
    <row r="35" customFormat="false" ht="15" hidden="false" customHeight="false" outlineLevel="0" collapsed="false">
      <c r="A35" s="26" t="n">
        <f aca="false">A34+1</f>
        <v>46053</v>
      </c>
      <c r="B35" s="27" t="str">
        <f aca="false">TEXT(A35,"ddd")</f>
        <v>Sat</v>
      </c>
      <c r="C35" s="27" t="n">
        <f aca="false">INT((A35-StartDate)/7)+1</f>
        <v>5</v>
      </c>
      <c r="D35" s="27" t="str">
        <f aca="false">TEXT(A35,"mmm")</f>
        <v>Jan</v>
      </c>
      <c r="E35" s="28"/>
      <c r="F35" s="29"/>
      <c r="G35" s="29"/>
      <c r="H35" s="30"/>
      <c r="I35" s="29"/>
      <c r="J35" s="28"/>
      <c r="K35" s="28"/>
      <c r="L35" s="31"/>
      <c r="M35" s="28"/>
      <c r="N35" s="31"/>
      <c r="O35" s="31"/>
      <c r="P35" s="31"/>
      <c r="Q35" s="31"/>
      <c r="R35" s="31"/>
      <c r="S35" s="32"/>
      <c r="T35" s="33" t="str">
        <f aca="false">IF(E35="","",E35/StepGoal)</f>
        <v/>
      </c>
      <c r="U35" s="33" t="str">
        <f aca="false">IF(F35="","",F35/SleepGoal)</f>
        <v/>
      </c>
      <c r="V35" s="33" t="str">
        <f aca="false">IF(I35="","",I35/WaterGoal)</f>
        <v/>
      </c>
      <c r="W35" s="33" t="str">
        <f aca="false">IF(COUNT(E35,F35,I35)=0,"",(IF(N(T35)&gt;=1,1,0)+IF(N(U35)&gt;=1,1,0)+IF(N(V35)&gt;=1,1,0))/3)</f>
        <v/>
      </c>
      <c r="X35" s="27" t="n">
        <f aca="false">IF(AND(L35&lt;&gt;"",L35&lt;&gt;"Rest Day"),1,0)</f>
        <v>0</v>
      </c>
      <c r="Y35" s="34" t="n">
        <f aca="false">IF(X35=1,Y34+1,0)</f>
        <v>0</v>
      </c>
      <c r="Z35" s="34" t="n">
        <f aca="false">IF(N(T35)&gt;=1,Z34+1,0)</f>
        <v>0</v>
      </c>
      <c r="AA35" s="34" t="n">
        <f aca="false">IF(N(U35)&gt;=1,AA34+1,0)</f>
        <v>0</v>
      </c>
      <c r="AB35" s="34" t="n">
        <f aca="false">IF(N(V35)&gt;=1,AB34+1,0)</f>
        <v>0</v>
      </c>
      <c r="AC35" s="34" t="str">
        <f aca="false">IF(COUNT(E35,F35,I35,J35)=0,"",ROUND((MIN(IFERROR(E35/StepGoal,0),1)*100)*0.2+(MIN(IFERROR(F35/SleepGoal,0),1)*100)*0.2+(IF(L35="",0,IF(L35="Rest Day",100,MIN(IFERROR(M35/60,0),1)*100)))*0.25+(IFERROR(INDEX('Recovery Tracker'!$E$5:$E$369,MATCH(A35,'Recovery Tracker'!$A$5:$A$369,0))+0,70))*0.15+(MIN(IFERROR(I35/WaterGoal,0),1)*100)*0.1+(IF(J35="",0,MAX(0,100-MIN(ABS(J35-CalorieGoal)/CalorieGoal,1)*100)))*0.1,0))</f>
        <v/>
      </c>
    </row>
    <row r="36" customFormat="false" ht="15" hidden="false" customHeight="false" outlineLevel="0" collapsed="false">
      <c r="A36" s="35" t="n">
        <f aca="false">A35+1</f>
        <v>46054</v>
      </c>
      <c r="B36" s="36" t="str">
        <f aca="false">TEXT(A36,"ddd")</f>
        <v>Sun</v>
      </c>
      <c r="C36" s="36" t="n">
        <f aca="false">INT((A36-StartDate)/7)+1</f>
        <v>5</v>
      </c>
      <c r="D36" s="36" t="str">
        <f aca="false">TEXT(A36,"mmm")</f>
        <v>Feb</v>
      </c>
      <c r="E36" s="28"/>
      <c r="F36" s="29"/>
      <c r="G36" s="29"/>
      <c r="H36" s="30"/>
      <c r="I36" s="29"/>
      <c r="J36" s="28"/>
      <c r="K36" s="28"/>
      <c r="L36" s="31"/>
      <c r="M36" s="28"/>
      <c r="N36" s="31"/>
      <c r="O36" s="31"/>
      <c r="P36" s="31"/>
      <c r="Q36" s="31"/>
      <c r="R36" s="31"/>
      <c r="S36" s="32"/>
      <c r="T36" s="37" t="str">
        <f aca="false">IF(E36="","",E36/StepGoal)</f>
        <v/>
      </c>
      <c r="U36" s="37" t="str">
        <f aca="false">IF(F36="","",F36/SleepGoal)</f>
        <v/>
      </c>
      <c r="V36" s="37" t="str">
        <f aca="false">IF(I36="","",I36/WaterGoal)</f>
        <v/>
      </c>
      <c r="W36" s="37" t="str">
        <f aca="false">IF(COUNT(E36,F36,I36)=0,"",(IF(N(T36)&gt;=1,1,0)+IF(N(U36)&gt;=1,1,0)+IF(N(V36)&gt;=1,1,0))/3)</f>
        <v/>
      </c>
      <c r="X36" s="36" t="n">
        <f aca="false">IF(AND(L36&lt;&gt;"",L36&lt;&gt;"Rest Day"),1,0)</f>
        <v>0</v>
      </c>
      <c r="Y36" s="38" t="n">
        <f aca="false">IF(X36=1,Y35+1,0)</f>
        <v>0</v>
      </c>
      <c r="Z36" s="38" t="n">
        <f aca="false">IF(N(T36)&gt;=1,Z35+1,0)</f>
        <v>0</v>
      </c>
      <c r="AA36" s="38" t="n">
        <f aca="false">IF(N(U36)&gt;=1,AA35+1,0)</f>
        <v>0</v>
      </c>
      <c r="AB36" s="38" t="n">
        <f aca="false">IF(N(V36)&gt;=1,AB35+1,0)</f>
        <v>0</v>
      </c>
      <c r="AC36" s="38" t="str">
        <f aca="false">IF(COUNT(E36,F36,I36,J36)=0,"",ROUND((MIN(IFERROR(E36/StepGoal,0),1)*100)*0.2+(MIN(IFERROR(F36/SleepGoal,0),1)*100)*0.2+(IF(L36="",0,IF(L36="Rest Day",100,MIN(IFERROR(M36/60,0),1)*100)))*0.25+(IFERROR(INDEX('Recovery Tracker'!$E$5:$E$369,MATCH(A36,'Recovery Tracker'!$A$5:$A$369,0))+0,70))*0.15+(MIN(IFERROR(I36/WaterGoal,0),1)*100)*0.1+(IF(J36="",0,MAX(0,100-MIN(ABS(J36-CalorieGoal)/CalorieGoal,1)*100)))*0.1,0))</f>
        <v/>
      </c>
    </row>
    <row r="37" customFormat="false" ht="15" hidden="false" customHeight="false" outlineLevel="0" collapsed="false">
      <c r="A37" s="26" t="n">
        <f aca="false">A36+1</f>
        <v>46055</v>
      </c>
      <c r="B37" s="27" t="str">
        <f aca="false">TEXT(A37,"ddd")</f>
        <v>Mon</v>
      </c>
      <c r="C37" s="27" t="n">
        <f aca="false">INT((A37-StartDate)/7)+1</f>
        <v>5</v>
      </c>
      <c r="D37" s="27" t="str">
        <f aca="false">TEXT(A37,"mmm")</f>
        <v>Feb</v>
      </c>
      <c r="E37" s="28"/>
      <c r="F37" s="29"/>
      <c r="G37" s="29"/>
      <c r="H37" s="30"/>
      <c r="I37" s="29"/>
      <c r="J37" s="28"/>
      <c r="K37" s="28"/>
      <c r="L37" s="31"/>
      <c r="M37" s="28"/>
      <c r="N37" s="31"/>
      <c r="O37" s="31"/>
      <c r="P37" s="31"/>
      <c r="Q37" s="31"/>
      <c r="R37" s="31"/>
      <c r="S37" s="32"/>
      <c r="T37" s="33" t="str">
        <f aca="false">IF(E37="","",E37/StepGoal)</f>
        <v/>
      </c>
      <c r="U37" s="33" t="str">
        <f aca="false">IF(F37="","",F37/SleepGoal)</f>
        <v/>
      </c>
      <c r="V37" s="33" t="str">
        <f aca="false">IF(I37="","",I37/WaterGoal)</f>
        <v/>
      </c>
      <c r="W37" s="33" t="str">
        <f aca="false">IF(COUNT(E37,F37,I37)=0,"",(IF(N(T37)&gt;=1,1,0)+IF(N(U37)&gt;=1,1,0)+IF(N(V37)&gt;=1,1,0))/3)</f>
        <v/>
      </c>
      <c r="X37" s="27" t="n">
        <f aca="false">IF(AND(L37&lt;&gt;"",L37&lt;&gt;"Rest Day"),1,0)</f>
        <v>0</v>
      </c>
      <c r="Y37" s="34" t="n">
        <f aca="false">IF(X37=1,Y36+1,0)</f>
        <v>0</v>
      </c>
      <c r="Z37" s="34" t="n">
        <f aca="false">IF(N(T37)&gt;=1,Z36+1,0)</f>
        <v>0</v>
      </c>
      <c r="AA37" s="34" t="n">
        <f aca="false">IF(N(U37)&gt;=1,AA36+1,0)</f>
        <v>0</v>
      </c>
      <c r="AB37" s="34" t="n">
        <f aca="false">IF(N(V37)&gt;=1,AB36+1,0)</f>
        <v>0</v>
      </c>
      <c r="AC37" s="34" t="str">
        <f aca="false">IF(COUNT(E37,F37,I37,J37)=0,"",ROUND((MIN(IFERROR(E37/StepGoal,0),1)*100)*0.2+(MIN(IFERROR(F37/SleepGoal,0),1)*100)*0.2+(IF(L37="",0,IF(L37="Rest Day",100,MIN(IFERROR(M37/60,0),1)*100)))*0.25+(IFERROR(INDEX('Recovery Tracker'!$E$5:$E$369,MATCH(A37,'Recovery Tracker'!$A$5:$A$369,0))+0,70))*0.15+(MIN(IFERROR(I37/WaterGoal,0),1)*100)*0.1+(IF(J37="",0,MAX(0,100-MIN(ABS(J37-CalorieGoal)/CalorieGoal,1)*100)))*0.1,0))</f>
        <v/>
      </c>
    </row>
    <row r="38" customFormat="false" ht="15" hidden="false" customHeight="false" outlineLevel="0" collapsed="false">
      <c r="A38" s="35" t="n">
        <f aca="false">A37+1</f>
        <v>46056</v>
      </c>
      <c r="B38" s="36" t="str">
        <f aca="false">TEXT(A38,"ddd")</f>
        <v>Tue</v>
      </c>
      <c r="C38" s="36" t="n">
        <f aca="false">INT((A38-StartDate)/7)+1</f>
        <v>5</v>
      </c>
      <c r="D38" s="36" t="str">
        <f aca="false">TEXT(A38,"mmm")</f>
        <v>Feb</v>
      </c>
      <c r="E38" s="28"/>
      <c r="F38" s="29"/>
      <c r="G38" s="29"/>
      <c r="H38" s="30"/>
      <c r="I38" s="29"/>
      <c r="J38" s="28"/>
      <c r="K38" s="28"/>
      <c r="L38" s="31"/>
      <c r="M38" s="28"/>
      <c r="N38" s="31"/>
      <c r="O38" s="31"/>
      <c r="P38" s="31"/>
      <c r="Q38" s="31"/>
      <c r="R38" s="31"/>
      <c r="S38" s="32"/>
      <c r="T38" s="37" t="str">
        <f aca="false">IF(E38="","",E38/StepGoal)</f>
        <v/>
      </c>
      <c r="U38" s="37" t="str">
        <f aca="false">IF(F38="","",F38/SleepGoal)</f>
        <v/>
      </c>
      <c r="V38" s="37" t="str">
        <f aca="false">IF(I38="","",I38/WaterGoal)</f>
        <v/>
      </c>
      <c r="W38" s="37" t="str">
        <f aca="false">IF(COUNT(E38,F38,I38)=0,"",(IF(N(T38)&gt;=1,1,0)+IF(N(U38)&gt;=1,1,0)+IF(N(V38)&gt;=1,1,0))/3)</f>
        <v/>
      </c>
      <c r="X38" s="36" t="n">
        <f aca="false">IF(AND(L38&lt;&gt;"",L38&lt;&gt;"Rest Day"),1,0)</f>
        <v>0</v>
      </c>
      <c r="Y38" s="38" t="n">
        <f aca="false">IF(X38=1,Y37+1,0)</f>
        <v>0</v>
      </c>
      <c r="Z38" s="38" t="n">
        <f aca="false">IF(N(T38)&gt;=1,Z37+1,0)</f>
        <v>0</v>
      </c>
      <c r="AA38" s="38" t="n">
        <f aca="false">IF(N(U38)&gt;=1,AA37+1,0)</f>
        <v>0</v>
      </c>
      <c r="AB38" s="38" t="n">
        <f aca="false">IF(N(V38)&gt;=1,AB37+1,0)</f>
        <v>0</v>
      </c>
      <c r="AC38" s="38" t="str">
        <f aca="false">IF(COUNT(E38,F38,I38,J38)=0,"",ROUND((MIN(IFERROR(E38/StepGoal,0),1)*100)*0.2+(MIN(IFERROR(F38/SleepGoal,0),1)*100)*0.2+(IF(L38="",0,IF(L38="Rest Day",100,MIN(IFERROR(M38/60,0),1)*100)))*0.25+(IFERROR(INDEX('Recovery Tracker'!$E$5:$E$369,MATCH(A38,'Recovery Tracker'!$A$5:$A$369,0))+0,70))*0.15+(MIN(IFERROR(I38/WaterGoal,0),1)*100)*0.1+(IF(J38="",0,MAX(0,100-MIN(ABS(J38-CalorieGoal)/CalorieGoal,1)*100)))*0.1,0))</f>
        <v/>
      </c>
    </row>
    <row r="39" customFormat="false" ht="15" hidden="false" customHeight="false" outlineLevel="0" collapsed="false">
      <c r="A39" s="26" t="n">
        <f aca="false">A38+1</f>
        <v>46057</v>
      </c>
      <c r="B39" s="27" t="str">
        <f aca="false">TEXT(A39,"ddd")</f>
        <v>Wed</v>
      </c>
      <c r="C39" s="27" t="n">
        <f aca="false">INT((A39-StartDate)/7)+1</f>
        <v>5</v>
      </c>
      <c r="D39" s="27" t="str">
        <f aca="false">TEXT(A39,"mmm")</f>
        <v>Feb</v>
      </c>
      <c r="E39" s="28"/>
      <c r="F39" s="29"/>
      <c r="G39" s="29"/>
      <c r="H39" s="30"/>
      <c r="I39" s="29"/>
      <c r="J39" s="28"/>
      <c r="K39" s="28"/>
      <c r="L39" s="31"/>
      <c r="M39" s="28"/>
      <c r="N39" s="31"/>
      <c r="O39" s="31"/>
      <c r="P39" s="31"/>
      <c r="Q39" s="31"/>
      <c r="R39" s="31"/>
      <c r="S39" s="32"/>
      <c r="T39" s="33" t="str">
        <f aca="false">IF(E39="","",E39/StepGoal)</f>
        <v/>
      </c>
      <c r="U39" s="33" t="str">
        <f aca="false">IF(F39="","",F39/SleepGoal)</f>
        <v/>
      </c>
      <c r="V39" s="33" t="str">
        <f aca="false">IF(I39="","",I39/WaterGoal)</f>
        <v/>
      </c>
      <c r="W39" s="33" t="str">
        <f aca="false">IF(COUNT(E39,F39,I39)=0,"",(IF(N(T39)&gt;=1,1,0)+IF(N(U39)&gt;=1,1,0)+IF(N(V39)&gt;=1,1,0))/3)</f>
        <v/>
      </c>
      <c r="X39" s="27" t="n">
        <f aca="false">IF(AND(L39&lt;&gt;"",L39&lt;&gt;"Rest Day"),1,0)</f>
        <v>0</v>
      </c>
      <c r="Y39" s="34" t="n">
        <f aca="false">IF(X39=1,Y38+1,0)</f>
        <v>0</v>
      </c>
      <c r="Z39" s="34" t="n">
        <f aca="false">IF(N(T39)&gt;=1,Z38+1,0)</f>
        <v>0</v>
      </c>
      <c r="AA39" s="34" t="n">
        <f aca="false">IF(N(U39)&gt;=1,AA38+1,0)</f>
        <v>0</v>
      </c>
      <c r="AB39" s="34" t="n">
        <f aca="false">IF(N(V39)&gt;=1,AB38+1,0)</f>
        <v>0</v>
      </c>
      <c r="AC39" s="34" t="str">
        <f aca="false">IF(COUNT(E39,F39,I39,J39)=0,"",ROUND((MIN(IFERROR(E39/StepGoal,0),1)*100)*0.2+(MIN(IFERROR(F39/SleepGoal,0),1)*100)*0.2+(IF(L39="",0,IF(L39="Rest Day",100,MIN(IFERROR(M39/60,0),1)*100)))*0.25+(IFERROR(INDEX('Recovery Tracker'!$E$5:$E$369,MATCH(A39,'Recovery Tracker'!$A$5:$A$369,0))+0,70))*0.15+(MIN(IFERROR(I39/WaterGoal,0),1)*100)*0.1+(IF(J39="",0,MAX(0,100-MIN(ABS(J39-CalorieGoal)/CalorieGoal,1)*100)))*0.1,0))</f>
        <v/>
      </c>
    </row>
    <row r="40" customFormat="false" ht="15" hidden="false" customHeight="false" outlineLevel="0" collapsed="false">
      <c r="A40" s="35" t="n">
        <f aca="false">A39+1</f>
        <v>46058</v>
      </c>
      <c r="B40" s="36" t="str">
        <f aca="false">TEXT(A40,"ddd")</f>
        <v>Thu</v>
      </c>
      <c r="C40" s="36" t="n">
        <f aca="false">INT((A40-StartDate)/7)+1</f>
        <v>6</v>
      </c>
      <c r="D40" s="36" t="str">
        <f aca="false">TEXT(A40,"mmm")</f>
        <v>Feb</v>
      </c>
      <c r="E40" s="28"/>
      <c r="F40" s="29"/>
      <c r="G40" s="29"/>
      <c r="H40" s="30"/>
      <c r="I40" s="29"/>
      <c r="J40" s="28"/>
      <c r="K40" s="28"/>
      <c r="L40" s="31"/>
      <c r="M40" s="28"/>
      <c r="N40" s="31"/>
      <c r="O40" s="31"/>
      <c r="P40" s="31"/>
      <c r="Q40" s="31"/>
      <c r="R40" s="31"/>
      <c r="S40" s="32"/>
      <c r="T40" s="37" t="str">
        <f aca="false">IF(E40="","",E40/StepGoal)</f>
        <v/>
      </c>
      <c r="U40" s="37" t="str">
        <f aca="false">IF(F40="","",F40/SleepGoal)</f>
        <v/>
      </c>
      <c r="V40" s="37" t="str">
        <f aca="false">IF(I40="","",I40/WaterGoal)</f>
        <v/>
      </c>
      <c r="W40" s="37" t="str">
        <f aca="false">IF(COUNT(E40,F40,I40)=0,"",(IF(N(T40)&gt;=1,1,0)+IF(N(U40)&gt;=1,1,0)+IF(N(V40)&gt;=1,1,0))/3)</f>
        <v/>
      </c>
      <c r="X40" s="36" t="n">
        <f aca="false">IF(AND(L40&lt;&gt;"",L40&lt;&gt;"Rest Day"),1,0)</f>
        <v>0</v>
      </c>
      <c r="Y40" s="38" t="n">
        <f aca="false">IF(X40=1,Y39+1,0)</f>
        <v>0</v>
      </c>
      <c r="Z40" s="38" t="n">
        <f aca="false">IF(N(T40)&gt;=1,Z39+1,0)</f>
        <v>0</v>
      </c>
      <c r="AA40" s="38" t="n">
        <f aca="false">IF(N(U40)&gt;=1,AA39+1,0)</f>
        <v>0</v>
      </c>
      <c r="AB40" s="38" t="n">
        <f aca="false">IF(N(V40)&gt;=1,AB39+1,0)</f>
        <v>0</v>
      </c>
      <c r="AC40" s="38" t="str">
        <f aca="false">IF(COUNT(E40,F40,I40,J40)=0,"",ROUND((MIN(IFERROR(E40/StepGoal,0),1)*100)*0.2+(MIN(IFERROR(F40/SleepGoal,0),1)*100)*0.2+(IF(L40="",0,IF(L40="Rest Day",100,MIN(IFERROR(M40/60,0),1)*100)))*0.25+(IFERROR(INDEX('Recovery Tracker'!$E$5:$E$369,MATCH(A40,'Recovery Tracker'!$A$5:$A$369,0))+0,70))*0.15+(MIN(IFERROR(I40/WaterGoal,0),1)*100)*0.1+(IF(J40="",0,MAX(0,100-MIN(ABS(J40-CalorieGoal)/CalorieGoal,1)*100)))*0.1,0))</f>
        <v/>
      </c>
    </row>
    <row r="41" customFormat="false" ht="15" hidden="false" customHeight="false" outlineLevel="0" collapsed="false">
      <c r="A41" s="26" t="n">
        <f aca="false">A40+1</f>
        <v>46059</v>
      </c>
      <c r="B41" s="27" t="str">
        <f aca="false">TEXT(A41,"ddd")</f>
        <v>Fri</v>
      </c>
      <c r="C41" s="27" t="n">
        <f aca="false">INT((A41-StartDate)/7)+1</f>
        <v>6</v>
      </c>
      <c r="D41" s="27" t="str">
        <f aca="false">TEXT(A41,"mmm")</f>
        <v>Feb</v>
      </c>
      <c r="E41" s="28"/>
      <c r="F41" s="29"/>
      <c r="G41" s="29"/>
      <c r="H41" s="30"/>
      <c r="I41" s="29"/>
      <c r="J41" s="28"/>
      <c r="K41" s="28"/>
      <c r="L41" s="31"/>
      <c r="M41" s="28"/>
      <c r="N41" s="31"/>
      <c r="O41" s="31"/>
      <c r="P41" s="31"/>
      <c r="Q41" s="31"/>
      <c r="R41" s="31"/>
      <c r="S41" s="32"/>
      <c r="T41" s="33" t="str">
        <f aca="false">IF(E41="","",E41/StepGoal)</f>
        <v/>
      </c>
      <c r="U41" s="33" t="str">
        <f aca="false">IF(F41="","",F41/SleepGoal)</f>
        <v/>
      </c>
      <c r="V41" s="33" t="str">
        <f aca="false">IF(I41="","",I41/WaterGoal)</f>
        <v/>
      </c>
      <c r="W41" s="33" t="str">
        <f aca="false">IF(COUNT(E41,F41,I41)=0,"",(IF(N(T41)&gt;=1,1,0)+IF(N(U41)&gt;=1,1,0)+IF(N(V41)&gt;=1,1,0))/3)</f>
        <v/>
      </c>
      <c r="X41" s="27" t="n">
        <f aca="false">IF(AND(L41&lt;&gt;"",L41&lt;&gt;"Rest Day"),1,0)</f>
        <v>0</v>
      </c>
      <c r="Y41" s="34" t="n">
        <f aca="false">IF(X41=1,Y40+1,0)</f>
        <v>0</v>
      </c>
      <c r="Z41" s="34" t="n">
        <f aca="false">IF(N(T41)&gt;=1,Z40+1,0)</f>
        <v>0</v>
      </c>
      <c r="AA41" s="34" t="n">
        <f aca="false">IF(N(U41)&gt;=1,AA40+1,0)</f>
        <v>0</v>
      </c>
      <c r="AB41" s="34" t="n">
        <f aca="false">IF(N(V41)&gt;=1,AB40+1,0)</f>
        <v>0</v>
      </c>
      <c r="AC41" s="34" t="str">
        <f aca="false">IF(COUNT(E41,F41,I41,J41)=0,"",ROUND((MIN(IFERROR(E41/StepGoal,0),1)*100)*0.2+(MIN(IFERROR(F41/SleepGoal,0),1)*100)*0.2+(IF(L41="",0,IF(L41="Rest Day",100,MIN(IFERROR(M41/60,0),1)*100)))*0.25+(IFERROR(INDEX('Recovery Tracker'!$E$5:$E$369,MATCH(A41,'Recovery Tracker'!$A$5:$A$369,0))+0,70))*0.15+(MIN(IFERROR(I41/WaterGoal,0),1)*100)*0.1+(IF(J41="",0,MAX(0,100-MIN(ABS(J41-CalorieGoal)/CalorieGoal,1)*100)))*0.1,0))</f>
        <v/>
      </c>
    </row>
    <row r="42" customFormat="false" ht="15" hidden="false" customHeight="false" outlineLevel="0" collapsed="false">
      <c r="A42" s="35" t="n">
        <f aca="false">A41+1</f>
        <v>46060</v>
      </c>
      <c r="B42" s="36" t="str">
        <f aca="false">TEXT(A42,"ddd")</f>
        <v>Sat</v>
      </c>
      <c r="C42" s="36" t="n">
        <f aca="false">INT((A42-StartDate)/7)+1</f>
        <v>6</v>
      </c>
      <c r="D42" s="36" t="str">
        <f aca="false">TEXT(A42,"mmm")</f>
        <v>Feb</v>
      </c>
      <c r="E42" s="28"/>
      <c r="F42" s="29"/>
      <c r="G42" s="29"/>
      <c r="H42" s="30"/>
      <c r="I42" s="29"/>
      <c r="J42" s="28"/>
      <c r="K42" s="28"/>
      <c r="L42" s="31"/>
      <c r="M42" s="28"/>
      <c r="N42" s="31"/>
      <c r="O42" s="31"/>
      <c r="P42" s="31"/>
      <c r="Q42" s="31"/>
      <c r="R42" s="31"/>
      <c r="S42" s="32"/>
      <c r="T42" s="37" t="str">
        <f aca="false">IF(E42="","",E42/StepGoal)</f>
        <v/>
      </c>
      <c r="U42" s="37" t="str">
        <f aca="false">IF(F42="","",F42/SleepGoal)</f>
        <v/>
      </c>
      <c r="V42" s="37" t="str">
        <f aca="false">IF(I42="","",I42/WaterGoal)</f>
        <v/>
      </c>
      <c r="W42" s="37" t="str">
        <f aca="false">IF(COUNT(E42,F42,I42)=0,"",(IF(N(T42)&gt;=1,1,0)+IF(N(U42)&gt;=1,1,0)+IF(N(V42)&gt;=1,1,0))/3)</f>
        <v/>
      </c>
      <c r="X42" s="36" t="n">
        <f aca="false">IF(AND(L42&lt;&gt;"",L42&lt;&gt;"Rest Day"),1,0)</f>
        <v>0</v>
      </c>
      <c r="Y42" s="38" t="n">
        <f aca="false">IF(X42=1,Y41+1,0)</f>
        <v>0</v>
      </c>
      <c r="Z42" s="38" t="n">
        <f aca="false">IF(N(T42)&gt;=1,Z41+1,0)</f>
        <v>0</v>
      </c>
      <c r="AA42" s="38" t="n">
        <f aca="false">IF(N(U42)&gt;=1,AA41+1,0)</f>
        <v>0</v>
      </c>
      <c r="AB42" s="38" t="n">
        <f aca="false">IF(N(V42)&gt;=1,AB41+1,0)</f>
        <v>0</v>
      </c>
      <c r="AC42" s="38" t="str">
        <f aca="false">IF(COUNT(E42,F42,I42,J42)=0,"",ROUND((MIN(IFERROR(E42/StepGoal,0),1)*100)*0.2+(MIN(IFERROR(F42/SleepGoal,0),1)*100)*0.2+(IF(L42="",0,IF(L42="Rest Day",100,MIN(IFERROR(M42/60,0),1)*100)))*0.25+(IFERROR(INDEX('Recovery Tracker'!$E$5:$E$369,MATCH(A42,'Recovery Tracker'!$A$5:$A$369,0))+0,70))*0.15+(MIN(IFERROR(I42/WaterGoal,0),1)*100)*0.1+(IF(J42="",0,MAX(0,100-MIN(ABS(J42-CalorieGoal)/CalorieGoal,1)*100)))*0.1,0))</f>
        <v/>
      </c>
    </row>
    <row r="43" customFormat="false" ht="15" hidden="false" customHeight="false" outlineLevel="0" collapsed="false">
      <c r="A43" s="26" t="n">
        <f aca="false">A42+1</f>
        <v>46061</v>
      </c>
      <c r="B43" s="27" t="str">
        <f aca="false">TEXT(A43,"ddd")</f>
        <v>Sun</v>
      </c>
      <c r="C43" s="27" t="n">
        <f aca="false">INT((A43-StartDate)/7)+1</f>
        <v>6</v>
      </c>
      <c r="D43" s="27" t="str">
        <f aca="false">TEXT(A43,"mmm")</f>
        <v>Feb</v>
      </c>
      <c r="E43" s="28"/>
      <c r="F43" s="29"/>
      <c r="G43" s="29"/>
      <c r="H43" s="30"/>
      <c r="I43" s="29"/>
      <c r="J43" s="28"/>
      <c r="K43" s="28"/>
      <c r="L43" s="31"/>
      <c r="M43" s="28"/>
      <c r="N43" s="31"/>
      <c r="O43" s="31"/>
      <c r="P43" s="31"/>
      <c r="Q43" s="31"/>
      <c r="R43" s="31"/>
      <c r="S43" s="32"/>
      <c r="T43" s="33" t="str">
        <f aca="false">IF(E43="","",E43/StepGoal)</f>
        <v/>
      </c>
      <c r="U43" s="33" t="str">
        <f aca="false">IF(F43="","",F43/SleepGoal)</f>
        <v/>
      </c>
      <c r="V43" s="33" t="str">
        <f aca="false">IF(I43="","",I43/WaterGoal)</f>
        <v/>
      </c>
      <c r="W43" s="33" t="str">
        <f aca="false">IF(COUNT(E43,F43,I43)=0,"",(IF(N(T43)&gt;=1,1,0)+IF(N(U43)&gt;=1,1,0)+IF(N(V43)&gt;=1,1,0))/3)</f>
        <v/>
      </c>
      <c r="X43" s="27" t="n">
        <f aca="false">IF(AND(L43&lt;&gt;"",L43&lt;&gt;"Rest Day"),1,0)</f>
        <v>0</v>
      </c>
      <c r="Y43" s="34" t="n">
        <f aca="false">IF(X43=1,Y42+1,0)</f>
        <v>0</v>
      </c>
      <c r="Z43" s="34" t="n">
        <f aca="false">IF(N(T43)&gt;=1,Z42+1,0)</f>
        <v>0</v>
      </c>
      <c r="AA43" s="34" t="n">
        <f aca="false">IF(N(U43)&gt;=1,AA42+1,0)</f>
        <v>0</v>
      </c>
      <c r="AB43" s="34" t="n">
        <f aca="false">IF(N(V43)&gt;=1,AB42+1,0)</f>
        <v>0</v>
      </c>
      <c r="AC43" s="34" t="str">
        <f aca="false">IF(COUNT(E43,F43,I43,J43)=0,"",ROUND((MIN(IFERROR(E43/StepGoal,0),1)*100)*0.2+(MIN(IFERROR(F43/SleepGoal,0),1)*100)*0.2+(IF(L43="",0,IF(L43="Rest Day",100,MIN(IFERROR(M43/60,0),1)*100)))*0.25+(IFERROR(INDEX('Recovery Tracker'!$E$5:$E$369,MATCH(A43,'Recovery Tracker'!$A$5:$A$369,0))+0,70))*0.15+(MIN(IFERROR(I43/WaterGoal,0),1)*100)*0.1+(IF(J43="",0,MAX(0,100-MIN(ABS(J43-CalorieGoal)/CalorieGoal,1)*100)))*0.1,0))</f>
        <v/>
      </c>
    </row>
    <row r="44" customFormat="false" ht="15" hidden="false" customHeight="false" outlineLevel="0" collapsed="false">
      <c r="A44" s="35" t="n">
        <f aca="false">A43+1</f>
        <v>46062</v>
      </c>
      <c r="B44" s="36" t="str">
        <f aca="false">TEXT(A44,"ddd")</f>
        <v>Mon</v>
      </c>
      <c r="C44" s="36" t="n">
        <f aca="false">INT((A44-StartDate)/7)+1</f>
        <v>6</v>
      </c>
      <c r="D44" s="36" t="str">
        <f aca="false">TEXT(A44,"mmm")</f>
        <v>Feb</v>
      </c>
      <c r="E44" s="28"/>
      <c r="F44" s="29"/>
      <c r="G44" s="29"/>
      <c r="H44" s="30"/>
      <c r="I44" s="29"/>
      <c r="J44" s="28"/>
      <c r="K44" s="28"/>
      <c r="L44" s="31"/>
      <c r="M44" s="28"/>
      <c r="N44" s="31"/>
      <c r="O44" s="31"/>
      <c r="P44" s="31"/>
      <c r="Q44" s="31"/>
      <c r="R44" s="31"/>
      <c r="S44" s="32"/>
      <c r="T44" s="37" t="str">
        <f aca="false">IF(E44="","",E44/StepGoal)</f>
        <v/>
      </c>
      <c r="U44" s="37" t="str">
        <f aca="false">IF(F44="","",F44/SleepGoal)</f>
        <v/>
      </c>
      <c r="V44" s="37" t="str">
        <f aca="false">IF(I44="","",I44/WaterGoal)</f>
        <v/>
      </c>
      <c r="W44" s="37" t="str">
        <f aca="false">IF(COUNT(E44,F44,I44)=0,"",(IF(N(T44)&gt;=1,1,0)+IF(N(U44)&gt;=1,1,0)+IF(N(V44)&gt;=1,1,0))/3)</f>
        <v/>
      </c>
      <c r="X44" s="36" t="n">
        <f aca="false">IF(AND(L44&lt;&gt;"",L44&lt;&gt;"Rest Day"),1,0)</f>
        <v>0</v>
      </c>
      <c r="Y44" s="38" t="n">
        <f aca="false">IF(X44=1,Y43+1,0)</f>
        <v>0</v>
      </c>
      <c r="Z44" s="38" t="n">
        <f aca="false">IF(N(T44)&gt;=1,Z43+1,0)</f>
        <v>0</v>
      </c>
      <c r="AA44" s="38" t="n">
        <f aca="false">IF(N(U44)&gt;=1,AA43+1,0)</f>
        <v>0</v>
      </c>
      <c r="AB44" s="38" t="n">
        <f aca="false">IF(N(V44)&gt;=1,AB43+1,0)</f>
        <v>0</v>
      </c>
      <c r="AC44" s="38" t="str">
        <f aca="false">IF(COUNT(E44,F44,I44,J44)=0,"",ROUND((MIN(IFERROR(E44/StepGoal,0),1)*100)*0.2+(MIN(IFERROR(F44/SleepGoal,0),1)*100)*0.2+(IF(L44="",0,IF(L44="Rest Day",100,MIN(IFERROR(M44/60,0),1)*100)))*0.25+(IFERROR(INDEX('Recovery Tracker'!$E$5:$E$369,MATCH(A44,'Recovery Tracker'!$A$5:$A$369,0))+0,70))*0.15+(MIN(IFERROR(I44/WaterGoal,0),1)*100)*0.1+(IF(J44="",0,MAX(0,100-MIN(ABS(J44-CalorieGoal)/CalorieGoal,1)*100)))*0.1,0))</f>
        <v/>
      </c>
    </row>
    <row r="45" customFormat="false" ht="15" hidden="false" customHeight="false" outlineLevel="0" collapsed="false">
      <c r="A45" s="26" t="n">
        <f aca="false">A44+1</f>
        <v>46063</v>
      </c>
      <c r="B45" s="27" t="str">
        <f aca="false">TEXT(A45,"ddd")</f>
        <v>Tue</v>
      </c>
      <c r="C45" s="27" t="n">
        <f aca="false">INT((A45-StartDate)/7)+1</f>
        <v>6</v>
      </c>
      <c r="D45" s="27" t="str">
        <f aca="false">TEXT(A45,"mmm")</f>
        <v>Feb</v>
      </c>
      <c r="E45" s="28"/>
      <c r="F45" s="29"/>
      <c r="G45" s="29"/>
      <c r="H45" s="30"/>
      <c r="I45" s="29"/>
      <c r="J45" s="28"/>
      <c r="K45" s="28"/>
      <c r="L45" s="31"/>
      <c r="M45" s="28"/>
      <c r="N45" s="31"/>
      <c r="O45" s="31"/>
      <c r="P45" s="31"/>
      <c r="Q45" s="31"/>
      <c r="R45" s="31"/>
      <c r="S45" s="32"/>
      <c r="T45" s="33" t="str">
        <f aca="false">IF(E45="","",E45/StepGoal)</f>
        <v/>
      </c>
      <c r="U45" s="33" t="str">
        <f aca="false">IF(F45="","",F45/SleepGoal)</f>
        <v/>
      </c>
      <c r="V45" s="33" t="str">
        <f aca="false">IF(I45="","",I45/WaterGoal)</f>
        <v/>
      </c>
      <c r="W45" s="33" t="str">
        <f aca="false">IF(COUNT(E45,F45,I45)=0,"",(IF(N(T45)&gt;=1,1,0)+IF(N(U45)&gt;=1,1,0)+IF(N(V45)&gt;=1,1,0))/3)</f>
        <v/>
      </c>
      <c r="X45" s="27" t="n">
        <f aca="false">IF(AND(L45&lt;&gt;"",L45&lt;&gt;"Rest Day"),1,0)</f>
        <v>0</v>
      </c>
      <c r="Y45" s="34" t="n">
        <f aca="false">IF(X45=1,Y44+1,0)</f>
        <v>0</v>
      </c>
      <c r="Z45" s="34" t="n">
        <f aca="false">IF(N(T45)&gt;=1,Z44+1,0)</f>
        <v>0</v>
      </c>
      <c r="AA45" s="34" t="n">
        <f aca="false">IF(N(U45)&gt;=1,AA44+1,0)</f>
        <v>0</v>
      </c>
      <c r="AB45" s="34" t="n">
        <f aca="false">IF(N(V45)&gt;=1,AB44+1,0)</f>
        <v>0</v>
      </c>
      <c r="AC45" s="34" t="str">
        <f aca="false">IF(COUNT(E45,F45,I45,J45)=0,"",ROUND((MIN(IFERROR(E45/StepGoal,0),1)*100)*0.2+(MIN(IFERROR(F45/SleepGoal,0),1)*100)*0.2+(IF(L45="",0,IF(L45="Rest Day",100,MIN(IFERROR(M45/60,0),1)*100)))*0.25+(IFERROR(INDEX('Recovery Tracker'!$E$5:$E$369,MATCH(A45,'Recovery Tracker'!$A$5:$A$369,0))+0,70))*0.15+(MIN(IFERROR(I45/WaterGoal,0),1)*100)*0.1+(IF(J45="",0,MAX(0,100-MIN(ABS(J45-CalorieGoal)/CalorieGoal,1)*100)))*0.1,0))</f>
        <v/>
      </c>
    </row>
    <row r="46" customFormat="false" ht="15" hidden="false" customHeight="false" outlineLevel="0" collapsed="false">
      <c r="A46" s="35" t="n">
        <f aca="false">A45+1</f>
        <v>46064</v>
      </c>
      <c r="B46" s="36" t="str">
        <f aca="false">TEXT(A46,"ddd")</f>
        <v>Wed</v>
      </c>
      <c r="C46" s="36" t="n">
        <f aca="false">INT((A46-StartDate)/7)+1</f>
        <v>6</v>
      </c>
      <c r="D46" s="36" t="str">
        <f aca="false">TEXT(A46,"mmm")</f>
        <v>Feb</v>
      </c>
      <c r="E46" s="28"/>
      <c r="F46" s="29"/>
      <c r="G46" s="29"/>
      <c r="H46" s="30"/>
      <c r="I46" s="29"/>
      <c r="J46" s="28"/>
      <c r="K46" s="28"/>
      <c r="L46" s="31"/>
      <c r="M46" s="28"/>
      <c r="N46" s="31"/>
      <c r="O46" s="31"/>
      <c r="P46" s="31"/>
      <c r="Q46" s="31"/>
      <c r="R46" s="31"/>
      <c r="S46" s="32"/>
      <c r="T46" s="37" t="str">
        <f aca="false">IF(E46="","",E46/StepGoal)</f>
        <v/>
      </c>
      <c r="U46" s="37" t="str">
        <f aca="false">IF(F46="","",F46/SleepGoal)</f>
        <v/>
      </c>
      <c r="V46" s="37" t="str">
        <f aca="false">IF(I46="","",I46/WaterGoal)</f>
        <v/>
      </c>
      <c r="W46" s="37" t="str">
        <f aca="false">IF(COUNT(E46,F46,I46)=0,"",(IF(N(T46)&gt;=1,1,0)+IF(N(U46)&gt;=1,1,0)+IF(N(V46)&gt;=1,1,0))/3)</f>
        <v/>
      </c>
      <c r="X46" s="36" t="n">
        <f aca="false">IF(AND(L46&lt;&gt;"",L46&lt;&gt;"Rest Day"),1,0)</f>
        <v>0</v>
      </c>
      <c r="Y46" s="38" t="n">
        <f aca="false">IF(X46=1,Y45+1,0)</f>
        <v>0</v>
      </c>
      <c r="Z46" s="38" t="n">
        <f aca="false">IF(N(T46)&gt;=1,Z45+1,0)</f>
        <v>0</v>
      </c>
      <c r="AA46" s="38" t="n">
        <f aca="false">IF(N(U46)&gt;=1,AA45+1,0)</f>
        <v>0</v>
      </c>
      <c r="AB46" s="38" t="n">
        <f aca="false">IF(N(V46)&gt;=1,AB45+1,0)</f>
        <v>0</v>
      </c>
      <c r="AC46" s="38" t="str">
        <f aca="false">IF(COUNT(E46,F46,I46,J46)=0,"",ROUND((MIN(IFERROR(E46/StepGoal,0),1)*100)*0.2+(MIN(IFERROR(F46/SleepGoal,0),1)*100)*0.2+(IF(L46="",0,IF(L46="Rest Day",100,MIN(IFERROR(M46/60,0),1)*100)))*0.25+(IFERROR(INDEX('Recovery Tracker'!$E$5:$E$369,MATCH(A46,'Recovery Tracker'!$A$5:$A$369,0))+0,70))*0.15+(MIN(IFERROR(I46/WaterGoal,0),1)*100)*0.1+(IF(J46="",0,MAX(0,100-MIN(ABS(J46-CalorieGoal)/CalorieGoal,1)*100)))*0.1,0))</f>
        <v/>
      </c>
    </row>
    <row r="47" customFormat="false" ht="15" hidden="false" customHeight="false" outlineLevel="0" collapsed="false">
      <c r="A47" s="26" t="n">
        <f aca="false">A46+1</f>
        <v>46065</v>
      </c>
      <c r="B47" s="27" t="str">
        <f aca="false">TEXT(A47,"ddd")</f>
        <v>Thu</v>
      </c>
      <c r="C47" s="27" t="n">
        <f aca="false">INT((A47-StartDate)/7)+1</f>
        <v>7</v>
      </c>
      <c r="D47" s="27" t="str">
        <f aca="false">TEXT(A47,"mmm")</f>
        <v>Feb</v>
      </c>
      <c r="E47" s="28"/>
      <c r="F47" s="29"/>
      <c r="G47" s="29"/>
      <c r="H47" s="30"/>
      <c r="I47" s="29"/>
      <c r="J47" s="28"/>
      <c r="K47" s="28"/>
      <c r="L47" s="31"/>
      <c r="M47" s="28"/>
      <c r="N47" s="31"/>
      <c r="O47" s="31"/>
      <c r="P47" s="31"/>
      <c r="Q47" s="31"/>
      <c r="R47" s="31"/>
      <c r="S47" s="32"/>
      <c r="T47" s="33" t="str">
        <f aca="false">IF(E47="","",E47/StepGoal)</f>
        <v/>
      </c>
      <c r="U47" s="33" t="str">
        <f aca="false">IF(F47="","",F47/SleepGoal)</f>
        <v/>
      </c>
      <c r="V47" s="33" t="str">
        <f aca="false">IF(I47="","",I47/WaterGoal)</f>
        <v/>
      </c>
      <c r="W47" s="33" t="str">
        <f aca="false">IF(COUNT(E47,F47,I47)=0,"",(IF(N(T47)&gt;=1,1,0)+IF(N(U47)&gt;=1,1,0)+IF(N(V47)&gt;=1,1,0))/3)</f>
        <v/>
      </c>
      <c r="X47" s="27" t="n">
        <f aca="false">IF(AND(L47&lt;&gt;"",L47&lt;&gt;"Rest Day"),1,0)</f>
        <v>0</v>
      </c>
      <c r="Y47" s="34" t="n">
        <f aca="false">IF(X47=1,Y46+1,0)</f>
        <v>0</v>
      </c>
      <c r="Z47" s="34" t="n">
        <f aca="false">IF(N(T47)&gt;=1,Z46+1,0)</f>
        <v>0</v>
      </c>
      <c r="AA47" s="34" t="n">
        <f aca="false">IF(N(U47)&gt;=1,AA46+1,0)</f>
        <v>0</v>
      </c>
      <c r="AB47" s="34" t="n">
        <f aca="false">IF(N(V47)&gt;=1,AB46+1,0)</f>
        <v>0</v>
      </c>
      <c r="AC47" s="34" t="str">
        <f aca="false">IF(COUNT(E47,F47,I47,J47)=0,"",ROUND((MIN(IFERROR(E47/StepGoal,0),1)*100)*0.2+(MIN(IFERROR(F47/SleepGoal,0),1)*100)*0.2+(IF(L47="",0,IF(L47="Rest Day",100,MIN(IFERROR(M47/60,0),1)*100)))*0.25+(IFERROR(INDEX('Recovery Tracker'!$E$5:$E$369,MATCH(A47,'Recovery Tracker'!$A$5:$A$369,0))+0,70))*0.15+(MIN(IFERROR(I47/WaterGoal,0),1)*100)*0.1+(IF(J47="",0,MAX(0,100-MIN(ABS(J47-CalorieGoal)/CalorieGoal,1)*100)))*0.1,0))</f>
        <v/>
      </c>
    </row>
    <row r="48" customFormat="false" ht="15" hidden="false" customHeight="false" outlineLevel="0" collapsed="false">
      <c r="A48" s="35" t="n">
        <f aca="false">A47+1</f>
        <v>46066</v>
      </c>
      <c r="B48" s="36" t="str">
        <f aca="false">TEXT(A48,"ddd")</f>
        <v>Fri</v>
      </c>
      <c r="C48" s="36" t="n">
        <f aca="false">INT((A48-StartDate)/7)+1</f>
        <v>7</v>
      </c>
      <c r="D48" s="36" t="str">
        <f aca="false">TEXT(A48,"mmm")</f>
        <v>Feb</v>
      </c>
      <c r="E48" s="28"/>
      <c r="F48" s="29"/>
      <c r="G48" s="29"/>
      <c r="H48" s="30"/>
      <c r="I48" s="29"/>
      <c r="J48" s="28"/>
      <c r="K48" s="28"/>
      <c r="L48" s="31"/>
      <c r="M48" s="28"/>
      <c r="N48" s="31"/>
      <c r="O48" s="31"/>
      <c r="P48" s="31"/>
      <c r="Q48" s="31"/>
      <c r="R48" s="31"/>
      <c r="S48" s="32"/>
      <c r="T48" s="37" t="str">
        <f aca="false">IF(E48="","",E48/StepGoal)</f>
        <v/>
      </c>
      <c r="U48" s="37" t="str">
        <f aca="false">IF(F48="","",F48/SleepGoal)</f>
        <v/>
      </c>
      <c r="V48" s="37" t="str">
        <f aca="false">IF(I48="","",I48/WaterGoal)</f>
        <v/>
      </c>
      <c r="W48" s="37" t="str">
        <f aca="false">IF(COUNT(E48,F48,I48)=0,"",(IF(N(T48)&gt;=1,1,0)+IF(N(U48)&gt;=1,1,0)+IF(N(V48)&gt;=1,1,0))/3)</f>
        <v/>
      </c>
      <c r="X48" s="36" t="n">
        <f aca="false">IF(AND(L48&lt;&gt;"",L48&lt;&gt;"Rest Day"),1,0)</f>
        <v>0</v>
      </c>
      <c r="Y48" s="38" t="n">
        <f aca="false">IF(X48=1,Y47+1,0)</f>
        <v>0</v>
      </c>
      <c r="Z48" s="38" t="n">
        <f aca="false">IF(N(T48)&gt;=1,Z47+1,0)</f>
        <v>0</v>
      </c>
      <c r="AA48" s="38" t="n">
        <f aca="false">IF(N(U48)&gt;=1,AA47+1,0)</f>
        <v>0</v>
      </c>
      <c r="AB48" s="38" t="n">
        <f aca="false">IF(N(V48)&gt;=1,AB47+1,0)</f>
        <v>0</v>
      </c>
      <c r="AC48" s="38" t="str">
        <f aca="false">IF(COUNT(E48,F48,I48,J48)=0,"",ROUND((MIN(IFERROR(E48/StepGoal,0),1)*100)*0.2+(MIN(IFERROR(F48/SleepGoal,0),1)*100)*0.2+(IF(L48="",0,IF(L48="Rest Day",100,MIN(IFERROR(M48/60,0),1)*100)))*0.25+(IFERROR(INDEX('Recovery Tracker'!$E$5:$E$369,MATCH(A48,'Recovery Tracker'!$A$5:$A$369,0))+0,70))*0.15+(MIN(IFERROR(I48/WaterGoal,0),1)*100)*0.1+(IF(J48="",0,MAX(0,100-MIN(ABS(J48-CalorieGoal)/CalorieGoal,1)*100)))*0.1,0))</f>
        <v/>
      </c>
    </row>
    <row r="49" customFormat="false" ht="15" hidden="false" customHeight="false" outlineLevel="0" collapsed="false">
      <c r="A49" s="26" t="n">
        <f aca="false">A48+1</f>
        <v>46067</v>
      </c>
      <c r="B49" s="27" t="str">
        <f aca="false">TEXT(A49,"ddd")</f>
        <v>Sat</v>
      </c>
      <c r="C49" s="27" t="n">
        <f aca="false">INT((A49-StartDate)/7)+1</f>
        <v>7</v>
      </c>
      <c r="D49" s="27" t="str">
        <f aca="false">TEXT(A49,"mmm")</f>
        <v>Feb</v>
      </c>
      <c r="E49" s="28"/>
      <c r="F49" s="29"/>
      <c r="G49" s="29"/>
      <c r="H49" s="30"/>
      <c r="I49" s="29"/>
      <c r="J49" s="28"/>
      <c r="K49" s="28"/>
      <c r="L49" s="31"/>
      <c r="M49" s="28"/>
      <c r="N49" s="31"/>
      <c r="O49" s="31"/>
      <c r="P49" s="31"/>
      <c r="Q49" s="31"/>
      <c r="R49" s="31"/>
      <c r="S49" s="32"/>
      <c r="T49" s="33" t="str">
        <f aca="false">IF(E49="","",E49/StepGoal)</f>
        <v/>
      </c>
      <c r="U49" s="33" t="str">
        <f aca="false">IF(F49="","",F49/SleepGoal)</f>
        <v/>
      </c>
      <c r="V49" s="33" t="str">
        <f aca="false">IF(I49="","",I49/WaterGoal)</f>
        <v/>
      </c>
      <c r="W49" s="33" t="str">
        <f aca="false">IF(COUNT(E49,F49,I49)=0,"",(IF(N(T49)&gt;=1,1,0)+IF(N(U49)&gt;=1,1,0)+IF(N(V49)&gt;=1,1,0))/3)</f>
        <v/>
      </c>
      <c r="X49" s="27" t="n">
        <f aca="false">IF(AND(L49&lt;&gt;"",L49&lt;&gt;"Rest Day"),1,0)</f>
        <v>0</v>
      </c>
      <c r="Y49" s="34" t="n">
        <f aca="false">IF(X49=1,Y48+1,0)</f>
        <v>0</v>
      </c>
      <c r="Z49" s="34" t="n">
        <f aca="false">IF(N(T49)&gt;=1,Z48+1,0)</f>
        <v>0</v>
      </c>
      <c r="AA49" s="34" t="n">
        <f aca="false">IF(N(U49)&gt;=1,AA48+1,0)</f>
        <v>0</v>
      </c>
      <c r="AB49" s="34" t="n">
        <f aca="false">IF(N(V49)&gt;=1,AB48+1,0)</f>
        <v>0</v>
      </c>
      <c r="AC49" s="34" t="str">
        <f aca="false">IF(COUNT(E49,F49,I49,J49)=0,"",ROUND((MIN(IFERROR(E49/StepGoal,0),1)*100)*0.2+(MIN(IFERROR(F49/SleepGoal,0),1)*100)*0.2+(IF(L49="",0,IF(L49="Rest Day",100,MIN(IFERROR(M49/60,0),1)*100)))*0.25+(IFERROR(INDEX('Recovery Tracker'!$E$5:$E$369,MATCH(A49,'Recovery Tracker'!$A$5:$A$369,0))+0,70))*0.15+(MIN(IFERROR(I49/WaterGoal,0),1)*100)*0.1+(IF(J49="",0,MAX(0,100-MIN(ABS(J49-CalorieGoal)/CalorieGoal,1)*100)))*0.1,0))</f>
        <v/>
      </c>
    </row>
    <row r="50" customFormat="false" ht="15" hidden="false" customHeight="false" outlineLevel="0" collapsed="false">
      <c r="A50" s="35" t="n">
        <f aca="false">A49+1</f>
        <v>46068</v>
      </c>
      <c r="B50" s="36" t="str">
        <f aca="false">TEXT(A50,"ddd")</f>
        <v>Sun</v>
      </c>
      <c r="C50" s="36" t="n">
        <f aca="false">INT((A50-StartDate)/7)+1</f>
        <v>7</v>
      </c>
      <c r="D50" s="36" t="str">
        <f aca="false">TEXT(A50,"mmm")</f>
        <v>Feb</v>
      </c>
      <c r="E50" s="28"/>
      <c r="F50" s="29"/>
      <c r="G50" s="29"/>
      <c r="H50" s="30"/>
      <c r="I50" s="29"/>
      <c r="J50" s="28"/>
      <c r="K50" s="28"/>
      <c r="L50" s="31"/>
      <c r="M50" s="28"/>
      <c r="N50" s="31"/>
      <c r="O50" s="31"/>
      <c r="P50" s="31"/>
      <c r="Q50" s="31"/>
      <c r="R50" s="31"/>
      <c r="S50" s="32"/>
      <c r="T50" s="37" t="str">
        <f aca="false">IF(E50="","",E50/StepGoal)</f>
        <v/>
      </c>
      <c r="U50" s="37" t="str">
        <f aca="false">IF(F50="","",F50/SleepGoal)</f>
        <v/>
      </c>
      <c r="V50" s="37" t="str">
        <f aca="false">IF(I50="","",I50/WaterGoal)</f>
        <v/>
      </c>
      <c r="W50" s="37" t="str">
        <f aca="false">IF(COUNT(E50,F50,I50)=0,"",(IF(N(T50)&gt;=1,1,0)+IF(N(U50)&gt;=1,1,0)+IF(N(V50)&gt;=1,1,0))/3)</f>
        <v/>
      </c>
      <c r="X50" s="36" t="n">
        <f aca="false">IF(AND(L50&lt;&gt;"",L50&lt;&gt;"Rest Day"),1,0)</f>
        <v>0</v>
      </c>
      <c r="Y50" s="38" t="n">
        <f aca="false">IF(X50=1,Y49+1,0)</f>
        <v>0</v>
      </c>
      <c r="Z50" s="38" t="n">
        <f aca="false">IF(N(T50)&gt;=1,Z49+1,0)</f>
        <v>0</v>
      </c>
      <c r="AA50" s="38" t="n">
        <f aca="false">IF(N(U50)&gt;=1,AA49+1,0)</f>
        <v>0</v>
      </c>
      <c r="AB50" s="38" t="n">
        <f aca="false">IF(N(V50)&gt;=1,AB49+1,0)</f>
        <v>0</v>
      </c>
      <c r="AC50" s="38" t="str">
        <f aca="false">IF(COUNT(E50,F50,I50,J50)=0,"",ROUND((MIN(IFERROR(E50/StepGoal,0),1)*100)*0.2+(MIN(IFERROR(F50/SleepGoal,0),1)*100)*0.2+(IF(L50="",0,IF(L50="Rest Day",100,MIN(IFERROR(M50/60,0),1)*100)))*0.25+(IFERROR(INDEX('Recovery Tracker'!$E$5:$E$369,MATCH(A50,'Recovery Tracker'!$A$5:$A$369,0))+0,70))*0.15+(MIN(IFERROR(I50/WaterGoal,0),1)*100)*0.1+(IF(J50="",0,MAX(0,100-MIN(ABS(J50-CalorieGoal)/CalorieGoal,1)*100)))*0.1,0))</f>
        <v/>
      </c>
    </row>
    <row r="51" customFormat="false" ht="15" hidden="false" customHeight="false" outlineLevel="0" collapsed="false">
      <c r="A51" s="26" t="n">
        <f aca="false">A50+1</f>
        <v>46069</v>
      </c>
      <c r="B51" s="27" t="str">
        <f aca="false">TEXT(A51,"ddd")</f>
        <v>Mon</v>
      </c>
      <c r="C51" s="27" t="n">
        <f aca="false">INT((A51-StartDate)/7)+1</f>
        <v>7</v>
      </c>
      <c r="D51" s="27" t="str">
        <f aca="false">TEXT(A51,"mmm")</f>
        <v>Feb</v>
      </c>
      <c r="E51" s="28"/>
      <c r="F51" s="29"/>
      <c r="G51" s="29"/>
      <c r="H51" s="30"/>
      <c r="I51" s="29"/>
      <c r="J51" s="28"/>
      <c r="K51" s="28"/>
      <c r="L51" s="31"/>
      <c r="M51" s="28"/>
      <c r="N51" s="31"/>
      <c r="O51" s="31"/>
      <c r="P51" s="31"/>
      <c r="Q51" s="31"/>
      <c r="R51" s="31"/>
      <c r="S51" s="32"/>
      <c r="T51" s="33" t="str">
        <f aca="false">IF(E51="","",E51/StepGoal)</f>
        <v/>
      </c>
      <c r="U51" s="33" t="str">
        <f aca="false">IF(F51="","",F51/SleepGoal)</f>
        <v/>
      </c>
      <c r="V51" s="33" t="str">
        <f aca="false">IF(I51="","",I51/WaterGoal)</f>
        <v/>
      </c>
      <c r="W51" s="33" t="str">
        <f aca="false">IF(COUNT(E51,F51,I51)=0,"",(IF(N(T51)&gt;=1,1,0)+IF(N(U51)&gt;=1,1,0)+IF(N(V51)&gt;=1,1,0))/3)</f>
        <v/>
      </c>
      <c r="X51" s="27" t="n">
        <f aca="false">IF(AND(L51&lt;&gt;"",L51&lt;&gt;"Rest Day"),1,0)</f>
        <v>0</v>
      </c>
      <c r="Y51" s="34" t="n">
        <f aca="false">IF(X51=1,Y50+1,0)</f>
        <v>0</v>
      </c>
      <c r="Z51" s="34" t="n">
        <f aca="false">IF(N(T51)&gt;=1,Z50+1,0)</f>
        <v>0</v>
      </c>
      <c r="AA51" s="34" t="n">
        <f aca="false">IF(N(U51)&gt;=1,AA50+1,0)</f>
        <v>0</v>
      </c>
      <c r="AB51" s="34" t="n">
        <f aca="false">IF(N(V51)&gt;=1,AB50+1,0)</f>
        <v>0</v>
      </c>
      <c r="AC51" s="34" t="str">
        <f aca="false">IF(COUNT(E51,F51,I51,J51)=0,"",ROUND((MIN(IFERROR(E51/StepGoal,0),1)*100)*0.2+(MIN(IFERROR(F51/SleepGoal,0),1)*100)*0.2+(IF(L51="",0,IF(L51="Rest Day",100,MIN(IFERROR(M51/60,0),1)*100)))*0.25+(IFERROR(INDEX('Recovery Tracker'!$E$5:$E$369,MATCH(A51,'Recovery Tracker'!$A$5:$A$369,0))+0,70))*0.15+(MIN(IFERROR(I51/WaterGoal,0),1)*100)*0.1+(IF(J51="",0,MAX(0,100-MIN(ABS(J51-CalorieGoal)/CalorieGoal,1)*100)))*0.1,0))</f>
        <v/>
      </c>
    </row>
    <row r="52" customFormat="false" ht="15" hidden="false" customHeight="false" outlineLevel="0" collapsed="false">
      <c r="A52" s="35" t="n">
        <f aca="false">A51+1</f>
        <v>46070</v>
      </c>
      <c r="B52" s="36" t="str">
        <f aca="false">TEXT(A52,"ddd")</f>
        <v>Tue</v>
      </c>
      <c r="C52" s="36" t="n">
        <f aca="false">INT((A52-StartDate)/7)+1</f>
        <v>7</v>
      </c>
      <c r="D52" s="36" t="str">
        <f aca="false">TEXT(A52,"mmm")</f>
        <v>Feb</v>
      </c>
      <c r="E52" s="28"/>
      <c r="F52" s="29"/>
      <c r="G52" s="29"/>
      <c r="H52" s="30"/>
      <c r="I52" s="29"/>
      <c r="J52" s="28"/>
      <c r="K52" s="28"/>
      <c r="L52" s="31"/>
      <c r="M52" s="28"/>
      <c r="N52" s="31"/>
      <c r="O52" s="31"/>
      <c r="P52" s="31"/>
      <c r="Q52" s="31"/>
      <c r="R52" s="31"/>
      <c r="S52" s="32"/>
      <c r="T52" s="37" t="str">
        <f aca="false">IF(E52="","",E52/StepGoal)</f>
        <v/>
      </c>
      <c r="U52" s="37" t="str">
        <f aca="false">IF(F52="","",F52/SleepGoal)</f>
        <v/>
      </c>
      <c r="V52" s="37" t="str">
        <f aca="false">IF(I52="","",I52/WaterGoal)</f>
        <v/>
      </c>
      <c r="W52" s="37" t="str">
        <f aca="false">IF(COUNT(E52,F52,I52)=0,"",(IF(N(T52)&gt;=1,1,0)+IF(N(U52)&gt;=1,1,0)+IF(N(V52)&gt;=1,1,0))/3)</f>
        <v/>
      </c>
      <c r="X52" s="36" t="n">
        <f aca="false">IF(AND(L52&lt;&gt;"",L52&lt;&gt;"Rest Day"),1,0)</f>
        <v>0</v>
      </c>
      <c r="Y52" s="38" t="n">
        <f aca="false">IF(X52=1,Y51+1,0)</f>
        <v>0</v>
      </c>
      <c r="Z52" s="38" t="n">
        <f aca="false">IF(N(T52)&gt;=1,Z51+1,0)</f>
        <v>0</v>
      </c>
      <c r="AA52" s="38" t="n">
        <f aca="false">IF(N(U52)&gt;=1,AA51+1,0)</f>
        <v>0</v>
      </c>
      <c r="AB52" s="38" t="n">
        <f aca="false">IF(N(V52)&gt;=1,AB51+1,0)</f>
        <v>0</v>
      </c>
      <c r="AC52" s="38" t="str">
        <f aca="false">IF(COUNT(E52,F52,I52,J52)=0,"",ROUND((MIN(IFERROR(E52/StepGoal,0),1)*100)*0.2+(MIN(IFERROR(F52/SleepGoal,0),1)*100)*0.2+(IF(L52="",0,IF(L52="Rest Day",100,MIN(IFERROR(M52/60,0),1)*100)))*0.25+(IFERROR(INDEX('Recovery Tracker'!$E$5:$E$369,MATCH(A52,'Recovery Tracker'!$A$5:$A$369,0))+0,70))*0.15+(MIN(IFERROR(I52/WaterGoal,0),1)*100)*0.1+(IF(J52="",0,MAX(0,100-MIN(ABS(J52-CalorieGoal)/CalorieGoal,1)*100)))*0.1,0))</f>
        <v/>
      </c>
    </row>
    <row r="53" customFormat="false" ht="15" hidden="false" customHeight="false" outlineLevel="0" collapsed="false">
      <c r="A53" s="26" t="n">
        <f aca="false">A52+1</f>
        <v>46071</v>
      </c>
      <c r="B53" s="27" t="str">
        <f aca="false">TEXT(A53,"ddd")</f>
        <v>Wed</v>
      </c>
      <c r="C53" s="27" t="n">
        <f aca="false">INT((A53-StartDate)/7)+1</f>
        <v>7</v>
      </c>
      <c r="D53" s="27" t="str">
        <f aca="false">TEXT(A53,"mmm")</f>
        <v>Feb</v>
      </c>
      <c r="E53" s="28"/>
      <c r="F53" s="29"/>
      <c r="G53" s="29"/>
      <c r="H53" s="30"/>
      <c r="I53" s="29"/>
      <c r="J53" s="28"/>
      <c r="K53" s="28"/>
      <c r="L53" s="31"/>
      <c r="M53" s="28"/>
      <c r="N53" s="31"/>
      <c r="O53" s="31"/>
      <c r="P53" s="31"/>
      <c r="Q53" s="31"/>
      <c r="R53" s="31"/>
      <c r="S53" s="32"/>
      <c r="T53" s="33" t="str">
        <f aca="false">IF(E53="","",E53/StepGoal)</f>
        <v/>
      </c>
      <c r="U53" s="33" t="str">
        <f aca="false">IF(F53="","",F53/SleepGoal)</f>
        <v/>
      </c>
      <c r="V53" s="33" t="str">
        <f aca="false">IF(I53="","",I53/WaterGoal)</f>
        <v/>
      </c>
      <c r="W53" s="33" t="str">
        <f aca="false">IF(COUNT(E53,F53,I53)=0,"",(IF(N(T53)&gt;=1,1,0)+IF(N(U53)&gt;=1,1,0)+IF(N(V53)&gt;=1,1,0))/3)</f>
        <v/>
      </c>
      <c r="X53" s="27" t="n">
        <f aca="false">IF(AND(L53&lt;&gt;"",L53&lt;&gt;"Rest Day"),1,0)</f>
        <v>0</v>
      </c>
      <c r="Y53" s="34" t="n">
        <f aca="false">IF(X53=1,Y52+1,0)</f>
        <v>0</v>
      </c>
      <c r="Z53" s="34" t="n">
        <f aca="false">IF(N(T53)&gt;=1,Z52+1,0)</f>
        <v>0</v>
      </c>
      <c r="AA53" s="34" t="n">
        <f aca="false">IF(N(U53)&gt;=1,AA52+1,0)</f>
        <v>0</v>
      </c>
      <c r="AB53" s="34" t="n">
        <f aca="false">IF(N(V53)&gt;=1,AB52+1,0)</f>
        <v>0</v>
      </c>
      <c r="AC53" s="34" t="str">
        <f aca="false">IF(COUNT(E53,F53,I53,J53)=0,"",ROUND((MIN(IFERROR(E53/StepGoal,0),1)*100)*0.2+(MIN(IFERROR(F53/SleepGoal,0),1)*100)*0.2+(IF(L53="",0,IF(L53="Rest Day",100,MIN(IFERROR(M53/60,0),1)*100)))*0.25+(IFERROR(INDEX('Recovery Tracker'!$E$5:$E$369,MATCH(A53,'Recovery Tracker'!$A$5:$A$369,0))+0,70))*0.15+(MIN(IFERROR(I53/WaterGoal,0),1)*100)*0.1+(IF(J53="",0,MAX(0,100-MIN(ABS(J53-CalorieGoal)/CalorieGoal,1)*100)))*0.1,0))</f>
        <v/>
      </c>
    </row>
    <row r="54" customFormat="false" ht="15" hidden="false" customHeight="false" outlineLevel="0" collapsed="false">
      <c r="A54" s="35" t="n">
        <f aca="false">A53+1</f>
        <v>46072</v>
      </c>
      <c r="B54" s="36" t="str">
        <f aca="false">TEXT(A54,"ddd")</f>
        <v>Thu</v>
      </c>
      <c r="C54" s="36" t="n">
        <f aca="false">INT((A54-StartDate)/7)+1</f>
        <v>8</v>
      </c>
      <c r="D54" s="36" t="str">
        <f aca="false">TEXT(A54,"mmm")</f>
        <v>Feb</v>
      </c>
      <c r="E54" s="28"/>
      <c r="F54" s="29"/>
      <c r="G54" s="29"/>
      <c r="H54" s="30"/>
      <c r="I54" s="29"/>
      <c r="J54" s="28"/>
      <c r="K54" s="28"/>
      <c r="L54" s="31"/>
      <c r="M54" s="28"/>
      <c r="N54" s="31"/>
      <c r="O54" s="31"/>
      <c r="P54" s="31"/>
      <c r="Q54" s="31"/>
      <c r="R54" s="31"/>
      <c r="S54" s="32"/>
      <c r="T54" s="37" t="str">
        <f aca="false">IF(E54="","",E54/StepGoal)</f>
        <v/>
      </c>
      <c r="U54" s="37" t="str">
        <f aca="false">IF(F54="","",F54/SleepGoal)</f>
        <v/>
      </c>
      <c r="V54" s="37" t="str">
        <f aca="false">IF(I54="","",I54/WaterGoal)</f>
        <v/>
      </c>
      <c r="W54" s="37" t="str">
        <f aca="false">IF(COUNT(E54,F54,I54)=0,"",(IF(N(T54)&gt;=1,1,0)+IF(N(U54)&gt;=1,1,0)+IF(N(V54)&gt;=1,1,0))/3)</f>
        <v/>
      </c>
      <c r="X54" s="36" t="n">
        <f aca="false">IF(AND(L54&lt;&gt;"",L54&lt;&gt;"Rest Day"),1,0)</f>
        <v>0</v>
      </c>
      <c r="Y54" s="38" t="n">
        <f aca="false">IF(X54=1,Y53+1,0)</f>
        <v>0</v>
      </c>
      <c r="Z54" s="38" t="n">
        <f aca="false">IF(N(T54)&gt;=1,Z53+1,0)</f>
        <v>0</v>
      </c>
      <c r="AA54" s="38" t="n">
        <f aca="false">IF(N(U54)&gt;=1,AA53+1,0)</f>
        <v>0</v>
      </c>
      <c r="AB54" s="38" t="n">
        <f aca="false">IF(N(V54)&gt;=1,AB53+1,0)</f>
        <v>0</v>
      </c>
      <c r="AC54" s="38" t="str">
        <f aca="false">IF(COUNT(E54,F54,I54,J54)=0,"",ROUND((MIN(IFERROR(E54/StepGoal,0),1)*100)*0.2+(MIN(IFERROR(F54/SleepGoal,0),1)*100)*0.2+(IF(L54="",0,IF(L54="Rest Day",100,MIN(IFERROR(M54/60,0),1)*100)))*0.25+(IFERROR(INDEX('Recovery Tracker'!$E$5:$E$369,MATCH(A54,'Recovery Tracker'!$A$5:$A$369,0))+0,70))*0.15+(MIN(IFERROR(I54/WaterGoal,0),1)*100)*0.1+(IF(J54="",0,MAX(0,100-MIN(ABS(J54-CalorieGoal)/CalorieGoal,1)*100)))*0.1,0))</f>
        <v/>
      </c>
    </row>
    <row r="55" customFormat="false" ht="15" hidden="false" customHeight="false" outlineLevel="0" collapsed="false">
      <c r="A55" s="26" t="n">
        <f aca="false">A54+1</f>
        <v>46073</v>
      </c>
      <c r="B55" s="27" t="str">
        <f aca="false">TEXT(A55,"ddd")</f>
        <v>Fri</v>
      </c>
      <c r="C55" s="27" t="n">
        <f aca="false">INT((A55-StartDate)/7)+1</f>
        <v>8</v>
      </c>
      <c r="D55" s="27" t="str">
        <f aca="false">TEXT(A55,"mmm")</f>
        <v>Feb</v>
      </c>
      <c r="E55" s="28"/>
      <c r="F55" s="29"/>
      <c r="G55" s="29"/>
      <c r="H55" s="30"/>
      <c r="I55" s="29"/>
      <c r="J55" s="28"/>
      <c r="K55" s="28"/>
      <c r="L55" s="31"/>
      <c r="M55" s="28"/>
      <c r="N55" s="31"/>
      <c r="O55" s="31"/>
      <c r="P55" s="31"/>
      <c r="Q55" s="31"/>
      <c r="R55" s="31"/>
      <c r="S55" s="32"/>
      <c r="T55" s="33" t="str">
        <f aca="false">IF(E55="","",E55/StepGoal)</f>
        <v/>
      </c>
      <c r="U55" s="33" t="str">
        <f aca="false">IF(F55="","",F55/SleepGoal)</f>
        <v/>
      </c>
      <c r="V55" s="33" t="str">
        <f aca="false">IF(I55="","",I55/WaterGoal)</f>
        <v/>
      </c>
      <c r="W55" s="33" t="str">
        <f aca="false">IF(COUNT(E55,F55,I55)=0,"",(IF(N(T55)&gt;=1,1,0)+IF(N(U55)&gt;=1,1,0)+IF(N(V55)&gt;=1,1,0))/3)</f>
        <v/>
      </c>
      <c r="X55" s="27" t="n">
        <f aca="false">IF(AND(L55&lt;&gt;"",L55&lt;&gt;"Rest Day"),1,0)</f>
        <v>0</v>
      </c>
      <c r="Y55" s="34" t="n">
        <f aca="false">IF(X55=1,Y54+1,0)</f>
        <v>0</v>
      </c>
      <c r="Z55" s="34" t="n">
        <f aca="false">IF(N(T55)&gt;=1,Z54+1,0)</f>
        <v>0</v>
      </c>
      <c r="AA55" s="34" t="n">
        <f aca="false">IF(N(U55)&gt;=1,AA54+1,0)</f>
        <v>0</v>
      </c>
      <c r="AB55" s="34" t="n">
        <f aca="false">IF(N(V55)&gt;=1,AB54+1,0)</f>
        <v>0</v>
      </c>
      <c r="AC55" s="34" t="str">
        <f aca="false">IF(COUNT(E55,F55,I55,J55)=0,"",ROUND((MIN(IFERROR(E55/StepGoal,0),1)*100)*0.2+(MIN(IFERROR(F55/SleepGoal,0),1)*100)*0.2+(IF(L55="",0,IF(L55="Rest Day",100,MIN(IFERROR(M55/60,0),1)*100)))*0.25+(IFERROR(INDEX('Recovery Tracker'!$E$5:$E$369,MATCH(A55,'Recovery Tracker'!$A$5:$A$369,0))+0,70))*0.15+(MIN(IFERROR(I55/WaterGoal,0),1)*100)*0.1+(IF(J55="",0,MAX(0,100-MIN(ABS(J55-CalorieGoal)/CalorieGoal,1)*100)))*0.1,0))</f>
        <v/>
      </c>
    </row>
    <row r="56" customFormat="false" ht="15" hidden="false" customHeight="false" outlineLevel="0" collapsed="false">
      <c r="A56" s="35" t="n">
        <f aca="false">A55+1</f>
        <v>46074</v>
      </c>
      <c r="B56" s="36" t="str">
        <f aca="false">TEXT(A56,"ddd")</f>
        <v>Sat</v>
      </c>
      <c r="C56" s="36" t="n">
        <f aca="false">INT((A56-StartDate)/7)+1</f>
        <v>8</v>
      </c>
      <c r="D56" s="36" t="str">
        <f aca="false">TEXT(A56,"mmm")</f>
        <v>Feb</v>
      </c>
      <c r="E56" s="28"/>
      <c r="F56" s="29"/>
      <c r="G56" s="29"/>
      <c r="H56" s="30"/>
      <c r="I56" s="29"/>
      <c r="J56" s="28"/>
      <c r="K56" s="28"/>
      <c r="L56" s="31"/>
      <c r="M56" s="28"/>
      <c r="N56" s="31"/>
      <c r="O56" s="31"/>
      <c r="P56" s="31"/>
      <c r="Q56" s="31"/>
      <c r="R56" s="31"/>
      <c r="S56" s="32"/>
      <c r="T56" s="37" t="str">
        <f aca="false">IF(E56="","",E56/StepGoal)</f>
        <v/>
      </c>
      <c r="U56" s="37" t="str">
        <f aca="false">IF(F56="","",F56/SleepGoal)</f>
        <v/>
      </c>
      <c r="V56" s="37" t="str">
        <f aca="false">IF(I56="","",I56/WaterGoal)</f>
        <v/>
      </c>
      <c r="W56" s="37" t="str">
        <f aca="false">IF(COUNT(E56,F56,I56)=0,"",(IF(N(T56)&gt;=1,1,0)+IF(N(U56)&gt;=1,1,0)+IF(N(V56)&gt;=1,1,0))/3)</f>
        <v/>
      </c>
      <c r="X56" s="36" t="n">
        <f aca="false">IF(AND(L56&lt;&gt;"",L56&lt;&gt;"Rest Day"),1,0)</f>
        <v>0</v>
      </c>
      <c r="Y56" s="38" t="n">
        <f aca="false">IF(X56=1,Y55+1,0)</f>
        <v>0</v>
      </c>
      <c r="Z56" s="38" t="n">
        <f aca="false">IF(N(T56)&gt;=1,Z55+1,0)</f>
        <v>0</v>
      </c>
      <c r="AA56" s="38" t="n">
        <f aca="false">IF(N(U56)&gt;=1,AA55+1,0)</f>
        <v>0</v>
      </c>
      <c r="AB56" s="38" t="n">
        <f aca="false">IF(N(V56)&gt;=1,AB55+1,0)</f>
        <v>0</v>
      </c>
      <c r="AC56" s="38" t="str">
        <f aca="false">IF(COUNT(E56,F56,I56,J56)=0,"",ROUND((MIN(IFERROR(E56/StepGoal,0),1)*100)*0.2+(MIN(IFERROR(F56/SleepGoal,0),1)*100)*0.2+(IF(L56="",0,IF(L56="Rest Day",100,MIN(IFERROR(M56/60,0),1)*100)))*0.25+(IFERROR(INDEX('Recovery Tracker'!$E$5:$E$369,MATCH(A56,'Recovery Tracker'!$A$5:$A$369,0))+0,70))*0.15+(MIN(IFERROR(I56/WaterGoal,0),1)*100)*0.1+(IF(J56="",0,MAX(0,100-MIN(ABS(J56-CalorieGoal)/CalorieGoal,1)*100)))*0.1,0))</f>
        <v/>
      </c>
    </row>
    <row r="57" customFormat="false" ht="15" hidden="false" customHeight="false" outlineLevel="0" collapsed="false">
      <c r="A57" s="26" t="n">
        <f aca="false">A56+1</f>
        <v>46075</v>
      </c>
      <c r="B57" s="27" t="str">
        <f aca="false">TEXT(A57,"ddd")</f>
        <v>Sun</v>
      </c>
      <c r="C57" s="27" t="n">
        <f aca="false">INT((A57-StartDate)/7)+1</f>
        <v>8</v>
      </c>
      <c r="D57" s="27" t="str">
        <f aca="false">TEXT(A57,"mmm")</f>
        <v>Feb</v>
      </c>
      <c r="E57" s="28"/>
      <c r="F57" s="29"/>
      <c r="G57" s="29"/>
      <c r="H57" s="30"/>
      <c r="I57" s="29"/>
      <c r="J57" s="28"/>
      <c r="K57" s="28"/>
      <c r="L57" s="31"/>
      <c r="M57" s="28"/>
      <c r="N57" s="31"/>
      <c r="O57" s="31"/>
      <c r="P57" s="31"/>
      <c r="Q57" s="31"/>
      <c r="R57" s="31"/>
      <c r="S57" s="32"/>
      <c r="T57" s="33" t="str">
        <f aca="false">IF(E57="","",E57/StepGoal)</f>
        <v/>
      </c>
      <c r="U57" s="33" t="str">
        <f aca="false">IF(F57="","",F57/SleepGoal)</f>
        <v/>
      </c>
      <c r="V57" s="33" t="str">
        <f aca="false">IF(I57="","",I57/WaterGoal)</f>
        <v/>
      </c>
      <c r="W57" s="33" t="str">
        <f aca="false">IF(COUNT(E57,F57,I57)=0,"",(IF(N(T57)&gt;=1,1,0)+IF(N(U57)&gt;=1,1,0)+IF(N(V57)&gt;=1,1,0))/3)</f>
        <v/>
      </c>
      <c r="X57" s="27" t="n">
        <f aca="false">IF(AND(L57&lt;&gt;"",L57&lt;&gt;"Rest Day"),1,0)</f>
        <v>0</v>
      </c>
      <c r="Y57" s="34" t="n">
        <f aca="false">IF(X57=1,Y56+1,0)</f>
        <v>0</v>
      </c>
      <c r="Z57" s="34" t="n">
        <f aca="false">IF(N(T57)&gt;=1,Z56+1,0)</f>
        <v>0</v>
      </c>
      <c r="AA57" s="34" t="n">
        <f aca="false">IF(N(U57)&gt;=1,AA56+1,0)</f>
        <v>0</v>
      </c>
      <c r="AB57" s="34" t="n">
        <f aca="false">IF(N(V57)&gt;=1,AB56+1,0)</f>
        <v>0</v>
      </c>
      <c r="AC57" s="34" t="str">
        <f aca="false">IF(COUNT(E57,F57,I57,J57)=0,"",ROUND((MIN(IFERROR(E57/StepGoal,0),1)*100)*0.2+(MIN(IFERROR(F57/SleepGoal,0),1)*100)*0.2+(IF(L57="",0,IF(L57="Rest Day",100,MIN(IFERROR(M57/60,0),1)*100)))*0.25+(IFERROR(INDEX('Recovery Tracker'!$E$5:$E$369,MATCH(A57,'Recovery Tracker'!$A$5:$A$369,0))+0,70))*0.15+(MIN(IFERROR(I57/WaterGoal,0),1)*100)*0.1+(IF(J57="",0,MAX(0,100-MIN(ABS(J57-CalorieGoal)/CalorieGoal,1)*100)))*0.1,0))</f>
        <v/>
      </c>
    </row>
    <row r="58" customFormat="false" ht="15" hidden="false" customHeight="false" outlineLevel="0" collapsed="false">
      <c r="A58" s="35" t="n">
        <f aca="false">A57+1</f>
        <v>46076</v>
      </c>
      <c r="B58" s="36" t="str">
        <f aca="false">TEXT(A58,"ddd")</f>
        <v>Mon</v>
      </c>
      <c r="C58" s="36" t="n">
        <f aca="false">INT((A58-StartDate)/7)+1</f>
        <v>8</v>
      </c>
      <c r="D58" s="36" t="str">
        <f aca="false">TEXT(A58,"mmm")</f>
        <v>Feb</v>
      </c>
      <c r="E58" s="28"/>
      <c r="F58" s="29"/>
      <c r="G58" s="29"/>
      <c r="H58" s="30"/>
      <c r="I58" s="29"/>
      <c r="J58" s="28"/>
      <c r="K58" s="28"/>
      <c r="L58" s="31"/>
      <c r="M58" s="28"/>
      <c r="N58" s="31"/>
      <c r="O58" s="31"/>
      <c r="P58" s="31"/>
      <c r="Q58" s="31"/>
      <c r="R58" s="31"/>
      <c r="S58" s="32"/>
      <c r="T58" s="37" t="str">
        <f aca="false">IF(E58="","",E58/StepGoal)</f>
        <v/>
      </c>
      <c r="U58" s="37" t="str">
        <f aca="false">IF(F58="","",F58/SleepGoal)</f>
        <v/>
      </c>
      <c r="V58" s="37" t="str">
        <f aca="false">IF(I58="","",I58/WaterGoal)</f>
        <v/>
      </c>
      <c r="W58" s="37" t="str">
        <f aca="false">IF(COUNT(E58,F58,I58)=0,"",(IF(N(T58)&gt;=1,1,0)+IF(N(U58)&gt;=1,1,0)+IF(N(V58)&gt;=1,1,0))/3)</f>
        <v/>
      </c>
      <c r="X58" s="36" t="n">
        <f aca="false">IF(AND(L58&lt;&gt;"",L58&lt;&gt;"Rest Day"),1,0)</f>
        <v>0</v>
      </c>
      <c r="Y58" s="38" t="n">
        <f aca="false">IF(X58=1,Y57+1,0)</f>
        <v>0</v>
      </c>
      <c r="Z58" s="38" t="n">
        <f aca="false">IF(N(T58)&gt;=1,Z57+1,0)</f>
        <v>0</v>
      </c>
      <c r="AA58" s="38" t="n">
        <f aca="false">IF(N(U58)&gt;=1,AA57+1,0)</f>
        <v>0</v>
      </c>
      <c r="AB58" s="38" t="n">
        <f aca="false">IF(N(V58)&gt;=1,AB57+1,0)</f>
        <v>0</v>
      </c>
      <c r="AC58" s="38" t="str">
        <f aca="false">IF(COUNT(E58,F58,I58,J58)=0,"",ROUND((MIN(IFERROR(E58/StepGoal,0),1)*100)*0.2+(MIN(IFERROR(F58/SleepGoal,0),1)*100)*0.2+(IF(L58="",0,IF(L58="Rest Day",100,MIN(IFERROR(M58/60,0),1)*100)))*0.25+(IFERROR(INDEX('Recovery Tracker'!$E$5:$E$369,MATCH(A58,'Recovery Tracker'!$A$5:$A$369,0))+0,70))*0.15+(MIN(IFERROR(I58/WaterGoal,0),1)*100)*0.1+(IF(J58="",0,MAX(0,100-MIN(ABS(J58-CalorieGoal)/CalorieGoal,1)*100)))*0.1,0))</f>
        <v/>
      </c>
    </row>
    <row r="59" customFormat="false" ht="15" hidden="false" customHeight="false" outlineLevel="0" collapsed="false">
      <c r="A59" s="26" t="n">
        <f aca="false">A58+1</f>
        <v>46077</v>
      </c>
      <c r="B59" s="27" t="str">
        <f aca="false">TEXT(A59,"ddd")</f>
        <v>Tue</v>
      </c>
      <c r="C59" s="27" t="n">
        <f aca="false">INT((A59-StartDate)/7)+1</f>
        <v>8</v>
      </c>
      <c r="D59" s="27" t="str">
        <f aca="false">TEXT(A59,"mmm")</f>
        <v>Feb</v>
      </c>
      <c r="E59" s="28"/>
      <c r="F59" s="29"/>
      <c r="G59" s="29"/>
      <c r="H59" s="30"/>
      <c r="I59" s="29"/>
      <c r="J59" s="28"/>
      <c r="K59" s="28"/>
      <c r="L59" s="31"/>
      <c r="M59" s="28"/>
      <c r="N59" s="31"/>
      <c r="O59" s="31"/>
      <c r="P59" s="31"/>
      <c r="Q59" s="31"/>
      <c r="R59" s="31"/>
      <c r="S59" s="32"/>
      <c r="T59" s="33" t="str">
        <f aca="false">IF(E59="","",E59/StepGoal)</f>
        <v/>
      </c>
      <c r="U59" s="33" t="str">
        <f aca="false">IF(F59="","",F59/SleepGoal)</f>
        <v/>
      </c>
      <c r="V59" s="33" t="str">
        <f aca="false">IF(I59="","",I59/WaterGoal)</f>
        <v/>
      </c>
      <c r="W59" s="33" t="str">
        <f aca="false">IF(COUNT(E59,F59,I59)=0,"",(IF(N(T59)&gt;=1,1,0)+IF(N(U59)&gt;=1,1,0)+IF(N(V59)&gt;=1,1,0))/3)</f>
        <v/>
      </c>
      <c r="X59" s="27" t="n">
        <f aca="false">IF(AND(L59&lt;&gt;"",L59&lt;&gt;"Rest Day"),1,0)</f>
        <v>0</v>
      </c>
      <c r="Y59" s="34" t="n">
        <f aca="false">IF(X59=1,Y58+1,0)</f>
        <v>0</v>
      </c>
      <c r="Z59" s="34" t="n">
        <f aca="false">IF(N(T59)&gt;=1,Z58+1,0)</f>
        <v>0</v>
      </c>
      <c r="AA59" s="34" t="n">
        <f aca="false">IF(N(U59)&gt;=1,AA58+1,0)</f>
        <v>0</v>
      </c>
      <c r="AB59" s="34" t="n">
        <f aca="false">IF(N(V59)&gt;=1,AB58+1,0)</f>
        <v>0</v>
      </c>
      <c r="AC59" s="34" t="str">
        <f aca="false">IF(COUNT(E59,F59,I59,J59)=0,"",ROUND((MIN(IFERROR(E59/StepGoal,0),1)*100)*0.2+(MIN(IFERROR(F59/SleepGoal,0),1)*100)*0.2+(IF(L59="",0,IF(L59="Rest Day",100,MIN(IFERROR(M59/60,0),1)*100)))*0.25+(IFERROR(INDEX('Recovery Tracker'!$E$5:$E$369,MATCH(A59,'Recovery Tracker'!$A$5:$A$369,0))+0,70))*0.15+(MIN(IFERROR(I59/WaterGoal,0),1)*100)*0.1+(IF(J59="",0,MAX(0,100-MIN(ABS(J59-CalorieGoal)/CalorieGoal,1)*100)))*0.1,0))</f>
        <v/>
      </c>
    </row>
    <row r="60" customFormat="false" ht="15" hidden="false" customHeight="false" outlineLevel="0" collapsed="false">
      <c r="A60" s="35" t="n">
        <f aca="false">A59+1</f>
        <v>46078</v>
      </c>
      <c r="B60" s="36" t="str">
        <f aca="false">TEXT(A60,"ddd")</f>
        <v>Wed</v>
      </c>
      <c r="C60" s="36" t="n">
        <f aca="false">INT((A60-StartDate)/7)+1</f>
        <v>8</v>
      </c>
      <c r="D60" s="36" t="str">
        <f aca="false">TEXT(A60,"mmm")</f>
        <v>Feb</v>
      </c>
      <c r="E60" s="28"/>
      <c r="F60" s="29"/>
      <c r="G60" s="29"/>
      <c r="H60" s="30"/>
      <c r="I60" s="29"/>
      <c r="J60" s="28"/>
      <c r="K60" s="28"/>
      <c r="L60" s="31"/>
      <c r="M60" s="28"/>
      <c r="N60" s="31"/>
      <c r="O60" s="31"/>
      <c r="P60" s="31"/>
      <c r="Q60" s="31"/>
      <c r="R60" s="31"/>
      <c r="S60" s="32"/>
      <c r="T60" s="37" t="str">
        <f aca="false">IF(E60="","",E60/StepGoal)</f>
        <v/>
      </c>
      <c r="U60" s="37" t="str">
        <f aca="false">IF(F60="","",F60/SleepGoal)</f>
        <v/>
      </c>
      <c r="V60" s="37" t="str">
        <f aca="false">IF(I60="","",I60/WaterGoal)</f>
        <v/>
      </c>
      <c r="W60" s="37" t="str">
        <f aca="false">IF(COUNT(E60,F60,I60)=0,"",(IF(N(T60)&gt;=1,1,0)+IF(N(U60)&gt;=1,1,0)+IF(N(V60)&gt;=1,1,0))/3)</f>
        <v/>
      </c>
      <c r="X60" s="36" t="n">
        <f aca="false">IF(AND(L60&lt;&gt;"",L60&lt;&gt;"Rest Day"),1,0)</f>
        <v>0</v>
      </c>
      <c r="Y60" s="38" t="n">
        <f aca="false">IF(X60=1,Y59+1,0)</f>
        <v>0</v>
      </c>
      <c r="Z60" s="38" t="n">
        <f aca="false">IF(N(T60)&gt;=1,Z59+1,0)</f>
        <v>0</v>
      </c>
      <c r="AA60" s="38" t="n">
        <f aca="false">IF(N(U60)&gt;=1,AA59+1,0)</f>
        <v>0</v>
      </c>
      <c r="AB60" s="38" t="n">
        <f aca="false">IF(N(V60)&gt;=1,AB59+1,0)</f>
        <v>0</v>
      </c>
      <c r="AC60" s="38" t="str">
        <f aca="false">IF(COUNT(E60,F60,I60,J60)=0,"",ROUND((MIN(IFERROR(E60/StepGoal,0),1)*100)*0.2+(MIN(IFERROR(F60/SleepGoal,0),1)*100)*0.2+(IF(L60="",0,IF(L60="Rest Day",100,MIN(IFERROR(M60/60,0),1)*100)))*0.25+(IFERROR(INDEX('Recovery Tracker'!$E$5:$E$369,MATCH(A60,'Recovery Tracker'!$A$5:$A$369,0))+0,70))*0.15+(MIN(IFERROR(I60/WaterGoal,0),1)*100)*0.1+(IF(J60="",0,MAX(0,100-MIN(ABS(J60-CalorieGoal)/CalorieGoal,1)*100)))*0.1,0))</f>
        <v/>
      </c>
    </row>
    <row r="61" customFormat="false" ht="15" hidden="false" customHeight="false" outlineLevel="0" collapsed="false">
      <c r="A61" s="26" t="n">
        <f aca="false">A60+1</f>
        <v>46079</v>
      </c>
      <c r="B61" s="27" t="str">
        <f aca="false">TEXT(A61,"ddd")</f>
        <v>Thu</v>
      </c>
      <c r="C61" s="27" t="n">
        <f aca="false">INT((A61-StartDate)/7)+1</f>
        <v>9</v>
      </c>
      <c r="D61" s="27" t="str">
        <f aca="false">TEXT(A61,"mmm")</f>
        <v>Feb</v>
      </c>
      <c r="E61" s="28"/>
      <c r="F61" s="29"/>
      <c r="G61" s="29"/>
      <c r="H61" s="30"/>
      <c r="I61" s="29"/>
      <c r="J61" s="28"/>
      <c r="K61" s="28"/>
      <c r="L61" s="31"/>
      <c r="M61" s="28"/>
      <c r="N61" s="31"/>
      <c r="O61" s="31"/>
      <c r="P61" s="31"/>
      <c r="Q61" s="31"/>
      <c r="R61" s="31"/>
      <c r="S61" s="32"/>
      <c r="T61" s="33" t="str">
        <f aca="false">IF(E61="","",E61/StepGoal)</f>
        <v/>
      </c>
      <c r="U61" s="33" t="str">
        <f aca="false">IF(F61="","",F61/SleepGoal)</f>
        <v/>
      </c>
      <c r="V61" s="33" t="str">
        <f aca="false">IF(I61="","",I61/WaterGoal)</f>
        <v/>
      </c>
      <c r="W61" s="33" t="str">
        <f aca="false">IF(COUNT(E61,F61,I61)=0,"",(IF(N(T61)&gt;=1,1,0)+IF(N(U61)&gt;=1,1,0)+IF(N(V61)&gt;=1,1,0))/3)</f>
        <v/>
      </c>
      <c r="X61" s="27" t="n">
        <f aca="false">IF(AND(L61&lt;&gt;"",L61&lt;&gt;"Rest Day"),1,0)</f>
        <v>0</v>
      </c>
      <c r="Y61" s="34" t="n">
        <f aca="false">IF(X61=1,Y60+1,0)</f>
        <v>0</v>
      </c>
      <c r="Z61" s="34" t="n">
        <f aca="false">IF(N(T61)&gt;=1,Z60+1,0)</f>
        <v>0</v>
      </c>
      <c r="AA61" s="34" t="n">
        <f aca="false">IF(N(U61)&gt;=1,AA60+1,0)</f>
        <v>0</v>
      </c>
      <c r="AB61" s="34" t="n">
        <f aca="false">IF(N(V61)&gt;=1,AB60+1,0)</f>
        <v>0</v>
      </c>
      <c r="AC61" s="34" t="str">
        <f aca="false">IF(COUNT(E61,F61,I61,J61)=0,"",ROUND((MIN(IFERROR(E61/StepGoal,0),1)*100)*0.2+(MIN(IFERROR(F61/SleepGoal,0),1)*100)*0.2+(IF(L61="",0,IF(L61="Rest Day",100,MIN(IFERROR(M61/60,0),1)*100)))*0.25+(IFERROR(INDEX('Recovery Tracker'!$E$5:$E$369,MATCH(A61,'Recovery Tracker'!$A$5:$A$369,0))+0,70))*0.15+(MIN(IFERROR(I61/WaterGoal,0),1)*100)*0.1+(IF(J61="",0,MAX(0,100-MIN(ABS(J61-CalorieGoal)/CalorieGoal,1)*100)))*0.1,0))</f>
        <v/>
      </c>
    </row>
    <row r="62" customFormat="false" ht="15" hidden="false" customHeight="false" outlineLevel="0" collapsed="false">
      <c r="A62" s="35" t="n">
        <f aca="false">A61+1</f>
        <v>46080</v>
      </c>
      <c r="B62" s="36" t="str">
        <f aca="false">TEXT(A62,"ddd")</f>
        <v>Fri</v>
      </c>
      <c r="C62" s="36" t="n">
        <f aca="false">INT((A62-StartDate)/7)+1</f>
        <v>9</v>
      </c>
      <c r="D62" s="36" t="str">
        <f aca="false">TEXT(A62,"mmm")</f>
        <v>Feb</v>
      </c>
      <c r="E62" s="28"/>
      <c r="F62" s="29"/>
      <c r="G62" s="29"/>
      <c r="H62" s="30"/>
      <c r="I62" s="29"/>
      <c r="J62" s="28"/>
      <c r="K62" s="28"/>
      <c r="L62" s="31"/>
      <c r="M62" s="28"/>
      <c r="N62" s="31"/>
      <c r="O62" s="31"/>
      <c r="P62" s="31"/>
      <c r="Q62" s="31"/>
      <c r="R62" s="31"/>
      <c r="S62" s="32"/>
      <c r="T62" s="37" t="str">
        <f aca="false">IF(E62="","",E62/StepGoal)</f>
        <v/>
      </c>
      <c r="U62" s="37" t="str">
        <f aca="false">IF(F62="","",F62/SleepGoal)</f>
        <v/>
      </c>
      <c r="V62" s="37" t="str">
        <f aca="false">IF(I62="","",I62/WaterGoal)</f>
        <v/>
      </c>
      <c r="W62" s="37" t="str">
        <f aca="false">IF(COUNT(E62,F62,I62)=0,"",(IF(N(T62)&gt;=1,1,0)+IF(N(U62)&gt;=1,1,0)+IF(N(V62)&gt;=1,1,0))/3)</f>
        <v/>
      </c>
      <c r="X62" s="36" t="n">
        <f aca="false">IF(AND(L62&lt;&gt;"",L62&lt;&gt;"Rest Day"),1,0)</f>
        <v>0</v>
      </c>
      <c r="Y62" s="38" t="n">
        <f aca="false">IF(X62=1,Y61+1,0)</f>
        <v>0</v>
      </c>
      <c r="Z62" s="38" t="n">
        <f aca="false">IF(N(T62)&gt;=1,Z61+1,0)</f>
        <v>0</v>
      </c>
      <c r="AA62" s="38" t="n">
        <f aca="false">IF(N(U62)&gt;=1,AA61+1,0)</f>
        <v>0</v>
      </c>
      <c r="AB62" s="38" t="n">
        <f aca="false">IF(N(V62)&gt;=1,AB61+1,0)</f>
        <v>0</v>
      </c>
      <c r="AC62" s="38" t="str">
        <f aca="false">IF(COUNT(E62,F62,I62,J62)=0,"",ROUND((MIN(IFERROR(E62/StepGoal,0),1)*100)*0.2+(MIN(IFERROR(F62/SleepGoal,0),1)*100)*0.2+(IF(L62="",0,IF(L62="Rest Day",100,MIN(IFERROR(M62/60,0),1)*100)))*0.25+(IFERROR(INDEX('Recovery Tracker'!$E$5:$E$369,MATCH(A62,'Recovery Tracker'!$A$5:$A$369,0))+0,70))*0.15+(MIN(IFERROR(I62/WaterGoal,0),1)*100)*0.1+(IF(J62="",0,MAX(0,100-MIN(ABS(J62-CalorieGoal)/CalorieGoal,1)*100)))*0.1,0))</f>
        <v/>
      </c>
    </row>
    <row r="63" customFormat="false" ht="15" hidden="false" customHeight="false" outlineLevel="0" collapsed="false">
      <c r="A63" s="26" t="n">
        <f aca="false">A62+1</f>
        <v>46081</v>
      </c>
      <c r="B63" s="27" t="str">
        <f aca="false">TEXT(A63,"ddd")</f>
        <v>Sat</v>
      </c>
      <c r="C63" s="27" t="n">
        <f aca="false">INT((A63-StartDate)/7)+1</f>
        <v>9</v>
      </c>
      <c r="D63" s="27" t="str">
        <f aca="false">TEXT(A63,"mmm")</f>
        <v>Feb</v>
      </c>
      <c r="E63" s="28"/>
      <c r="F63" s="29"/>
      <c r="G63" s="29"/>
      <c r="H63" s="30"/>
      <c r="I63" s="29"/>
      <c r="J63" s="28"/>
      <c r="K63" s="28"/>
      <c r="L63" s="31"/>
      <c r="M63" s="28"/>
      <c r="N63" s="31"/>
      <c r="O63" s="31"/>
      <c r="P63" s="31"/>
      <c r="Q63" s="31"/>
      <c r="R63" s="31"/>
      <c r="S63" s="32"/>
      <c r="T63" s="33" t="str">
        <f aca="false">IF(E63="","",E63/StepGoal)</f>
        <v/>
      </c>
      <c r="U63" s="33" t="str">
        <f aca="false">IF(F63="","",F63/SleepGoal)</f>
        <v/>
      </c>
      <c r="V63" s="33" t="str">
        <f aca="false">IF(I63="","",I63/WaterGoal)</f>
        <v/>
      </c>
      <c r="W63" s="33" t="str">
        <f aca="false">IF(COUNT(E63,F63,I63)=0,"",(IF(N(T63)&gt;=1,1,0)+IF(N(U63)&gt;=1,1,0)+IF(N(V63)&gt;=1,1,0))/3)</f>
        <v/>
      </c>
      <c r="X63" s="27" t="n">
        <f aca="false">IF(AND(L63&lt;&gt;"",L63&lt;&gt;"Rest Day"),1,0)</f>
        <v>0</v>
      </c>
      <c r="Y63" s="34" t="n">
        <f aca="false">IF(X63=1,Y62+1,0)</f>
        <v>0</v>
      </c>
      <c r="Z63" s="34" t="n">
        <f aca="false">IF(N(T63)&gt;=1,Z62+1,0)</f>
        <v>0</v>
      </c>
      <c r="AA63" s="34" t="n">
        <f aca="false">IF(N(U63)&gt;=1,AA62+1,0)</f>
        <v>0</v>
      </c>
      <c r="AB63" s="34" t="n">
        <f aca="false">IF(N(V63)&gt;=1,AB62+1,0)</f>
        <v>0</v>
      </c>
      <c r="AC63" s="34" t="str">
        <f aca="false">IF(COUNT(E63,F63,I63,J63)=0,"",ROUND((MIN(IFERROR(E63/StepGoal,0),1)*100)*0.2+(MIN(IFERROR(F63/SleepGoal,0),1)*100)*0.2+(IF(L63="",0,IF(L63="Rest Day",100,MIN(IFERROR(M63/60,0),1)*100)))*0.25+(IFERROR(INDEX('Recovery Tracker'!$E$5:$E$369,MATCH(A63,'Recovery Tracker'!$A$5:$A$369,0))+0,70))*0.15+(MIN(IFERROR(I63/WaterGoal,0),1)*100)*0.1+(IF(J63="",0,MAX(0,100-MIN(ABS(J63-CalorieGoal)/CalorieGoal,1)*100)))*0.1,0))</f>
        <v/>
      </c>
    </row>
    <row r="64" customFormat="false" ht="15" hidden="false" customHeight="false" outlineLevel="0" collapsed="false">
      <c r="A64" s="35" t="n">
        <f aca="false">A63+1</f>
        <v>46082</v>
      </c>
      <c r="B64" s="36" t="str">
        <f aca="false">TEXT(A64,"ddd")</f>
        <v>Sun</v>
      </c>
      <c r="C64" s="36" t="n">
        <f aca="false">INT((A64-StartDate)/7)+1</f>
        <v>9</v>
      </c>
      <c r="D64" s="36" t="str">
        <f aca="false">TEXT(A64,"mmm")</f>
        <v>Mar</v>
      </c>
      <c r="E64" s="28"/>
      <c r="F64" s="29"/>
      <c r="G64" s="29"/>
      <c r="H64" s="30"/>
      <c r="I64" s="29"/>
      <c r="J64" s="28"/>
      <c r="K64" s="28"/>
      <c r="L64" s="31"/>
      <c r="M64" s="28"/>
      <c r="N64" s="31"/>
      <c r="O64" s="31"/>
      <c r="P64" s="31"/>
      <c r="Q64" s="31"/>
      <c r="R64" s="31"/>
      <c r="S64" s="32"/>
      <c r="T64" s="37" t="str">
        <f aca="false">IF(E64="","",E64/StepGoal)</f>
        <v/>
      </c>
      <c r="U64" s="37" t="str">
        <f aca="false">IF(F64="","",F64/SleepGoal)</f>
        <v/>
      </c>
      <c r="V64" s="37" t="str">
        <f aca="false">IF(I64="","",I64/WaterGoal)</f>
        <v/>
      </c>
      <c r="W64" s="37" t="str">
        <f aca="false">IF(COUNT(E64,F64,I64)=0,"",(IF(N(T64)&gt;=1,1,0)+IF(N(U64)&gt;=1,1,0)+IF(N(V64)&gt;=1,1,0))/3)</f>
        <v/>
      </c>
      <c r="X64" s="36" t="n">
        <f aca="false">IF(AND(L64&lt;&gt;"",L64&lt;&gt;"Rest Day"),1,0)</f>
        <v>0</v>
      </c>
      <c r="Y64" s="38" t="n">
        <f aca="false">IF(X64=1,Y63+1,0)</f>
        <v>0</v>
      </c>
      <c r="Z64" s="38" t="n">
        <f aca="false">IF(N(T64)&gt;=1,Z63+1,0)</f>
        <v>0</v>
      </c>
      <c r="AA64" s="38" t="n">
        <f aca="false">IF(N(U64)&gt;=1,AA63+1,0)</f>
        <v>0</v>
      </c>
      <c r="AB64" s="38" t="n">
        <f aca="false">IF(N(V64)&gt;=1,AB63+1,0)</f>
        <v>0</v>
      </c>
      <c r="AC64" s="38" t="str">
        <f aca="false">IF(COUNT(E64,F64,I64,J64)=0,"",ROUND((MIN(IFERROR(E64/StepGoal,0),1)*100)*0.2+(MIN(IFERROR(F64/SleepGoal,0),1)*100)*0.2+(IF(L64="",0,IF(L64="Rest Day",100,MIN(IFERROR(M64/60,0),1)*100)))*0.25+(IFERROR(INDEX('Recovery Tracker'!$E$5:$E$369,MATCH(A64,'Recovery Tracker'!$A$5:$A$369,0))+0,70))*0.15+(MIN(IFERROR(I64/WaterGoal,0),1)*100)*0.1+(IF(J64="",0,MAX(0,100-MIN(ABS(J64-CalorieGoal)/CalorieGoal,1)*100)))*0.1,0))</f>
        <v/>
      </c>
    </row>
    <row r="65" customFormat="false" ht="15" hidden="false" customHeight="false" outlineLevel="0" collapsed="false">
      <c r="A65" s="26" t="n">
        <f aca="false">A64+1</f>
        <v>46083</v>
      </c>
      <c r="B65" s="27" t="str">
        <f aca="false">TEXT(A65,"ddd")</f>
        <v>Mon</v>
      </c>
      <c r="C65" s="27" t="n">
        <f aca="false">INT((A65-StartDate)/7)+1</f>
        <v>9</v>
      </c>
      <c r="D65" s="27" t="str">
        <f aca="false">TEXT(A65,"mmm")</f>
        <v>Mar</v>
      </c>
      <c r="E65" s="28"/>
      <c r="F65" s="29"/>
      <c r="G65" s="29"/>
      <c r="H65" s="30"/>
      <c r="I65" s="29"/>
      <c r="J65" s="28"/>
      <c r="K65" s="28"/>
      <c r="L65" s="31"/>
      <c r="M65" s="28"/>
      <c r="N65" s="31"/>
      <c r="O65" s="31"/>
      <c r="P65" s="31"/>
      <c r="Q65" s="31"/>
      <c r="R65" s="31"/>
      <c r="S65" s="32"/>
      <c r="T65" s="33" t="str">
        <f aca="false">IF(E65="","",E65/StepGoal)</f>
        <v/>
      </c>
      <c r="U65" s="33" t="str">
        <f aca="false">IF(F65="","",F65/SleepGoal)</f>
        <v/>
      </c>
      <c r="V65" s="33" t="str">
        <f aca="false">IF(I65="","",I65/WaterGoal)</f>
        <v/>
      </c>
      <c r="W65" s="33" t="str">
        <f aca="false">IF(COUNT(E65,F65,I65)=0,"",(IF(N(T65)&gt;=1,1,0)+IF(N(U65)&gt;=1,1,0)+IF(N(V65)&gt;=1,1,0))/3)</f>
        <v/>
      </c>
      <c r="X65" s="27" t="n">
        <f aca="false">IF(AND(L65&lt;&gt;"",L65&lt;&gt;"Rest Day"),1,0)</f>
        <v>0</v>
      </c>
      <c r="Y65" s="34" t="n">
        <f aca="false">IF(X65=1,Y64+1,0)</f>
        <v>0</v>
      </c>
      <c r="Z65" s="34" t="n">
        <f aca="false">IF(N(T65)&gt;=1,Z64+1,0)</f>
        <v>0</v>
      </c>
      <c r="AA65" s="34" t="n">
        <f aca="false">IF(N(U65)&gt;=1,AA64+1,0)</f>
        <v>0</v>
      </c>
      <c r="AB65" s="34" t="n">
        <f aca="false">IF(N(V65)&gt;=1,AB64+1,0)</f>
        <v>0</v>
      </c>
      <c r="AC65" s="34" t="str">
        <f aca="false">IF(COUNT(E65,F65,I65,J65)=0,"",ROUND((MIN(IFERROR(E65/StepGoal,0),1)*100)*0.2+(MIN(IFERROR(F65/SleepGoal,0),1)*100)*0.2+(IF(L65="",0,IF(L65="Rest Day",100,MIN(IFERROR(M65/60,0),1)*100)))*0.25+(IFERROR(INDEX('Recovery Tracker'!$E$5:$E$369,MATCH(A65,'Recovery Tracker'!$A$5:$A$369,0))+0,70))*0.15+(MIN(IFERROR(I65/WaterGoal,0),1)*100)*0.1+(IF(J65="",0,MAX(0,100-MIN(ABS(J65-CalorieGoal)/CalorieGoal,1)*100)))*0.1,0))</f>
        <v/>
      </c>
    </row>
    <row r="66" customFormat="false" ht="15" hidden="false" customHeight="false" outlineLevel="0" collapsed="false">
      <c r="A66" s="35" t="n">
        <f aca="false">A65+1</f>
        <v>46084</v>
      </c>
      <c r="B66" s="36" t="str">
        <f aca="false">TEXT(A66,"ddd")</f>
        <v>Tue</v>
      </c>
      <c r="C66" s="36" t="n">
        <f aca="false">INT((A66-StartDate)/7)+1</f>
        <v>9</v>
      </c>
      <c r="D66" s="36" t="str">
        <f aca="false">TEXT(A66,"mmm")</f>
        <v>Mar</v>
      </c>
      <c r="E66" s="28"/>
      <c r="F66" s="29"/>
      <c r="G66" s="29"/>
      <c r="H66" s="30"/>
      <c r="I66" s="29"/>
      <c r="J66" s="28"/>
      <c r="K66" s="28"/>
      <c r="L66" s="31"/>
      <c r="M66" s="28"/>
      <c r="N66" s="31"/>
      <c r="O66" s="31"/>
      <c r="P66" s="31"/>
      <c r="Q66" s="31"/>
      <c r="R66" s="31"/>
      <c r="S66" s="32"/>
      <c r="T66" s="37" t="str">
        <f aca="false">IF(E66="","",E66/StepGoal)</f>
        <v/>
      </c>
      <c r="U66" s="37" t="str">
        <f aca="false">IF(F66="","",F66/SleepGoal)</f>
        <v/>
      </c>
      <c r="V66" s="37" t="str">
        <f aca="false">IF(I66="","",I66/WaterGoal)</f>
        <v/>
      </c>
      <c r="W66" s="37" t="str">
        <f aca="false">IF(COUNT(E66,F66,I66)=0,"",(IF(N(T66)&gt;=1,1,0)+IF(N(U66)&gt;=1,1,0)+IF(N(V66)&gt;=1,1,0))/3)</f>
        <v/>
      </c>
      <c r="X66" s="36" t="n">
        <f aca="false">IF(AND(L66&lt;&gt;"",L66&lt;&gt;"Rest Day"),1,0)</f>
        <v>0</v>
      </c>
      <c r="Y66" s="38" t="n">
        <f aca="false">IF(X66=1,Y65+1,0)</f>
        <v>0</v>
      </c>
      <c r="Z66" s="38" t="n">
        <f aca="false">IF(N(T66)&gt;=1,Z65+1,0)</f>
        <v>0</v>
      </c>
      <c r="AA66" s="38" t="n">
        <f aca="false">IF(N(U66)&gt;=1,AA65+1,0)</f>
        <v>0</v>
      </c>
      <c r="AB66" s="38" t="n">
        <f aca="false">IF(N(V66)&gt;=1,AB65+1,0)</f>
        <v>0</v>
      </c>
      <c r="AC66" s="38" t="str">
        <f aca="false">IF(COUNT(E66,F66,I66,J66)=0,"",ROUND((MIN(IFERROR(E66/StepGoal,0),1)*100)*0.2+(MIN(IFERROR(F66/SleepGoal,0),1)*100)*0.2+(IF(L66="",0,IF(L66="Rest Day",100,MIN(IFERROR(M66/60,0),1)*100)))*0.25+(IFERROR(INDEX('Recovery Tracker'!$E$5:$E$369,MATCH(A66,'Recovery Tracker'!$A$5:$A$369,0))+0,70))*0.15+(MIN(IFERROR(I66/WaterGoal,0),1)*100)*0.1+(IF(J66="",0,MAX(0,100-MIN(ABS(J66-CalorieGoal)/CalorieGoal,1)*100)))*0.1,0))</f>
        <v/>
      </c>
    </row>
    <row r="67" customFormat="false" ht="15" hidden="false" customHeight="false" outlineLevel="0" collapsed="false">
      <c r="A67" s="26" t="n">
        <f aca="false">A66+1</f>
        <v>46085</v>
      </c>
      <c r="B67" s="27" t="str">
        <f aca="false">TEXT(A67,"ddd")</f>
        <v>Wed</v>
      </c>
      <c r="C67" s="27" t="n">
        <f aca="false">INT((A67-StartDate)/7)+1</f>
        <v>9</v>
      </c>
      <c r="D67" s="27" t="str">
        <f aca="false">TEXT(A67,"mmm")</f>
        <v>Mar</v>
      </c>
      <c r="E67" s="28"/>
      <c r="F67" s="29"/>
      <c r="G67" s="29"/>
      <c r="H67" s="30"/>
      <c r="I67" s="29"/>
      <c r="J67" s="28"/>
      <c r="K67" s="28"/>
      <c r="L67" s="31"/>
      <c r="M67" s="28"/>
      <c r="N67" s="31"/>
      <c r="O67" s="31"/>
      <c r="P67" s="31"/>
      <c r="Q67" s="31"/>
      <c r="R67" s="31"/>
      <c r="S67" s="32"/>
      <c r="T67" s="33" t="str">
        <f aca="false">IF(E67="","",E67/StepGoal)</f>
        <v/>
      </c>
      <c r="U67" s="33" t="str">
        <f aca="false">IF(F67="","",F67/SleepGoal)</f>
        <v/>
      </c>
      <c r="V67" s="33" t="str">
        <f aca="false">IF(I67="","",I67/WaterGoal)</f>
        <v/>
      </c>
      <c r="W67" s="33" t="str">
        <f aca="false">IF(COUNT(E67,F67,I67)=0,"",(IF(N(T67)&gt;=1,1,0)+IF(N(U67)&gt;=1,1,0)+IF(N(V67)&gt;=1,1,0))/3)</f>
        <v/>
      </c>
      <c r="X67" s="27" t="n">
        <f aca="false">IF(AND(L67&lt;&gt;"",L67&lt;&gt;"Rest Day"),1,0)</f>
        <v>0</v>
      </c>
      <c r="Y67" s="34" t="n">
        <f aca="false">IF(X67=1,Y66+1,0)</f>
        <v>0</v>
      </c>
      <c r="Z67" s="34" t="n">
        <f aca="false">IF(N(T67)&gt;=1,Z66+1,0)</f>
        <v>0</v>
      </c>
      <c r="AA67" s="34" t="n">
        <f aca="false">IF(N(U67)&gt;=1,AA66+1,0)</f>
        <v>0</v>
      </c>
      <c r="AB67" s="34" t="n">
        <f aca="false">IF(N(V67)&gt;=1,AB66+1,0)</f>
        <v>0</v>
      </c>
      <c r="AC67" s="34" t="str">
        <f aca="false">IF(COUNT(E67,F67,I67,J67)=0,"",ROUND((MIN(IFERROR(E67/StepGoal,0),1)*100)*0.2+(MIN(IFERROR(F67/SleepGoal,0),1)*100)*0.2+(IF(L67="",0,IF(L67="Rest Day",100,MIN(IFERROR(M67/60,0),1)*100)))*0.25+(IFERROR(INDEX('Recovery Tracker'!$E$5:$E$369,MATCH(A67,'Recovery Tracker'!$A$5:$A$369,0))+0,70))*0.15+(MIN(IFERROR(I67/WaterGoal,0),1)*100)*0.1+(IF(J67="",0,MAX(0,100-MIN(ABS(J67-CalorieGoal)/CalorieGoal,1)*100)))*0.1,0))</f>
        <v/>
      </c>
    </row>
    <row r="68" customFormat="false" ht="15" hidden="false" customHeight="false" outlineLevel="0" collapsed="false">
      <c r="A68" s="35" t="n">
        <f aca="false">A67+1</f>
        <v>46086</v>
      </c>
      <c r="B68" s="36" t="str">
        <f aca="false">TEXT(A68,"ddd")</f>
        <v>Thu</v>
      </c>
      <c r="C68" s="36" t="n">
        <f aca="false">INT((A68-StartDate)/7)+1</f>
        <v>10</v>
      </c>
      <c r="D68" s="36" t="str">
        <f aca="false">TEXT(A68,"mmm")</f>
        <v>Mar</v>
      </c>
      <c r="E68" s="28"/>
      <c r="F68" s="29"/>
      <c r="G68" s="29"/>
      <c r="H68" s="30"/>
      <c r="I68" s="29"/>
      <c r="J68" s="28"/>
      <c r="K68" s="28"/>
      <c r="L68" s="31"/>
      <c r="M68" s="28"/>
      <c r="N68" s="31"/>
      <c r="O68" s="31"/>
      <c r="P68" s="31"/>
      <c r="Q68" s="31"/>
      <c r="R68" s="31"/>
      <c r="S68" s="32"/>
      <c r="T68" s="37" t="str">
        <f aca="false">IF(E68="","",E68/StepGoal)</f>
        <v/>
      </c>
      <c r="U68" s="37" t="str">
        <f aca="false">IF(F68="","",F68/SleepGoal)</f>
        <v/>
      </c>
      <c r="V68" s="37" t="str">
        <f aca="false">IF(I68="","",I68/WaterGoal)</f>
        <v/>
      </c>
      <c r="W68" s="37" t="str">
        <f aca="false">IF(COUNT(E68,F68,I68)=0,"",(IF(N(T68)&gt;=1,1,0)+IF(N(U68)&gt;=1,1,0)+IF(N(V68)&gt;=1,1,0))/3)</f>
        <v/>
      </c>
      <c r="X68" s="36" t="n">
        <f aca="false">IF(AND(L68&lt;&gt;"",L68&lt;&gt;"Rest Day"),1,0)</f>
        <v>0</v>
      </c>
      <c r="Y68" s="38" t="n">
        <f aca="false">IF(X68=1,Y67+1,0)</f>
        <v>0</v>
      </c>
      <c r="Z68" s="38" t="n">
        <f aca="false">IF(N(T68)&gt;=1,Z67+1,0)</f>
        <v>0</v>
      </c>
      <c r="AA68" s="38" t="n">
        <f aca="false">IF(N(U68)&gt;=1,AA67+1,0)</f>
        <v>0</v>
      </c>
      <c r="AB68" s="38" t="n">
        <f aca="false">IF(N(V68)&gt;=1,AB67+1,0)</f>
        <v>0</v>
      </c>
      <c r="AC68" s="38" t="str">
        <f aca="false">IF(COUNT(E68,F68,I68,J68)=0,"",ROUND((MIN(IFERROR(E68/StepGoal,0),1)*100)*0.2+(MIN(IFERROR(F68/SleepGoal,0),1)*100)*0.2+(IF(L68="",0,IF(L68="Rest Day",100,MIN(IFERROR(M68/60,0),1)*100)))*0.25+(IFERROR(INDEX('Recovery Tracker'!$E$5:$E$369,MATCH(A68,'Recovery Tracker'!$A$5:$A$369,0))+0,70))*0.15+(MIN(IFERROR(I68/WaterGoal,0),1)*100)*0.1+(IF(J68="",0,MAX(0,100-MIN(ABS(J68-CalorieGoal)/CalorieGoal,1)*100)))*0.1,0))</f>
        <v/>
      </c>
    </row>
    <row r="69" customFormat="false" ht="15" hidden="false" customHeight="false" outlineLevel="0" collapsed="false">
      <c r="A69" s="26" t="n">
        <f aca="false">A68+1</f>
        <v>46087</v>
      </c>
      <c r="B69" s="27" t="str">
        <f aca="false">TEXT(A69,"ddd")</f>
        <v>Fri</v>
      </c>
      <c r="C69" s="27" t="n">
        <f aca="false">INT((A69-StartDate)/7)+1</f>
        <v>10</v>
      </c>
      <c r="D69" s="27" t="str">
        <f aca="false">TEXT(A69,"mmm")</f>
        <v>Mar</v>
      </c>
      <c r="E69" s="28"/>
      <c r="F69" s="29"/>
      <c r="G69" s="29"/>
      <c r="H69" s="30"/>
      <c r="I69" s="29"/>
      <c r="J69" s="28"/>
      <c r="K69" s="28"/>
      <c r="L69" s="31"/>
      <c r="M69" s="28"/>
      <c r="N69" s="31"/>
      <c r="O69" s="31"/>
      <c r="P69" s="31"/>
      <c r="Q69" s="31"/>
      <c r="R69" s="31"/>
      <c r="S69" s="32"/>
      <c r="T69" s="33" t="str">
        <f aca="false">IF(E69="","",E69/StepGoal)</f>
        <v/>
      </c>
      <c r="U69" s="33" t="str">
        <f aca="false">IF(F69="","",F69/SleepGoal)</f>
        <v/>
      </c>
      <c r="V69" s="33" t="str">
        <f aca="false">IF(I69="","",I69/WaterGoal)</f>
        <v/>
      </c>
      <c r="W69" s="33" t="str">
        <f aca="false">IF(COUNT(E69,F69,I69)=0,"",(IF(N(T69)&gt;=1,1,0)+IF(N(U69)&gt;=1,1,0)+IF(N(V69)&gt;=1,1,0))/3)</f>
        <v/>
      </c>
      <c r="X69" s="27" t="n">
        <f aca="false">IF(AND(L69&lt;&gt;"",L69&lt;&gt;"Rest Day"),1,0)</f>
        <v>0</v>
      </c>
      <c r="Y69" s="34" t="n">
        <f aca="false">IF(X69=1,Y68+1,0)</f>
        <v>0</v>
      </c>
      <c r="Z69" s="34" t="n">
        <f aca="false">IF(N(T69)&gt;=1,Z68+1,0)</f>
        <v>0</v>
      </c>
      <c r="AA69" s="34" t="n">
        <f aca="false">IF(N(U69)&gt;=1,AA68+1,0)</f>
        <v>0</v>
      </c>
      <c r="AB69" s="34" t="n">
        <f aca="false">IF(N(V69)&gt;=1,AB68+1,0)</f>
        <v>0</v>
      </c>
      <c r="AC69" s="34" t="str">
        <f aca="false">IF(COUNT(E69,F69,I69,J69)=0,"",ROUND((MIN(IFERROR(E69/StepGoal,0),1)*100)*0.2+(MIN(IFERROR(F69/SleepGoal,0),1)*100)*0.2+(IF(L69="",0,IF(L69="Rest Day",100,MIN(IFERROR(M69/60,0),1)*100)))*0.25+(IFERROR(INDEX('Recovery Tracker'!$E$5:$E$369,MATCH(A69,'Recovery Tracker'!$A$5:$A$369,0))+0,70))*0.15+(MIN(IFERROR(I69/WaterGoal,0),1)*100)*0.1+(IF(J69="",0,MAX(0,100-MIN(ABS(J69-CalorieGoal)/CalorieGoal,1)*100)))*0.1,0))</f>
        <v/>
      </c>
    </row>
    <row r="70" customFormat="false" ht="15" hidden="false" customHeight="false" outlineLevel="0" collapsed="false">
      <c r="A70" s="35" t="n">
        <f aca="false">A69+1</f>
        <v>46088</v>
      </c>
      <c r="B70" s="36" t="str">
        <f aca="false">TEXT(A70,"ddd")</f>
        <v>Sat</v>
      </c>
      <c r="C70" s="36" t="n">
        <f aca="false">INT((A70-StartDate)/7)+1</f>
        <v>10</v>
      </c>
      <c r="D70" s="36" t="str">
        <f aca="false">TEXT(A70,"mmm")</f>
        <v>Mar</v>
      </c>
      <c r="E70" s="28"/>
      <c r="F70" s="29"/>
      <c r="G70" s="29"/>
      <c r="H70" s="30"/>
      <c r="I70" s="29"/>
      <c r="J70" s="28"/>
      <c r="K70" s="28"/>
      <c r="L70" s="31"/>
      <c r="M70" s="28"/>
      <c r="N70" s="31"/>
      <c r="O70" s="31"/>
      <c r="P70" s="31"/>
      <c r="Q70" s="31"/>
      <c r="R70" s="31"/>
      <c r="S70" s="32"/>
      <c r="T70" s="37" t="str">
        <f aca="false">IF(E70="","",E70/StepGoal)</f>
        <v/>
      </c>
      <c r="U70" s="37" t="str">
        <f aca="false">IF(F70="","",F70/SleepGoal)</f>
        <v/>
      </c>
      <c r="V70" s="37" t="str">
        <f aca="false">IF(I70="","",I70/WaterGoal)</f>
        <v/>
      </c>
      <c r="W70" s="37" t="str">
        <f aca="false">IF(COUNT(E70,F70,I70)=0,"",(IF(N(T70)&gt;=1,1,0)+IF(N(U70)&gt;=1,1,0)+IF(N(V70)&gt;=1,1,0))/3)</f>
        <v/>
      </c>
      <c r="X70" s="36" t="n">
        <f aca="false">IF(AND(L70&lt;&gt;"",L70&lt;&gt;"Rest Day"),1,0)</f>
        <v>0</v>
      </c>
      <c r="Y70" s="38" t="n">
        <f aca="false">IF(X70=1,Y69+1,0)</f>
        <v>0</v>
      </c>
      <c r="Z70" s="38" t="n">
        <f aca="false">IF(N(T70)&gt;=1,Z69+1,0)</f>
        <v>0</v>
      </c>
      <c r="AA70" s="38" t="n">
        <f aca="false">IF(N(U70)&gt;=1,AA69+1,0)</f>
        <v>0</v>
      </c>
      <c r="AB70" s="38" t="n">
        <f aca="false">IF(N(V70)&gt;=1,AB69+1,0)</f>
        <v>0</v>
      </c>
      <c r="AC70" s="38" t="str">
        <f aca="false">IF(COUNT(E70,F70,I70,J70)=0,"",ROUND((MIN(IFERROR(E70/StepGoal,0),1)*100)*0.2+(MIN(IFERROR(F70/SleepGoal,0),1)*100)*0.2+(IF(L70="",0,IF(L70="Rest Day",100,MIN(IFERROR(M70/60,0),1)*100)))*0.25+(IFERROR(INDEX('Recovery Tracker'!$E$5:$E$369,MATCH(A70,'Recovery Tracker'!$A$5:$A$369,0))+0,70))*0.15+(MIN(IFERROR(I70/WaterGoal,0),1)*100)*0.1+(IF(J70="",0,MAX(0,100-MIN(ABS(J70-CalorieGoal)/CalorieGoal,1)*100)))*0.1,0))</f>
        <v/>
      </c>
    </row>
    <row r="71" customFormat="false" ht="15" hidden="false" customHeight="false" outlineLevel="0" collapsed="false">
      <c r="A71" s="26" t="n">
        <f aca="false">A70+1</f>
        <v>46089</v>
      </c>
      <c r="B71" s="27" t="str">
        <f aca="false">TEXT(A71,"ddd")</f>
        <v>Sun</v>
      </c>
      <c r="C71" s="27" t="n">
        <f aca="false">INT((A71-StartDate)/7)+1</f>
        <v>10</v>
      </c>
      <c r="D71" s="27" t="str">
        <f aca="false">TEXT(A71,"mmm")</f>
        <v>Mar</v>
      </c>
      <c r="E71" s="28"/>
      <c r="F71" s="29"/>
      <c r="G71" s="29"/>
      <c r="H71" s="30"/>
      <c r="I71" s="29"/>
      <c r="J71" s="28"/>
      <c r="K71" s="28"/>
      <c r="L71" s="31"/>
      <c r="M71" s="28"/>
      <c r="N71" s="31"/>
      <c r="O71" s="31"/>
      <c r="P71" s="31"/>
      <c r="Q71" s="31"/>
      <c r="R71" s="31"/>
      <c r="S71" s="32"/>
      <c r="T71" s="33" t="str">
        <f aca="false">IF(E71="","",E71/StepGoal)</f>
        <v/>
      </c>
      <c r="U71" s="33" t="str">
        <f aca="false">IF(F71="","",F71/SleepGoal)</f>
        <v/>
      </c>
      <c r="V71" s="33" t="str">
        <f aca="false">IF(I71="","",I71/WaterGoal)</f>
        <v/>
      </c>
      <c r="W71" s="33" t="str">
        <f aca="false">IF(COUNT(E71,F71,I71)=0,"",(IF(N(T71)&gt;=1,1,0)+IF(N(U71)&gt;=1,1,0)+IF(N(V71)&gt;=1,1,0))/3)</f>
        <v/>
      </c>
      <c r="X71" s="27" t="n">
        <f aca="false">IF(AND(L71&lt;&gt;"",L71&lt;&gt;"Rest Day"),1,0)</f>
        <v>0</v>
      </c>
      <c r="Y71" s="34" t="n">
        <f aca="false">IF(X71=1,Y70+1,0)</f>
        <v>0</v>
      </c>
      <c r="Z71" s="34" t="n">
        <f aca="false">IF(N(T71)&gt;=1,Z70+1,0)</f>
        <v>0</v>
      </c>
      <c r="AA71" s="34" t="n">
        <f aca="false">IF(N(U71)&gt;=1,AA70+1,0)</f>
        <v>0</v>
      </c>
      <c r="AB71" s="34" t="n">
        <f aca="false">IF(N(V71)&gt;=1,AB70+1,0)</f>
        <v>0</v>
      </c>
      <c r="AC71" s="34" t="str">
        <f aca="false">IF(COUNT(E71,F71,I71,J71)=0,"",ROUND((MIN(IFERROR(E71/StepGoal,0),1)*100)*0.2+(MIN(IFERROR(F71/SleepGoal,0),1)*100)*0.2+(IF(L71="",0,IF(L71="Rest Day",100,MIN(IFERROR(M71/60,0),1)*100)))*0.25+(IFERROR(INDEX('Recovery Tracker'!$E$5:$E$369,MATCH(A71,'Recovery Tracker'!$A$5:$A$369,0))+0,70))*0.15+(MIN(IFERROR(I71/WaterGoal,0),1)*100)*0.1+(IF(J71="",0,MAX(0,100-MIN(ABS(J71-CalorieGoal)/CalorieGoal,1)*100)))*0.1,0))</f>
        <v/>
      </c>
    </row>
    <row r="72" customFormat="false" ht="15" hidden="false" customHeight="false" outlineLevel="0" collapsed="false">
      <c r="A72" s="35" t="n">
        <f aca="false">A71+1</f>
        <v>46090</v>
      </c>
      <c r="B72" s="36" t="str">
        <f aca="false">TEXT(A72,"ddd")</f>
        <v>Mon</v>
      </c>
      <c r="C72" s="36" t="n">
        <f aca="false">INT((A72-StartDate)/7)+1</f>
        <v>10</v>
      </c>
      <c r="D72" s="36" t="str">
        <f aca="false">TEXT(A72,"mmm")</f>
        <v>Mar</v>
      </c>
      <c r="E72" s="28"/>
      <c r="F72" s="29"/>
      <c r="G72" s="29"/>
      <c r="H72" s="30"/>
      <c r="I72" s="29"/>
      <c r="J72" s="28"/>
      <c r="K72" s="28"/>
      <c r="L72" s="31"/>
      <c r="M72" s="28"/>
      <c r="N72" s="31"/>
      <c r="O72" s="31"/>
      <c r="P72" s="31"/>
      <c r="Q72" s="31"/>
      <c r="R72" s="31"/>
      <c r="S72" s="32"/>
      <c r="T72" s="37" t="str">
        <f aca="false">IF(E72="","",E72/StepGoal)</f>
        <v/>
      </c>
      <c r="U72" s="37" t="str">
        <f aca="false">IF(F72="","",F72/SleepGoal)</f>
        <v/>
      </c>
      <c r="V72" s="37" t="str">
        <f aca="false">IF(I72="","",I72/WaterGoal)</f>
        <v/>
      </c>
      <c r="W72" s="37" t="str">
        <f aca="false">IF(COUNT(E72,F72,I72)=0,"",(IF(N(T72)&gt;=1,1,0)+IF(N(U72)&gt;=1,1,0)+IF(N(V72)&gt;=1,1,0))/3)</f>
        <v/>
      </c>
      <c r="X72" s="36" t="n">
        <f aca="false">IF(AND(L72&lt;&gt;"",L72&lt;&gt;"Rest Day"),1,0)</f>
        <v>0</v>
      </c>
      <c r="Y72" s="38" t="n">
        <f aca="false">IF(X72=1,Y71+1,0)</f>
        <v>0</v>
      </c>
      <c r="Z72" s="38" t="n">
        <f aca="false">IF(N(T72)&gt;=1,Z71+1,0)</f>
        <v>0</v>
      </c>
      <c r="AA72" s="38" t="n">
        <f aca="false">IF(N(U72)&gt;=1,AA71+1,0)</f>
        <v>0</v>
      </c>
      <c r="AB72" s="38" t="n">
        <f aca="false">IF(N(V72)&gt;=1,AB71+1,0)</f>
        <v>0</v>
      </c>
      <c r="AC72" s="38" t="str">
        <f aca="false">IF(COUNT(E72,F72,I72,J72)=0,"",ROUND((MIN(IFERROR(E72/StepGoal,0),1)*100)*0.2+(MIN(IFERROR(F72/SleepGoal,0),1)*100)*0.2+(IF(L72="",0,IF(L72="Rest Day",100,MIN(IFERROR(M72/60,0),1)*100)))*0.25+(IFERROR(INDEX('Recovery Tracker'!$E$5:$E$369,MATCH(A72,'Recovery Tracker'!$A$5:$A$369,0))+0,70))*0.15+(MIN(IFERROR(I72/WaterGoal,0),1)*100)*0.1+(IF(J72="",0,MAX(0,100-MIN(ABS(J72-CalorieGoal)/CalorieGoal,1)*100)))*0.1,0))</f>
        <v/>
      </c>
    </row>
    <row r="73" customFormat="false" ht="15" hidden="false" customHeight="false" outlineLevel="0" collapsed="false">
      <c r="A73" s="26" t="n">
        <f aca="false">A72+1</f>
        <v>46091</v>
      </c>
      <c r="B73" s="27" t="str">
        <f aca="false">TEXT(A73,"ddd")</f>
        <v>Tue</v>
      </c>
      <c r="C73" s="27" t="n">
        <f aca="false">INT((A73-StartDate)/7)+1</f>
        <v>10</v>
      </c>
      <c r="D73" s="27" t="str">
        <f aca="false">TEXT(A73,"mmm")</f>
        <v>Mar</v>
      </c>
      <c r="E73" s="28"/>
      <c r="F73" s="29"/>
      <c r="G73" s="29"/>
      <c r="H73" s="30"/>
      <c r="I73" s="29"/>
      <c r="J73" s="28"/>
      <c r="K73" s="28"/>
      <c r="L73" s="31"/>
      <c r="M73" s="28"/>
      <c r="N73" s="31"/>
      <c r="O73" s="31"/>
      <c r="P73" s="31"/>
      <c r="Q73" s="31"/>
      <c r="R73" s="31"/>
      <c r="S73" s="32"/>
      <c r="T73" s="33" t="str">
        <f aca="false">IF(E73="","",E73/StepGoal)</f>
        <v/>
      </c>
      <c r="U73" s="33" t="str">
        <f aca="false">IF(F73="","",F73/SleepGoal)</f>
        <v/>
      </c>
      <c r="V73" s="33" t="str">
        <f aca="false">IF(I73="","",I73/WaterGoal)</f>
        <v/>
      </c>
      <c r="W73" s="33" t="str">
        <f aca="false">IF(COUNT(E73,F73,I73)=0,"",(IF(N(T73)&gt;=1,1,0)+IF(N(U73)&gt;=1,1,0)+IF(N(V73)&gt;=1,1,0))/3)</f>
        <v/>
      </c>
      <c r="X73" s="27" t="n">
        <f aca="false">IF(AND(L73&lt;&gt;"",L73&lt;&gt;"Rest Day"),1,0)</f>
        <v>0</v>
      </c>
      <c r="Y73" s="34" t="n">
        <f aca="false">IF(X73=1,Y72+1,0)</f>
        <v>0</v>
      </c>
      <c r="Z73" s="34" t="n">
        <f aca="false">IF(N(T73)&gt;=1,Z72+1,0)</f>
        <v>0</v>
      </c>
      <c r="AA73" s="34" t="n">
        <f aca="false">IF(N(U73)&gt;=1,AA72+1,0)</f>
        <v>0</v>
      </c>
      <c r="AB73" s="34" t="n">
        <f aca="false">IF(N(V73)&gt;=1,AB72+1,0)</f>
        <v>0</v>
      </c>
      <c r="AC73" s="34" t="str">
        <f aca="false">IF(COUNT(E73,F73,I73,J73)=0,"",ROUND((MIN(IFERROR(E73/StepGoal,0),1)*100)*0.2+(MIN(IFERROR(F73/SleepGoal,0),1)*100)*0.2+(IF(L73="",0,IF(L73="Rest Day",100,MIN(IFERROR(M73/60,0),1)*100)))*0.25+(IFERROR(INDEX('Recovery Tracker'!$E$5:$E$369,MATCH(A73,'Recovery Tracker'!$A$5:$A$369,0))+0,70))*0.15+(MIN(IFERROR(I73/WaterGoal,0),1)*100)*0.1+(IF(J73="",0,MAX(0,100-MIN(ABS(J73-CalorieGoal)/CalorieGoal,1)*100)))*0.1,0))</f>
        <v/>
      </c>
    </row>
    <row r="74" customFormat="false" ht="15" hidden="false" customHeight="false" outlineLevel="0" collapsed="false">
      <c r="A74" s="35" t="n">
        <f aca="false">A73+1</f>
        <v>46092</v>
      </c>
      <c r="B74" s="36" t="str">
        <f aca="false">TEXT(A74,"ddd")</f>
        <v>Wed</v>
      </c>
      <c r="C74" s="36" t="n">
        <f aca="false">INT((A74-StartDate)/7)+1</f>
        <v>10</v>
      </c>
      <c r="D74" s="36" t="str">
        <f aca="false">TEXT(A74,"mmm")</f>
        <v>Mar</v>
      </c>
      <c r="E74" s="28"/>
      <c r="F74" s="29"/>
      <c r="G74" s="29"/>
      <c r="H74" s="30"/>
      <c r="I74" s="29"/>
      <c r="J74" s="28"/>
      <c r="K74" s="28"/>
      <c r="L74" s="31"/>
      <c r="M74" s="28"/>
      <c r="N74" s="31"/>
      <c r="O74" s="31"/>
      <c r="P74" s="31"/>
      <c r="Q74" s="31"/>
      <c r="R74" s="31"/>
      <c r="S74" s="32"/>
      <c r="T74" s="37" t="str">
        <f aca="false">IF(E74="","",E74/StepGoal)</f>
        <v/>
      </c>
      <c r="U74" s="37" t="str">
        <f aca="false">IF(F74="","",F74/SleepGoal)</f>
        <v/>
      </c>
      <c r="V74" s="37" t="str">
        <f aca="false">IF(I74="","",I74/WaterGoal)</f>
        <v/>
      </c>
      <c r="W74" s="37" t="str">
        <f aca="false">IF(COUNT(E74,F74,I74)=0,"",(IF(N(T74)&gt;=1,1,0)+IF(N(U74)&gt;=1,1,0)+IF(N(V74)&gt;=1,1,0))/3)</f>
        <v/>
      </c>
      <c r="X74" s="36" t="n">
        <f aca="false">IF(AND(L74&lt;&gt;"",L74&lt;&gt;"Rest Day"),1,0)</f>
        <v>0</v>
      </c>
      <c r="Y74" s="38" t="n">
        <f aca="false">IF(X74=1,Y73+1,0)</f>
        <v>0</v>
      </c>
      <c r="Z74" s="38" t="n">
        <f aca="false">IF(N(T74)&gt;=1,Z73+1,0)</f>
        <v>0</v>
      </c>
      <c r="AA74" s="38" t="n">
        <f aca="false">IF(N(U74)&gt;=1,AA73+1,0)</f>
        <v>0</v>
      </c>
      <c r="AB74" s="38" t="n">
        <f aca="false">IF(N(V74)&gt;=1,AB73+1,0)</f>
        <v>0</v>
      </c>
      <c r="AC74" s="38" t="str">
        <f aca="false">IF(COUNT(E74,F74,I74,J74)=0,"",ROUND((MIN(IFERROR(E74/StepGoal,0),1)*100)*0.2+(MIN(IFERROR(F74/SleepGoal,0),1)*100)*0.2+(IF(L74="",0,IF(L74="Rest Day",100,MIN(IFERROR(M74/60,0),1)*100)))*0.25+(IFERROR(INDEX('Recovery Tracker'!$E$5:$E$369,MATCH(A74,'Recovery Tracker'!$A$5:$A$369,0))+0,70))*0.15+(MIN(IFERROR(I74/WaterGoal,0),1)*100)*0.1+(IF(J74="",0,MAX(0,100-MIN(ABS(J74-CalorieGoal)/CalorieGoal,1)*100)))*0.1,0))</f>
        <v/>
      </c>
    </row>
    <row r="75" customFormat="false" ht="15" hidden="false" customHeight="false" outlineLevel="0" collapsed="false">
      <c r="A75" s="26" t="n">
        <f aca="false">A74+1</f>
        <v>46093</v>
      </c>
      <c r="B75" s="27" t="str">
        <f aca="false">TEXT(A75,"ddd")</f>
        <v>Thu</v>
      </c>
      <c r="C75" s="27" t="n">
        <f aca="false">INT((A75-StartDate)/7)+1</f>
        <v>11</v>
      </c>
      <c r="D75" s="27" t="str">
        <f aca="false">TEXT(A75,"mmm")</f>
        <v>Mar</v>
      </c>
      <c r="E75" s="28"/>
      <c r="F75" s="29"/>
      <c r="G75" s="29"/>
      <c r="H75" s="30"/>
      <c r="I75" s="29"/>
      <c r="J75" s="28"/>
      <c r="K75" s="28"/>
      <c r="L75" s="31"/>
      <c r="M75" s="28"/>
      <c r="N75" s="31"/>
      <c r="O75" s="31"/>
      <c r="P75" s="31"/>
      <c r="Q75" s="31"/>
      <c r="R75" s="31"/>
      <c r="S75" s="32"/>
      <c r="T75" s="33" t="str">
        <f aca="false">IF(E75="","",E75/StepGoal)</f>
        <v/>
      </c>
      <c r="U75" s="33" t="str">
        <f aca="false">IF(F75="","",F75/SleepGoal)</f>
        <v/>
      </c>
      <c r="V75" s="33" t="str">
        <f aca="false">IF(I75="","",I75/WaterGoal)</f>
        <v/>
      </c>
      <c r="W75" s="33" t="str">
        <f aca="false">IF(COUNT(E75,F75,I75)=0,"",(IF(N(T75)&gt;=1,1,0)+IF(N(U75)&gt;=1,1,0)+IF(N(V75)&gt;=1,1,0))/3)</f>
        <v/>
      </c>
      <c r="X75" s="27" t="n">
        <f aca="false">IF(AND(L75&lt;&gt;"",L75&lt;&gt;"Rest Day"),1,0)</f>
        <v>0</v>
      </c>
      <c r="Y75" s="34" t="n">
        <f aca="false">IF(X75=1,Y74+1,0)</f>
        <v>0</v>
      </c>
      <c r="Z75" s="34" t="n">
        <f aca="false">IF(N(T75)&gt;=1,Z74+1,0)</f>
        <v>0</v>
      </c>
      <c r="AA75" s="34" t="n">
        <f aca="false">IF(N(U75)&gt;=1,AA74+1,0)</f>
        <v>0</v>
      </c>
      <c r="AB75" s="34" t="n">
        <f aca="false">IF(N(V75)&gt;=1,AB74+1,0)</f>
        <v>0</v>
      </c>
      <c r="AC75" s="34" t="str">
        <f aca="false">IF(COUNT(E75,F75,I75,J75)=0,"",ROUND((MIN(IFERROR(E75/StepGoal,0),1)*100)*0.2+(MIN(IFERROR(F75/SleepGoal,0),1)*100)*0.2+(IF(L75="",0,IF(L75="Rest Day",100,MIN(IFERROR(M75/60,0),1)*100)))*0.25+(IFERROR(INDEX('Recovery Tracker'!$E$5:$E$369,MATCH(A75,'Recovery Tracker'!$A$5:$A$369,0))+0,70))*0.15+(MIN(IFERROR(I75/WaterGoal,0),1)*100)*0.1+(IF(J75="",0,MAX(0,100-MIN(ABS(J75-CalorieGoal)/CalorieGoal,1)*100)))*0.1,0))</f>
        <v/>
      </c>
    </row>
    <row r="76" customFormat="false" ht="15" hidden="false" customHeight="false" outlineLevel="0" collapsed="false">
      <c r="A76" s="35" t="n">
        <f aca="false">A75+1</f>
        <v>46094</v>
      </c>
      <c r="B76" s="36" t="str">
        <f aca="false">TEXT(A76,"ddd")</f>
        <v>Fri</v>
      </c>
      <c r="C76" s="36" t="n">
        <f aca="false">INT((A76-StartDate)/7)+1</f>
        <v>11</v>
      </c>
      <c r="D76" s="36" t="str">
        <f aca="false">TEXT(A76,"mmm")</f>
        <v>Mar</v>
      </c>
      <c r="E76" s="28"/>
      <c r="F76" s="29"/>
      <c r="G76" s="29"/>
      <c r="H76" s="30"/>
      <c r="I76" s="29"/>
      <c r="J76" s="28"/>
      <c r="K76" s="28"/>
      <c r="L76" s="31"/>
      <c r="M76" s="28"/>
      <c r="N76" s="31"/>
      <c r="O76" s="31"/>
      <c r="P76" s="31"/>
      <c r="Q76" s="31"/>
      <c r="R76" s="31"/>
      <c r="S76" s="32"/>
      <c r="T76" s="37" t="str">
        <f aca="false">IF(E76="","",E76/StepGoal)</f>
        <v/>
      </c>
      <c r="U76" s="37" t="str">
        <f aca="false">IF(F76="","",F76/SleepGoal)</f>
        <v/>
      </c>
      <c r="V76" s="37" t="str">
        <f aca="false">IF(I76="","",I76/WaterGoal)</f>
        <v/>
      </c>
      <c r="W76" s="37" t="str">
        <f aca="false">IF(COUNT(E76,F76,I76)=0,"",(IF(N(T76)&gt;=1,1,0)+IF(N(U76)&gt;=1,1,0)+IF(N(V76)&gt;=1,1,0))/3)</f>
        <v/>
      </c>
      <c r="X76" s="36" t="n">
        <f aca="false">IF(AND(L76&lt;&gt;"",L76&lt;&gt;"Rest Day"),1,0)</f>
        <v>0</v>
      </c>
      <c r="Y76" s="38" t="n">
        <f aca="false">IF(X76=1,Y75+1,0)</f>
        <v>0</v>
      </c>
      <c r="Z76" s="38" t="n">
        <f aca="false">IF(N(T76)&gt;=1,Z75+1,0)</f>
        <v>0</v>
      </c>
      <c r="AA76" s="38" t="n">
        <f aca="false">IF(N(U76)&gt;=1,AA75+1,0)</f>
        <v>0</v>
      </c>
      <c r="AB76" s="38" t="n">
        <f aca="false">IF(N(V76)&gt;=1,AB75+1,0)</f>
        <v>0</v>
      </c>
      <c r="AC76" s="38" t="str">
        <f aca="false">IF(COUNT(E76,F76,I76,J76)=0,"",ROUND((MIN(IFERROR(E76/StepGoal,0),1)*100)*0.2+(MIN(IFERROR(F76/SleepGoal,0),1)*100)*0.2+(IF(L76="",0,IF(L76="Rest Day",100,MIN(IFERROR(M76/60,0),1)*100)))*0.25+(IFERROR(INDEX('Recovery Tracker'!$E$5:$E$369,MATCH(A76,'Recovery Tracker'!$A$5:$A$369,0))+0,70))*0.15+(MIN(IFERROR(I76/WaterGoal,0),1)*100)*0.1+(IF(J76="",0,MAX(0,100-MIN(ABS(J76-CalorieGoal)/CalorieGoal,1)*100)))*0.1,0))</f>
        <v/>
      </c>
    </row>
    <row r="77" customFormat="false" ht="15" hidden="false" customHeight="false" outlineLevel="0" collapsed="false">
      <c r="A77" s="26" t="n">
        <f aca="false">A76+1</f>
        <v>46095</v>
      </c>
      <c r="B77" s="27" t="str">
        <f aca="false">TEXT(A77,"ddd")</f>
        <v>Sat</v>
      </c>
      <c r="C77" s="27" t="n">
        <f aca="false">INT((A77-StartDate)/7)+1</f>
        <v>11</v>
      </c>
      <c r="D77" s="27" t="str">
        <f aca="false">TEXT(A77,"mmm")</f>
        <v>Mar</v>
      </c>
      <c r="E77" s="28"/>
      <c r="F77" s="29"/>
      <c r="G77" s="29"/>
      <c r="H77" s="30"/>
      <c r="I77" s="29"/>
      <c r="J77" s="28"/>
      <c r="K77" s="28"/>
      <c r="L77" s="31"/>
      <c r="M77" s="28"/>
      <c r="N77" s="31"/>
      <c r="O77" s="31"/>
      <c r="P77" s="31"/>
      <c r="Q77" s="31"/>
      <c r="R77" s="31"/>
      <c r="S77" s="32"/>
      <c r="T77" s="33" t="str">
        <f aca="false">IF(E77="","",E77/StepGoal)</f>
        <v/>
      </c>
      <c r="U77" s="33" t="str">
        <f aca="false">IF(F77="","",F77/SleepGoal)</f>
        <v/>
      </c>
      <c r="V77" s="33" t="str">
        <f aca="false">IF(I77="","",I77/WaterGoal)</f>
        <v/>
      </c>
      <c r="W77" s="33" t="str">
        <f aca="false">IF(COUNT(E77,F77,I77)=0,"",(IF(N(T77)&gt;=1,1,0)+IF(N(U77)&gt;=1,1,0)+IF(N(V77)&gt;=1,1,0))/3)</f>
        <v/>
      </c>
      <c r="X77" s="27" t="n">
        <f aca="false">IF(AND(L77&lt;&gt;"",L77&lt;&gt;"Rest Day"),1,0)</f>
        <v>0</v>
      </c>
      <c r="Y77" s="34" t="n">
        <f aca="false">IF(X77=1,Y76+1,0)</f>
        <v>0</v>
      </c>
      <c r="Z77" s="34" t="n">
        <f aca="false">IF(N(T77)&gt;=1,Z76+1,0)</f>
        <v>0</v>
      </c>
      <c r="AA77" s="34" t="n">
        <f aca="false">IF(N(U77)&gt;=1,AA76+1,0)</f>
        <v>0</v>
      </c>
      <c r="AB77" s="34" t="n">
        <f aca="false">IF(N(V77)&gt;=1,AB76+1,0)</f>
        <v>0</v>
      </c>
      <c r="AC77" s="34" t="str">
        <f aca="false">IF(COUNT(E77,F77,I77,J77)=0,"",ROUND((MIN(IFERROR(E77/StepGoal,0),1)*100)*0.2+(MIN(IFERROR(F77/SleepGoal,0),1)*100)*0.2+(IF(L77="",0,IF(L77="Rest Day",100,MIN(IFERROR(M77/60,0),1)*100)))*0.25+(IFERROR(INDEX('Recovery Tracker'!$E$5:$E$369,MATCH(A77,'Recovery Tracker'!$A$5:$A$369,0))+0,70))*0.15+(MIN(IFERROR(I77/WaterGoal,0),1)*100)*0.1+(IF(J77="",0,MAX(0,100-MIN(ABS(J77-CalorieGoal)/CalorieGoal,1)*100)))*0.1,0))</f>
        <v/>
      </c>
    </row>
    <row r="78" customFormat="false" ht="15" hidden="false" customHeight="false" outlineLevel="0" collapsed="false">
      <c r="A78" s="35" t="n">
        <f aca="false">A77+1</f>
        <v>46096</v>
      </c>
      <c r="B78" s="36" t="str">
        <f aca="false">TEXT(A78,"ddd")</f>
        <v>Sun</v>
      </c>
      <c r="C78" s="36" t="n">
        <f aca="false">INT((A78-StartDate)/7)+1</f>
        <v>11</v>
      </c>
      <c r="D78" s="36" t="str">
        <f aca="false">TEXT(A78,"mmm")</f>
        <v>Mar</v>
      </c>
      <c r="E78" s="28"/>
      <c r="F78" s="29"/>
      <c r="G78" s="29"/>
      <c r="H78" s="30"/>
      <c r="I78" s="29"/>
      <c r="J78" s="28"/>
      <c r="K78" s="28"/>
      <c r="L78" s="31"/>
      <c r="M78" s="28"/>
      <c r="N78" s="31"/>
      <c r="O78" s="31"/>
      <c r="P78" s="31"/>
      <c r="Q78" s="31"/>
      <c r="R78" s="31"/>
      <c r="S78" s="32"/>
      <c r="T78" s="37" t="str">
        <f aca="false">IF(E78="","",E78/StepGoal)</f>
        <v/>
      </c>
      <c r="U78" s="37" t="str">
        <f aca="false">IF(F78="","",F78/SleepGoal)</f>
        <v/>
      </c>
      <c r="V78" s="37" t="str">
        <f aca="false">IF(I78="","",I78/WaterGoal)</f>
        <v/>
      </c>
      <c r="W78" s="37" t="str">
        <f aca="false">IF(COUNT(E78,F78,I78)=0,"",(IF(N(T78)&gt;=1,1,0)+IF(N(U78)&gt;=1,1,0)+IF(N(V78)&gt;=1,1,0))/3)</f>
        <v/>
      </c>
      <c r="X78" s="36" t="n">
        <f aca="false">IF(AND(L78&lt;&gt;"",L78&lt;&gt;"Rest Day"),1,0)</f>
        <v>0</v>
      </c>
      <c r="Y78" s="38" t="n">
        <f aca="false">IF(X78=1,Y77+1,0)</f>
        <v>0</v>
      </c>
      <c r="Z78" s="38" t="n">
        <f aca="false">IF(N(T78)&gt;=1,Z77+1,0)</f>
        <v>0</v>
      </c>
      <c r="AA78" s="38" t="n">
        <f aca="false">IF(N(U78)&gt;=1,AA77+1,0)</f>
        <v>0</v>
      </c>
      <c r="AB78" s="38" t="n">
        <f aca="false">IF(N(V78)&gt;=1,AB77+1,0)</f>
        <v>0</v>
      </c>
      <c r="AC78" s="38" t="str">
        <f aca="false">IF(COUNT(E78,F78,I78,J78)=0,"",ROUND((MIN(IFERROR(E78/StepGoal,0),1)*100)*0.2+(MIN(IFERROR(F78/SleepGoal,0),1)*100)*0.2+(IF(L78="",0,IF(L78="Rest Day",100,MIN(IFERROR(M78/60,0),1)*100)))*0.25+(IFERROR(INDEX('Recovery Tracker'!$E$5:$E$369,MATCH(A78,'Recovery Tracker'!$A$5:$A$369,0))+0,70))*0.15+(MIN(IFERROR(I78/WaterGoal,0),1)*100)*0.1+(IF(J78="",0,MAX(0,100-MIN(ABS(J78-CalorieGoal)/CalorieGoal,1)*100)))*0.1,0))</f>
        <v/>
      </c>
    </row>
    <row r="79" customFormat="false" ht="15" hidden="false" customHeight="false" outlineLevel="0" collapsed="false">
      <c r="A79" s="26" t="n">
        <f aca="false">A78+1</f>
        <v>46097</v>
      </c>
      <c r="B79" s="27" t="str">
        <f aca="false">TEXT(A79,"ddd")</f>
        <v>Mon</v>
      </c>
      <c r="C79" s="27" t="n">
        <f aca="false">INT((A79-StartDate)/7)+1</f>
        <v>11</v>
      </c>
      <c r="D79" s="27" t="str">
        <f aca="false">TEXT(A79,"mmm")</f>
        <v>Mar</v>
      </c>
      <c r="E79" s="28"/>
      <c r="F79" s="29"/>
      <c r="G79" s="29"/>
      <c r="H79" s="30"/>
      <c r="I79" s="29"/>
      <c r="J79" s="28"/>
      <c r="K79" s="28"/>
      <c r="L79" s="31"/>
      <c r="M79" s="28"/>
      <c r="N79" s="31"/>
      <c r="O79" s="31"/>
      <c r="P79" s="31"/>
      <c r="Q79" s="31"/>
      <c r="R79" s="31"/>
      <c r="S79" s="32"/>
      <c r="T79" s="33" t="str">
        <f aca="false">IF(E79="","",E79/StepGoal)</f>
        <v/>
      </c>
      <c r="U79" s="33" t="str">
        <f aca="false">IF(F79="","",F79/SleepGoal)</f>
        <v/>
      </c>
      <c r="V79" s="33" t="str">
        <f aca="false">IF(I79="","",I79/WaterGoal)</f>
        <v/>
      </c>
      <c r="W79" s="33" t="str">
        <f aca="false">IF(COUNT(E79,F79,I79)=0,"",(IF(N(T79)&gt;=1,1,0)+IF(N(U79)&gt;=1,1,0)+IF(N(V79)&gt;=1,1,0))/3)</f>
        <v/>
      </c>
      <c r="X79" s="27" t="n">
        <f aca="false">IF(AND(L79&lt;&gt;"",L79&lt;&gt;"Rest Day"),1,0)</f>
        <v>0</v>
      </c>
      <c r="Y79" s="34" t="n">
        <f aca="false">IF(X79=1,Y78+1,0)</f>
        <v>0</v>
      </c>
      <c r="Z79" s="34" t="n">
        <f aca="false">IF(N(T79)&gt;=1,Z78+1,0)</f>
        <v>0</v>
      </c>
      <c r="AA79" s="34" t="n">
        <f aca="false">IF(N(U79)&gt;=1,AA78+1,0)</f>
        <v>0</v>
      </c>
      <c r="AB79" s="34" t="n">
        <f aca="false">IF(N(V79)&gt;=1,AB78+1,0)</f>
        <v>0</v>
      </c>
      <c r="AC79" s="34" t="str">
        <f aca="false">IF(COUNT(E79,F79,I79,J79)=0,"",ROUND((MIN(IFERROR(E79/StepGoal,0),1)*100)*0.2+(MIN(IFERROR(F79/SleepGoal,0),1)*100)*0.2+(IF(L79="",0,IF(L79="Rest Day",100,MIN(IFERROR(M79/60,0),1)*100)))*0.25+(IFERROR(INDEX('Recovery Tracker'!$E$5:$E$369,MATCH(A79,'Recovery Tracker'!$A$5:$A$369,0))+0,70))*0.15+(MIN(IFERROR(I79/WaterGoal,0),1)*100)*0.1+(IF(J79="",0,MAX(0,100-MIN(ABS(J79-CalorieGoal)/CalorieGoal,1)*100)))*0.1,0))</f>
        <v/>
      </c>
    </row>
    <row r="80" customFormat="false" ht="15" hidden="false" customHeight="false" outlineLevel="0" collapsed="false">
      <c r="A80" s="35" t="n">
        <f aca="false">A79+1</f>
        <v>46098</v>
      </c>
      <c r="B80" s="36" t="str">
        <f aca="false">TEXT(A80,"ddd")</f>
        <v>Tue</v>
      </c>
      <c r="C80" s="36" t="n">
        <f aca="false">INT((A80-StartDate)/7)+1</f>
        <v>11</v>
      </c>
      <c r="D80" s="36" t="str">
        <f aca="false">TEXT(A80,"mmm")</f>
        <v>Mar</v>
      </c>
      <c r="E80" s="28"/>
      <c r="F80" s="29"/>
      <c r="G80" s="29"/>
      <c r="H80" s="30"/>
      <c r="I80" s="29"/>
      <c r="J80" s="28"/>
      <c r="K80" s="28"/>
      <c r="L80" s="31"/>
      <c r="M80" s="28"/>
      <c r="N80" s="31"/>
      <c r="O80" s="31"/>
      <c r="P80" s="31"/>
      <c r="Q80" s="31"/>
      <c r="R80" s="31"/>
      <c r="S80" s="32"/>
      <c r="T80" s="37" t="str">
        <f aca="false">IF(E80="","",E80/StepGoal)</f>
        <v/>
      </c>
      <c r="U80" s="37" t="str">
        <f aca="false">IF(F80="","",F80/SleepGoal)</f>
        <v/>
      </c>
      <c r="V80" s="37" t="str">
        <f aca="false">IF(I80="","",I80/WaterGoal)</f>
        <v/>
      </c>
      <c r="W80" s="37" t="str">
        <f aca="false">IF(COUNT(E80,F80,I80)=0,"",(IF(N(T80)&gt;=1,1,0)+IF(N(U80)&gt;=1,1,0)+IF(N(V80)&gt;=1,1,0))/3)</f>
        <v/>
      </c>
      <c r="X80" s="36" t="n">
        <f aca="false">IF(AND(L80&lt;&gt;"",L80&lt;&gt;"Rest Day"),1,0)</f>
        <v>0</v>
      </c>
      <c r="Y80" s="38" t="n">
        <f aca="false">IF(X80=1,Y79+1,0)</f>
        <v>0</v>
      </c>
      <c r="Z80" s="38" t="n">
        <f aca="false">IF(N(T80)&gt;=1,Z79+1,0)</f>
        <v>0</v>
      </c>
      <c r="AA80" s="38" t="n">
        <f aca="false">IF(N(U80)&gt;=1,AA79+1,0)</f>
        <v>0</v>
      </c>
      <c r="AB80" s="38" t="n">
        <f aca="false">IF(N(V80)&gt;=1,AB79+1,0)</f>
        <v>0</v>
      </c>
      <c r="AC80" s="38" t="str">
        <f aca="false">IF(COUNT(E80,F80,I80,J80)=0,"",ROUND((MIN(IFERROR(E80/StepGoal,0),1)*100)*0.2+(MIN(IFERROR(F80/SleepGoal,0),1)*100)*0.2+(IF(L80="",0,IF(L80="Rest Day",100,MIN(IFERROR(M80/60,0),1)*100)))*0.25+(IFERROR(INDEX('Recovery Tracker'!$E$5:$E$369,MATCH(A80,'Recovery Tracker'!$A$5:$A$369,0))+0,70))*0.15+(MIN(IFERROR(I80/WaterGoal,0),1)*100)*0.1+(IF(J80="",0,MAX(0,100-MIN(ABS(J80-CalorieGoal)/CalorieGoal,1)*100)))*0.1,0))</f>
        <v/>
      </c>
    </row>
    <row r="81" customFormat="false" ht="15" hidden="false" customHeight="false" outlineLevel="0" collapsed="false">
      <c r="A81" s="26" t="n">
        <f aca="false">A80+1</f>
        <v>46099</v>
      </c>
      <c r="B81" s="27" t="str">
        <f aca="false">TEXT(A81,"ddd")</f>
        <v>Wed</v>
      </c>
      <c r="C81" s="27" t="n">
        <f aca="false">INT((A81-StartDate)/7)+1</f>
        <v>11</v>
      </c>
      <c r="D81" s="27" t="str">
        <f aca="false">TEXT(A81,"mmm")</f>
        <v>Mar</v>
      </c>
      <c r="E81" s="28"/>
      <c r="F81" s="29"/>
      <c r="G81" s="29"/>
      <c r="H81" s="30"/>
      <c r="I81" s="29"/>
      <c r="J81" s="28"/>
      <c r="K81" s="28"/>
      <c r="L81" s="31"/>
      <c r="M81" s="28"/>
      <c r="N81" s="31"/>
      <c r="O81" s="31"/>
      <c r="P81" s="31"/>
      <c r="Q81" s="31"/>
      <c r="R81" s="31"/>
      <c r="S81" s="32"/>
      <c r="T81" s="33" t="str">
        <f aca="false">IF(E81="","",E81/StepGoal)</f>
        <v/>
      </c>
      <c r="U81" s="33" t="str">
        <f aca="false">IF(F81="","",F81/SleepGoal)</f>
        <v/>
      </c>
      <c r="V81" s="33" t="str">
        <f aca="false">IF(I81="","",I81/WaterGoal)</f>
        <v/>
      </c>
      <c r="W81" s="33" t="str">
        <f aca="false">IF(COUNT(E81,F81,I81)=0,"",(IF(N(T81)&gt;=1,1,0)+IF(N(U81)&gt;=1,1,0)+IF(N(V81)&gt;=1,1,0))/3)</f>
        <v/>
      </c>
      <c r="X81" s="27" t="n">
        <f aca="false">IF(AND(L81&lt;&gt;"",L81&lt;&gt;"Rest Day"),1,0)</f>
        <v>0</v>
      </c>
      <c r="Y81" s="34" t="n">
        <f aca="false">IF(X81=1,Y80+1,0)</f>
        <v>0</v>
      </c>
      <c r="Z81" s="34" t="n">
        <f aca="false">IF(N(T81)&gt;=1,Z80+1,0)</f>
        <v>0</v>
      </c>
      <c r="AA81" s="34" t="n">
        <f aca="false">IF(N(U81)&gt;=1,AA80+1,0)</f>
        <v>0</v>
      </c>
      <c r="AB81" s="34" t="n">
        <f aca="false">IF(N(V81)&gt;=1,AB80+1,0)</f>
        <v>0</v>
      </c>
      <c r="AC81" s="34" t="str">
        <f aca="false">IF(COUNT(E81,F81,I81,J81)=0,"",ROUND((MIN(IFERROR(E81/StepGoal,0),1)*100)*0.2+(MIN(IFERROR(F81/SleepGoal,0),1)*100)*0.2+(IF(L81="",0,IF(L81="Rest Day",100,MIN(IFERROR(M81/60,0),1)*100)))*0.25+(IFERROR(INDEX('Recovery Tracker'!$E$5:$E$369,MATCH(A81,'Recovery Tracker'!$A$5:$A$369,0))+0,70))*0.15+(MIN(IFERROR(I81/WaterGoal,0),1)*100)*0.1+(IF(J81="",0,MAX(0,100-MIN(ABS(J81-CalorieGoal)/CalorieGoal,1)*100)))*0.1,0))</f>
        <v/>
      </c>
    </row>
    <row r="82" customFormat="false" ht="15" hidden="false" customHeight="false" outlineLevel="0" collapsed="false">
      <c r="A82" s="35" t="n">
        <f aca="false">A81+1</f>
        <v>46100</v>
      </c>
      <c r="B82" s="36" t="str">
        <f aca="false">TEXT(A82,"ddd")</f>
        <v>Thu</v>
      </c>
      <c r="C82" s="36" t="n">
        <f aca="false">INT((A82-StartDate)/7)+1</f>
        <v>12</v>
      </c>
      <c r="D82" s="36" t="str">
        <f aca="false">TEXT(A82,"mmm")</f>
        <v>Mar</v>
      </c>
      <c r="E82" s="28"/>
      <c r="F82" s="29"/>
      <c r="G82" s="29"/>
      <c r="H82" s="30"/>
      <c r="I82" s="29"/>
      <c r="J82" s="28"/>
      <c r="K82" s="28"/>
      <c r="L82" s="31"/>
      <c r="M82" s="28"/>
      <c r="N82" s="31"/>
      <c r="O82" s="31"/>
      <c r="P82" s="31"/>
      <c r="Q82" s="31"/>
      <c r="R82" s="31"/>
      <c r="S82" s="32"/>
      <c r="T82" s="37" t="str">
        <f aca="false">IF(E82="","",E82/StepGoal)</f>
        <v/>
      </c>
      <c r="U82" s="37" t="str">
        <f aca="false">IF(F82="","",F82/SleepGoal)</f>
        <v/>
      </c>
      <c r="V82" s="37" t="str">
        <f aca="false">IF(I82="","",I82/WaterGoal)</f>
        <v/>
      </c>
      <c r="W82" s="37" t="str">
        <f aca="false">IF(COUNT(E82,F82,I82)=0,"",(IF(N(T82)&gt;=1,1,0)+IF(N(U82)&gt;=1,1,0)+IF(N(V82)&gt;=1,1,0))/3)</f>
        <v/>
      </c>
      <c r="X82" s="36" t="n">
        <f aca="false">IF(AND(L82&lt;&gt;"",L82&lt;&gt;"Rest Day"),1,0)</f>
        <v>0</v>
      </c>
      <c r="Y82" s="38" t="n">
        <f aca="false">IF(X82=1,Y81+1,0)</f>
        <v>0</v>
      </c>
      <c r="Z82" s="38" t="n">
        <f aca="false">IF(N(T82)&gt;=1,Z81+1,0)</f>
        <v>0</v>
      </c>
      <c r="AA82" s="38" t="n">
        <f aca="false">IF(N(U82)&gt;=1,AA81+1,0)</f>
        <v>0</v>
      </c>
      <c r="AB82" s="38" t="n">
        <f aca="false">IF(N(V82)&gt;=1,AB81+1,0)</f>
        <v>0</v>
      </c>
      <c r="AC82" s="38" t="str">
        <f aca="false">IF(COUNT(E82,F82,I82,J82)=0,"",ROUND((MIN(IFERROR(E82/StepGoal,0),1)*100)*0.2+(MIN(IFERROR(F82/SleepGoal,0),1)*100)*0.2+(IF(L82="",0,IF(L82="Rest Day",100,MIN(IFERROR(M82/60,0),1)*100)))*0.25+(IFERROR(INDEX('Recovery Tracker'!$E$5:$E$369,MATCH(A82,'Recovery Tracker'!$A$5:$A$369,0))+0,70))*0.15+(MIN(IFERROR(I82/WaterGoal,0),1)*100)*0.1+(IF(J82="",0,MAX(0,100-MIN(ABS(J82-CalorieGoal)/CalorieGoal,1)*100)))*0.1,0))</f>
        <v/>
      </c>
    </row>
    <row r="83" customFormat="false" ht="15" hidden="false" customHeight="false" outlineLevel="0" collapsed="false">
      <c r="A83" s="26" t="n">
        <f aca="false">A82+1</f>
        <v>46101</v>
      </c>
      <c r="B83" s="27" t="str">
        <f aca="false">TEXT(A83,"ddd")</f>
        <v>Fri</v>
      </c>
      <c r="C83" s="27" t="n">
        <f aca="false">INT((A83-StartDate)/7)+1</f>
        <v>12</v>
      </c>
      <c r="D83" s="27" t="str">
        <f aca="false">TEXT(A83,"mmm")</f>
        <v>Mar</v>
      </c>
      <c r="E83" s="28"/>
      <c r="F83" s="29"/>
      <c r="G83" s="29"/>
      <c r="H83" s="30"/>
      <c r="I83" s="29"/>
      <c r="J83" s="28"/>
      <c r="K83" s="28"/>
      <c r="L83" s="31"/>
      <c r="M83" s="28"/>
      <c r="N83" s="31"/>
      <c r="O83" s="31"/>
      <c r="P83" s="31"/>
      <c r="Q83" s="31"/>
      <c r="R83" s="31"/>
      <c r="S83" s="32"/>
      <c r="T83" s="33" t="str">
        <f aca="false">IF(E83="","",E83/StepGoal)</f>
        <v/>
      </c>
      <c r="U83" s="33" t="str">
        <f aca="false">IF(F83="","",F83/SleepGoal)</f>
        <v/>
      </c>
      <c r="V83" s="33" t="str">
        <f aca="false">IF(I83="","",I83/WaterGoal)</f>
        <v/>
      </c>
      <c r="W83" s="33" t="str">
        <f aca="false">IF(COUNT(E83,F83,I83)=0,"",(IF(N(T83)&gt;=1,1,0)+IF(N(U83)&gt;=1,1,0)+IF(N(V83)&gt;=1,1,0))/3)</f>
        <v/>
      </c>
      <c r="X83" s="27" t="n">
        <f aca="false">IF(AND(L83&lt;&gt;"",L83&lt;&gt;"Rest Day"),1,0)</f>
        <v>0</v>
      </c>
      <c r="Y83" s="34" t="n">
        <f aca="false">IF(X83=1,Y82+1,0)</f>
        <v>0</v>
      </c>
      <c r="Z83" s="34" t="n">
        <f aca="false">IF(N(T83)&gt;=1,Z82+1,0)</f>
        <v>0</v>
      </c>
      <c r="AA83" s="34" t="n">
        <f aca="false">IF(N(U83)&gt;=1,AA82+1,0)</f>
        <v>0</v>
      </c>
      <c r="AB83" s="34" t="n">
        <f aca="false">IF(N(V83)&gt;=1,AB82+1,0)</f>
        <v>0</v>
      </c>
      <c r="AC83" s="34" t="str">
        <f aca="false">IF(COUNT(E83,F83,I83,J83)=0,"",ROUND((MIN(IFERROR(E83/StepGoal,0),1)*100)*0.2+(MIN(IFERROR(F83/SleepGoal,0),1)*100)*0.2+(IF(L83="",0,IF(L83="Rest Day",100,MIN(IFERROR(M83/60,0),1)*100)))*0.25+(IFERROR(INDEX('Recovery Tracker'!$E$5:$E$369,MATCH(A83,'Recovery Tracker'!$A$5:$A$369,0))+0,70))*0.15+(MIN(IFERROR(I83/WaterGoal,0),1)*100)*0.1+(IF(J83="",0,MAX(0,100-MIN(ABS(J83-CalorieGoal)/CalorieGoal,1)*100)))*0.1,0))</f>
        <v/>
      </c>
    </row>
    <row r="84" customFormat="false" ht="15" hidden="false" customHeight="false" outlineLevel="0" collapsed="false">
      <c r="A84" s="35" t="n">
        <f aca="false">A83+1</f>
        <v>46102</v>
      </c>
      <c r="B84" s="36" t="str">
        <f aca="false">TEXT(A84,"ddd")</f>
        <v>Sat</v>
      </c>
      <c r="C84" s="36" t="n">
        <f aca="false">INT((A84-StartDate)/7)+1</f>
        <v>12</v>
      </c>
      <c r="D84" s="36" t="str">
        <f aca="false">TEXT(A84,"mmm")</f>
        <v>Mar</v>
      </c>
      <c r="E84" s="28"/>
      <c r="F84" s="29"/>
      <c r="G84" s="29"/>
      <c r="H84" s="30"/>
      <c r="I84" s="29"/>
      <c r="J84" s="28"/>
      <c r="K84" s="28"/>
      <c r="L84" s="31"/>
      <c r="M84" s="28"/>
      <c r="N84" s="31"/>
      <c r="O84" s="31"/>
      <c r="P84" s="31"/>
      <c r="Q84" s="31"/>
      <c r="R84" s="31"/>
      <c r="S84" s="32"/>
      <c r="T84" s="37" t="str">
        <f aca="false">IF(E84="","",E84/StepGoal)</f>
        <v/>
      </c>
      <c r="U84" s="37" t="str">
        <f aca="false">IF(F84="","",F84/SleepGoal)</f>
        <v/>
      </c>
      <c r="V84" s="37" t="str">
        <f aca="false">IF(I84="","",I84/WaterGoal)</f>
        <v/>
      </c>
      <c r="W84" s="37" t="str">
        <f aca="false">IF(COUNT(E84,F84,I84)=0,"",(IF(N(T84)&gt;=1,1,0)+IF(N(U84)&gt;=1,1,0)+IF(N(V84)&gt;=1,1,0))/3)</f>
        <v/>
      </c>
      <c r="X84" s="36" t="n">
        <f aca="false">IF(AND(L84&lt;&gt;"",L84&lt;&gt;"Rest Day"),1,0)</f>
        <v>0</v>
      </c>
      <c r="Y84" s="38" t="n">
        <f aca="false">IF(X84=1,Y83+1,0)</f>
        <v>0</v>
      </c>
      <c r="Z84" s="38" t="n">
        <f aca="false">IF(N(T84)&gt;=1,Z83+1,0)</f>
        <v>0</v>
      </c>
      <c r="AA84" s="38" t="n">
        <f aca="false">IF(N(U84)&gt;=1,AA83+1,0)</f>
        <v>0</v>
      </c>
      <c r="AB84" s="38" t="n">
        <f aca="false">IF(N(V84)&gt;=1,AB83+1,0)</f>
        <v>0</v>
      </c>
      <c r="AC84" s="38" t="str">
        <f aca="false">IF(COUNT(E84,F84,I84,J84)=0,"",ROUND((MIN(IFERROR(E84/StepGoal,0),1)*100)*0.2+(MIN(IFERROR(F84/SleepGoal,0),1)*100)*0.2+(IF(L84="",0,IF(L84="Rest Day",100,MIN(IFERROR(M84/60,0),1)*100)))*0.25+(IFERROR(INDEX('Recovery Tracker'!$E$5:$E$369,MATCH(A84,'Recovery Tracker'!$A$5:$A$369,0))+0,70))*0.15+(MIN(IFERROR(I84/WaterGoal,0),1)*100)*0.1+(IF(J84="",0,MAX(0,100-MIN(ABS(J84-CalorieGoal)/CalorieGoal,1)*100)))*0.1,0))</f>
        <v/>
      </c>
    </row>
    <row r="85" customFormat="false" ht="15" hidden="false" customHeight="false" outlineLevel="0" collapsed="false">
      <c r="A85" s="26" t="n">
        <f aca="false">A84+1</f>
        <v>46103</v>
      </c>
      <c r="B85" s="27" t="str">
        <f aca="false">TEXT(A85,"ddd")</f>
        <v>Sun</v>
      </c>
      <c r="C85" s="27" t="n">
        <f aca="false">INT((A85-StartDate)/7)+1</f>
        <v>12</v>
      </c>
      <c r="D85" s="27" t="str">
        <f aca="false">TEXT(A85,"mmm")</f>
        <v>Mar</v>
      </c>
      <c r="E85" s="28"/>
      <c r="F85" s="29"/>
      <c r="G85" s="29"/>
      <c r="H85" s="30"/>
      <c r="I85" s="29"/>
      <c r="J85" s="28"/>
      <c r="K85" s="28"/>
      <c r="L85" s="31"/>
      <c r="M85" s="28"/>
      <c r="N85" s="31"/>
      <c r="O85" s="31"/>
      <c r="P85" s="31"/>
      <c r="Q85" s="31"/>
      <c r="R85" s="31"/>
      <c r="S85" s="32"/>
      <c r="T85" s="33" t="str">
        <f aca="false">IF(E85="","",E85/StepGoal)</f>
        <v/>
      </c>
      <c r="U85" s="33" t="str">
        <f aca="false">IF(F85="","",F85/SleepGoal)</f>
        <v/>
      </c>
      <c r="V85" s="33" t="str">
        <f aca="false">IF(I85="","",I85/WaterGoal)</f>
        <v/>
      </c>
      <c r="W85" s="33" t="str">
        <f aca="false">IF(COUNT(E85,F85,I85)=0,"",(IF(N(T85)&gt;=1,1,0)+IF(N(U85)&gt;=1,1,0)+IF(N(V85)&gt;=1,1,0))/3)</f>
        <v/>
      </c>
      <c r="X85" s="27" t="n">
        <f aca="false">IF(AND(L85&lt;&gt;"",L85&lt;&gt;"Rest Day"),1,0)</f>
        <v>0</v>
      </c>
      <c r="Y85" s="34" t="n">
        <f aca="false">IF(X85=1,Y84+1,0)</f>
        <v>0</v>
      </c>
      <c r="Z85" s="34" t="n">
        <f aca="false">IF(N(T85)&gt;=1,Z84+1,0)</f>
        <v>0</v>
      </c>
      <c r="AA85" s="34" t="n">
        <f aca="false">IF(N(U85)&gt;=1,AA84+1,0)</f>
        <v>0</v>
      </c>
      <c r="AB85" s="34" t="n">
        <f aca="false">IF(N(V85)&gt;=1,AB84+1,0)</f>
        <v>0</v>
      </c>
      <c r="AC85" s="34" t="str">
        <f aca="false">IF(COUNT(E85,F85,I85,J85)=0,"",ROUND((MIN(IFERROR(E85/StepGoal,0),1)*100)*0.2+(MIN(IFERROR(F85/SleepGoal,0),1)*100)*0.2+(IF(L85="",0,IF(L85="Rest Day",100,MIN(IFERROR(M85/60,0),1)*100)))*0.25+(IFERROR(INDEX('Recovery Tracker'!$E$5:$E$369,MATCH(A85,'Recovery Tracker'!$A$5:$A$369,0))+0,70))*0.15+(MIN(IFERROR(I85/WaterGoal,0),1)*100)*0.1+(IF(J85="",0,MAX(0,100-MIN(ABS(J85-CalorieGoal)/CalorieGoal,1)*100)))*0.1,0))</f>
        <v/>
      </c>
    </row>
    <row r="86" customFormat="false" ht="15" hidden="false" customHeight="false" outlineLevel="0" collapsed="false">
      <c r="A86" s="35" t="n">
        <f aca="false">A85+1</f>
        <v>46104</v>
      </c>
      <c r="B86" s="36" t="str">
        <f aca="false">TEXT(A86,"ddd")</f>
        <v>Mon</v>
      </c>
      <c r="C86" s="36" t="n">
        <f aca="false">INT((A86-StartDate)/7)+1</f>
        <v>12</v>
      </c>
      <c r="D86" s="36" t="str">
        <f aca="false">TEXT(A86,"mmm")</f>
        <v>Mar</v>
      </c>
      <c r="E86" s="28"/>
      <c r="F86" s="29"/>
      <c r="G86" s="29"/>
      <c r="H86" s="30"/>
      <c r="I86" s="29"/>
      <c r="J86" s="28"/>
      <c r="K86" s="28"/>
      <c r="L86" s="31"/>
      <c r="M86" s="28"/>
      <c r="N86" s="31"/>
      <c r="O86" s="31"/>
      <c r="P86" s="31"/>
      <c r="Q86" s="31"/>
      <c r="R86" s="31"/>
      <c r="S86" s="32"/>
      <c r="T86" s="37" t="str">
        <f aca="false">IF(E86="","",E86/StepGoal)</f>
        <v/>
      </c>
      <c r="U86" s="37" t="str">
        <f aca="false">IF(F86="","",F86/SleepGoal)</f>
        <v/>
      </c>
      <c r="V86" s="37" t="str">
        <f aca="false">IF(I86="","",I86/WaterGoal)</f>
        <v/>
      </c>
      <c r="W86" s="37" t="str">
        <f aca="false">IF(COUNT(E86,F86,I86)=0,"",(IF(N(T86)&gt;=1,1,0)+IF(N(U86)&gt;=1,1,0)+IF(N(V86)&gt;=1,1,0))/3)</f>
        <v/>
      </c>
      <c r="X86" s="36" t="n">
        <f aca="false">IF(AND(L86&lt;&gt;"",L86&lt;&gt;"Rest Day"),1,0)</f>
        <v>0</v>
      </c>
      <c r="Y86" s="38" t="n">
        <f aca="false">IF(X86=1,Y85+1,0)</f>
        <v>0</v>
      </c>
      <c r="Z86" s="38" t="n">
        <f aca="false">IF(N(T86)&gt;=1,Z85+1,0)</f>
        <v>0</v>
      </c>
      <c r="AA86" s="38" t="n">
        <f aca="false">IF(N(U86)&gt;=1,AA85+1,0)</f>
        <v>0</v>
      </c>
      <c r="AB86" s="38" t="n">
        <f aca="false">IF(N(V86)&gt;=1,AB85+1,0)</f>
        <v>0</v>
      </c>
      <c r="AC86" s="38" t="str">
        <f aca="false">IF(COUNT(E86,F86,I86,J86)=0,"",ROUND((MIN(IFERROR(E86/StepGoal,0),1)*100)*0.2+(MIN(IFERROR(F86/SleepGoal,0),1)*100)*0.2+(IF(L86="",0,IF(L86="Rest Day",100,MIN(IFERROR(M86/60,0),1)*100)))*0.25+(IFERROR(INDEX('Recovery Tracker'!$E$5:$E$369,MATCH(A86,'Recovery Tracker'!$A$5:$A$369,0))+0,70))*0.15+(MIN(IFERROR(I86/WaterGoal,0),1)*100)*0.1+(IF(J86="",0,MAX(0,100-MIN(ABS(J86-CalorieGoal)/CalorieGoal,1)*100)))*0.1,0))</f>
        <v/>
      </c>
    </row>
    <row r="87" customFormat="false" ht="15" hidden="false" customHeight="false" outlineLevel="0" collapsed="false">
      <c r="A87" s="26" t="n">
        <f aca="false">A86+1</f>
        <v>46105</v>
      </c>
      <c r="B87" s="27" t="str">
        <f aca="false">TEXT(A87,"ddd")</f>
        <v>Tue</v>
      </c>
      <c r="C87" s="27" t="n">
        <f aca="false">INT((A87-StartDate)/7)+1</f>
        <v>12</v>
      </c>
      <c r="D87" s="27" t="str">
        <f aca="false">TEXT(A87,"mmm")</f>
        <v>Mar</v>
      </c>
      <c r="E87" s="28"/>
      <c r="F87" s="29"/>
      <c r="G87" s="29"/>
      <c r="H87" s="30"/>
      <c r="I87" s="29"/>
      <c r="J87" s="28"/>
      <c r="K87" s="28"/>
      <c r="L87" s="31"/>
      <c r="M87" s="28"/>
      <c r="N87" s="31"/>
      <c r="O87" s="31"/>
      <c r="P87" s="31"/>
      <c r="Q87" s="31"/>
      <c r="R87" s="31"/>
      <c r="S87" s="32"/>
      <c r="T87" s="33" t="str">
        <f aca="false">IF(E87="","",E87/StepGoal)</f>
        <v/>
      </c>
      <c r="U87" s="33" t="str">
        <f aca="false">IF(F87="","",F87/SleepGoal)</f>
        <v/>
      </c>
      <c r="V87" s="33" t="str">
        <f aca="false">IF(I87="","",I87/WaterGoal)</f>
        <v/>
      </c>
      <c r="W87" s="33" t="str">
        <f aca="false">IF(COUNT(E87,F87,I87)=0,"",(IF(N(T87)&gt;=1,1,0)+IF(N(U87)&gt;=1,1,0)+IF(N(V87)&gt;=1,1,0))/3)</f>
        <v/>
      </c>
      <c r="X87" s="27" t="n">
        <f aca="false">IF(AND(L87&lt;&gt;"",L87&lt;&gt;"Rest Day"),1,0)</f>
        <v>0</v>
      </c>
      <c r="Y87" s="34" t="n">
        <f aca="false">IF(X87=1,Y86+1,0)</f>
        <v>0</v>
      </c>
      <c r="Z87" s="34" t="n">
        <f aca="false">IF(N(T87)&gt;=1,Z86+1,0)</f>
        <v>0</v>
      </c>
      <c r="AA87" s="34" t="n">
        <f aca="false">IF(N(U87)&gt;=1,AA86+1,0)</f>
        <v>0</v>
      </c>
      <c r="AB87" s="34" t="n">
        <f aca="false">IF(N(V87)&gt;=1,AB86+1,0)</f>
        <v>0</v>
      </c>
      <c r="AC87" s="34" t="str">
        <f aca="false">IF(COUNT(E87,F87,I87,J87)=0,"",ROUND((MIN(IFERROR(E87/StepGoal,0),1)*100)*0.2+(MIN(IFERROR(F87/SleepGoal,0),1)*100)*0.2+(IF(L87="",0,IF(L87="Rest Day",100,MIN(IFERROR(M87/60,0),1)*100)))*0.25+(IFERROR(INDEX('Recovery Tracker'!$E$5:$E$369,MATCH(A87,'Recovery Tracker'!$A$5:$A$369,0))+0,70))*0.15+(MIN(IFERROR(I87/WaterGoal,0),1)*100)*0.1+(IF(J87="",0,MAX(0,100-MIN(ABS(J87-CalorieGoal)/CalorieGoal,1)*100)))*0.1,0))</f>
        <v/>
      </c>
    </row>
    <row r="88" customFormat="false" ht="15" hidden="false" customHeight="false" outlineLevel="0" collapsed="false">
      <c r="A88" s="35" t="n">
        <f aca="false">A87+1</f>
        <v>46106</v>
      </c>
      <c r="B88" s="36" t="str">
        <f aca="false">TEXT(A88,"ddd")</f>
        <v>Wed</v>
      </c>
      <c r="C88" s="36" t="n">
        <f aca="false">INT((A88-StartDate)/7)+1</f>
        <v>12</v>
      </c>
      <c r="D88" s="36" t="str">
        <f aca="false">TEXT(A88,"mmm")</f>
        <v>Mar</v>
      </c>
      <c r="E88" s="28"/>
      <c r="F88" s="29"/>
      <c r="G88" s="29"/>
      <c r="H88" s="30"/>
      <c r="I88" s="29"/>
      <c r="J88" s="28"/>
      <c r="K88" s="28"/>
      <c r="L88" s="31"/>
      <c r="M88" s="28"/>
      <c r="N88" s="31"/>
      <c r="O88" s="31"/>
      <c r="P88" s="31"/>
      <c r="Q88" s="31"/>
      <c r="R88" s="31"/>
      <c r="S88" s="32"/>
      <c r="T88" s="37" t="str">
        <f aca="false">IF(E88="","",E88/StepGoal)</f>
        <v/>
      </c>
      <c r="U88" s="37" t="str">
        <f aca="false">IF(F88="","",F88/SleepGoal)</f>
        <v/>
      </c>
      <c r="V88" s="37" t="str">
        <f aca="false">IF(I88="","",I88/WaterGoal)</f>
        <v/>
      </c>
      <c r="W88" s="37" t="str">
        <f aca="false">IF(COUNT(E88,F88,I88)=0,"",(IF(N(T88)&gt;=1,1,0)+IF(N(U88)&gt;=1,1,0)+IF(N(V88)&gt;=1,1,0))/3)</f>
        <v/>
      </c>
      <c r="X88" s="36" t="n">
        <f aca="false">IF(AND(L88&lt;&gt;"",L88&lt;&gt;"Rest Day"),1,0)</f>
        <v>0</v>
      </c>
      <c r="Y88" s="38" t="n">
        <f aca="false">IF(X88=1,Y87+1,0)</f>
        <v>0</v>
      </c>
      <c r="Z88" s="38" t="n">
        <f aca="false">IF(N(T88)&gt;=1,Z87+1,0)</f>
        <v>0</v>
      </c>
      <c r="AA88" s="38" t="n">
        <f aca="false">IF(N(U88)&gt;=1,AA87+1,0)</f>
        <v>0</v>
      </c>
      <c r="AB88" s="38" t="n">
        <f aca="false">IF(N(V88)&gt;=1,AB87+1,0)</f>
        <v>0</v>
      </c>
      <c r="AC88" s="38" t="str">
        <f aca="false">IF(COUNT(E88,F88,I88,J88)=0,"",ROUND((MIN(IFERROR(E88/StepGoal,0),1)*100)*0.2+(MIN(IFERROR(F88/SleepGoal,0),1)*100)*0.2+(IF(L88="",0,IF(L88="Rest Day",100,MIN(IFERROR(M88/60,0),1)*100)))*0.25+(IFERROR(INDEX('Recovery Tracker'!$E$5:$E$369,MATCH(A88,'Recovery Tracker'!$A$5:$A$369,0))+0,70))*0.15+(MIN(IFERROR(I88/WaterGoal,0),1)*100)*0.1+(IF(J88="",0,MAX(0,100-MIN(ABS(J88-CalorieGoal)/CalorieGoal,1)*100)))*0.1,0))</f>
        <v/>
      </c>
    </row>
    <row r="89" customFormat="false" ht="15" hidden="false" customHeight="false" outlineLevel="0" collapsed="false">
      <c r="A89" s="26" t="n">
        <f aca="false">A88+1</f>
        <v>46107</v>
      </c>
      <c r="B89" s="27" t="str">
        <f aca="false">TEXT(A89,"ddd")</f>
        <v>Thu</v>
      </c>
      <c r="C89" s="27" t="n">
        <f aca="false">INT((A89-StartDate)/7)+1</f>
        <v>13</v>
      </c>
      <c r="D89" s="27" t="str">
        <f aca="false">TEXT(A89,"mmm")</f>
        <v>Mar</v>
      </c>
      <c r="E89" s="28"/>
      <c r="F89" s="29"/>
      <c r="G89" s="29"/>
      <c r="H89" s="30"/>
      <c r="I89" s="29"/>
      <c r="J89" s="28"/>
      <c r="K89" s="28"/>
      <c r="L89" s="31"/>
      <c r="M89" s="28"/>
      <c r="N89" s="31"/>
      <c r="O89" s="31"/>
      <c r="P89" s="31"/>
      <c r="Q89" s="31"/>
      <c r="R89" s="31"/>
      <c r="S89" s="32"/>
      <c r="T89" s="33" t="str">
        <f aca="false">IF(E89="","",E89/StepGoal)</f>
        <v/>
      </c>
      <c r="U89" s="33" t="str">
        <f aca="false">IF(F89="","",F89/SleepGoal)</f>
        <v/>
      </c>
      <c r="V89" s="33" t="str">
        <f aca="false">IF(I89="","",I89/WaterGoal)</f>
        <v/>
      </c>
      <c r="W89" s="33" t="str">
        <f aca="false">IF(COUNT(E89,F89,I89)=0,"",(IF(N(T89)&gt;=1,1,0)+IF(N(U89)&gt;=1,1,0)+IF(N(V89)&gt;=1,1,0))/3)</f>
        <v/>
      </c>
      <c r="X89" s="27" t="n">
        <f aca="false">IF(AND(L89&lt;&gt;"",L89&lt;&gt;"Rest Day"),1,0)</f>
        <v>0</v>
      </c>
      <c r="Y89" s="34" t="n">
        <f aca="false">IF(X89=1,Y88+1,0)</f>
        <v>0</v>
      </c>
      <c r="Z89" s="34" t="n">
        <f aca="false">IF(N(T89)&gt;=1,Z88+1,0)</f>
        <v>0</v>
      </c>
      <c r="AA89" s="34" t="n">
        <f aca="false">IF(N(U89)&gt;=1,AA88+1,0)</f>
        <v>0</v>
      </c>
      <c r="AB89" s="34" t="n">
        <f aca="false">IF(N(V89)&gt;=1,AB88+1,0)</f>
        <v>0</v>
      </c>
      <c r="AC89" s="34" t="str">
        <f aca="false">IF(COUNT(E89,F89,I89,J89)=0,"",ROUND((MIN(IFERROR(E89/StepGoal,0),1)*100)*0.2+(MIN(IFERROR(F89/SleepGoal,0),1)*100)*0.2+(IF(L89="",0,IF(L89="Rest Day",100,MIN(IFERROR(M89/60,0),1)*100)))*0.25+(IFERROR(INDEX('Recovery Tracker'!$E$5:$E$369,MATCH(A89,'Recovery Tracker'!$A$5:$A$369,0))+0,70))*0.15+(MIN(IFERROR(I89/WaterGoal,0),1)*100)*0.1+(IF(J89="",0,MAX(0,100-MIN(ABS(J89-CalorieGoal)/CalorieGoal,1)*100)))*0.1,0))</f>
        <v/>
      </c>
    </row>
    <row r="90" customFormat="false" ht="15" hidden="false" customHeight="false" outlineLevel="0" collapsed="false">
      <c r="A90" s="35" t="n">
        <f aca="false">A89+1</f>
        <v>46108</v>
      </c>
      <c r="B90" s="36" t="str">
        <f aca="false">TEXT(A90,"ddd")</f>
        <v>Fri</v>
      </c>
      <c r="C90" s="36" t="n">
        <f aca="false">INT((A90-StartDate)/7)+1</f>
        <v>13</v>
      </c>
      <c r="D90" s="36" t="str">
        <f aca="false">TEXT(A90,"mmm")</f>
        <v>Mar</v>
      </c>
      <c r="E90" s="28"/>
      <c r="F90" s="29"/>
      <c r="G90" s="29"/>
      <c r="H90" s="30"/>
      <c r="I90" s="29"/>
      <c r="J90" s="28"/>
      <c r="K90" s="28"/>
      <c r="L90" s="31"/>
      <c r="M90" s="28"/>
      <c r="N90" s="31"/>
      <c r="O90" s="31"/>
      <c r="P90" s="31"/>
      <c r="Q90" s="31"/>
      <c r="R90" s="31"/>
      <c r="S90" s="32"/>
      <c r="T90" s="37" t="str">
        <f aca="false">IF(E90="","",E90/StepGoal)</f>
        <v/>
      </c>
      <c r="U90" s="37" t="str">
        <f aca="false">IF(F90="","",F90/SleepGoal)</f>
        <v/>
      </c>
      <c r="V90" s="37" t="str">
        <f aca="false">IF(I90="","",I90/WaterGoal)</f>
        <v/>
      </c>
      <c r="W90" s="37" t="str">
        <f aca="false">IF(COUNT(E90,F90,I90)=0,"",(IF(N(T90)&gt;=1,1,0)+IF(N(U90)&gt;=1,1,0)+IF(N(V90)&gt;=1,1,0))/3)</f>
        <v/>
      </c>
      <c r="X90" s="36" t="n">
        <f aca="false">IF(AND(L90&lt;&gt;"",L90&lt;&gt;"Rest Day"),1,0)</f>
        <v>0</v>
      </c>
      <c r="Y90" s="38" t="n">
        <f aca="false">IF(X90=1,Y89+1,0)</f>
        <v>0</v>
      </c>
      <c r="Z90" s="38" t="n">
        <f aca="false">IF(N(T90)&gt;=1,Z89+1,0)</f>
        <v>0</v>
      </c>
      <c r="AA90" s="38" t="n">
        <f aca="false">IF(N(U90)&gt;=1,AA89+1,0)</f>
        <v>0</v>
      </c>
      <c r="AB90" s="38" t="n">
        <f aca="false">IF(N(V90)&gt;=1,AB89+1,0)</f>
        <v>0</v>
      </c>
      <c r="AC90" s="38" t="str">
        <f aca="false">IF(COUNT(E90,F90,I90,J90)=0,"",ROUND((MIN(IFERROR(E90/StepGoal,0),1)*100)*0.2+(MIN(IFERROR(F90/SleepGoal,0),1)*100)*0.2+(IF(L90="",0,IF(L90="Rest Day",100,MIN(IFERROR(M90/60,0),1)*100)))*0.25+(IFERROR(INDEX('Recovery Tracker'!$E$5:$E$369,MATCH(A90,'Recovery Tracker'!$A$5:$A$369,0))+0,70))*0.15+(MIN(IFERROR(I90/WaterGoal,0),1)*100)*0.1+(IF(J90="",0,MAX(0,100-MIN(ABS(J90-CalorieGoal)/CalorieGoal,1)*100)))*0.1,0))</f>
        <v/>
      </c>
    </row>
    <row r="91" customFormat="false" ht="15" hidden="false" customHeight="false" outlineLevel="0" collapsed="false">
      <c r="A91" s="26" t="n">
        <f aca="false">A90+1</f>
        <v>46109</v>
      </c>
      <c r="B91" s="27" t="str">
        <f aca="false">TEXT(A91,"ddd")</f>
        <v>Sat</v>
      </c>
      <c r="C91" s="27" t="n">
        <f aca="false">INT((A91-StartDate)/7)+1</f>
        <v>13</v>
      </c>
      <c r="D91" s="27" t="str">
        <f aca="false">TEXT(A91,"mmm")</f>
        <v>Mar</v>
      </c>
      <c r="E91" s="28"/>
      <c r="F91" s="29"/>
      <c r="G91" s="29"/>
      <c r="H91" s="30"/>
      <c r="I91" s="29"/>
      <c r="J91" s="28"/>
      <c r="K91" s="28"/>
      <c r="L91" s="31"/>
      <c r="M91" s="28"/>
      <c r="N91" s="31"/>
      <c r="O91" s="31"/>
      <c r="P91" s="31"/>
      <c r="Q91" s="31"/>
      <c r="R91" s="31"/>
      <c r="S91" s="32"/>
      <c r="T91" s="33" t="str">
        <f aca="false">IF(E91="","",E91/StepGoal)</f>
        <v/>
      </c>
      <c r="U91" s="33" t="str">
        <f aca="false">IF(F91="","",F91/SleepGoal)</f>
        <v/>
      </c>
      <c r="V91" s="33" t="str">
        <f aca="false">IF(I91="","",I91/WaterGoal)</f>
        <v/>
      </c>
      <c r="W91" s="33" t="str">
        <f aca="false">IF(COUNT(E91,F91,I91)=0,"",(IF(N(T91)&gt;=1,1,0)+IF(N(U91)&gt;=1,1,0)+IF(N(V91)&gt;=1,1,0))/3)</f>
        <v/>
      </c>
      <c r="X91" s="27" t="n">
        <f aca="false">IF(AND(L91&lt;&gt;"",L91&lt;&gt;"Rest Day"),1,0)</f>
        <v>0</v>
      </c>
      <c r="Y91" s="34" t="n">
        <f aca="false">IF(X91=1,Y90+1,0)</f>
        <v>0</v>
      </c>
      <c r="Z91" s="34" t="n">
        <f aca="false">IF(N(T91)&gt;=1,Z90+1,0)</f>
        <v>0</v>
      </c>
      <c r="AA91" s="34" t="n">
        <f aca="false">IF(N(U91)&gt;=1,AA90+1,0)</f>
        <v>0</v>
      </c>
      <c r="AB91" s="34" t="n">
        <f aca="false">IF(N(V91)&gt;=1,AB90+1,0)</f>
        <v>0</v>
      </c>
      <c r="AC91" s="34" t="str">
        <f aca="false">IF(COUNT(E91,F91,I91,J91)=0,"",ROUND((MIN(IFERROR(E91/StepGoal,0),1)*100)*0.2+(MIN(IFERROR(F91/SleepGoal,0),1)*100)*0.2+(IF(L91="",0,IF(L91="Rest Day",100,MIN(IFERROR(M91/60,0),1)*100)))*0.25+(IFERROR(INDEX('Recovery Tracker'!$E$5:$E$369,MATCH(A91,'Recovery Tracker'!$A$5:$A$369,0))+0,70))*0.15+(MIN(IFERROR(I91/WaterGoal,0),1)*100)*0.1+(IF(J91="",0,MAX(0,100-MIN(ABS(J91-CalorieGoal)/CalorieGoal,1)*100)))*0.1,0))</f>
        <v/>
      </c>
    </row>
    <row r="92" customFormat="false" ht="15" hidden="false" customHeight="false" outlineLevel="0" collapsed="false">
      <c r="A92" s="35" t="n">
        <f aca="false">A91+1</f>
        <v>46110</v>
      </c>
      <c r="B92" s="36" t="str">
        <f aca="false">TEXT(A92,"ddd")</f>
        <v>Sun</v>
      </c>
      <c r="C92" s="36" t="n">
        <f aca="false">INT((A92-StartDate)/7)+1</f>
        <v>13</v>
      </c>
      <c r="D92" s="36" t="str">
        <f aca="false">TEXT(A92,"mmm")</f>
        <v>Mar</v>
      </c>
      <c r="E92" s="28"/>
      <c r="F92" s="29"/>
      <c r="G92" s="29"/>
      <c r="H92" s="30"/>
      <c r="I92" s="29"/>
      <c r="J92" s="28"/>
      <c r="K92" s="28"/>
      <c r="L92" s="31"/>
      <c r="M92" s="28"/>
      <c r="N92" s="31"/>
      <c r="O92" s="31"/>
      <c r="P92" s="31"/>
      <c r="Q92" s="31"/>
      <c r="R92" s="31"/>
      <c r="S92" s="32"/>
      <c r="T92" s="37" t="str">
        <f aca="false">IF(E92="","",E92/StepGoal)</f>
        <v/>
      </c>
      <c r="U92" s="37" t="str">
        <f aca="false">IF(F92="","",F92/SleepGoal)</f>
        <v/>
      </c>
      <c r="V92" s="37" t="str">
        <f aca="false">IF(I92="","",I92/WaterGoal)</f>
        <v/>
      </c>
      <c r="W92" s="37" t="str">
        <f aca="false">IF(COUNT(E92,F92,I92)=0,"",(IF(N(T92)&gt;=1,1,0)+IF(N(U92)&gt;=1,1,0)+IF(N(V92)&gt;=1,1,0))/3)</f>
        <v/>
      </c>
      <c r="X92" s="36" t="n">
        <f aca="false">IF(AND(L92&lt;&gt;"",L92&lt;&gt;"Rest Day"),1,0)</f>
        <v>0</v>
      </c>
      <c r="Y92" s="38" t="n">
        <f aca="false">IF(X92=1,Y91+1,0)</f>
        <v>0</v>
      </c>
      <c r="Z92" s="38" t="n">
        <f aca="false">IF(N(T92)&gt;=1,Z91+1,0)</f>
        <v>0</v>
      </c>
      <c r="AA92" s="38" t="n">
        <f aca="false">IF(N(U92)&gt;=1,AA91+1,0)</f>
        <v>0</v>
      </c>
      <c r="AB92" s="38" t="n">
        <f aca="false">IF(N(V92)&gt;=1,AB91+1,0)</f>
        <v>0</v>
      </c>
      <c r="AC92" s="38" t="str">
        <f aca="false">IF(COUNT(E92,F92,I92,J92)=0,"",ROUND((MIN(IFERROR(E92/StepGoal,0),1)*100)*0.2+(MIN(IFERROR(F92/SleepGoal,0),1)*100)*0.2+(IF(L92="",0,IF(L92="Rest Day",100,MIN(IFERROR(M92/60,0),1)*100)))*0.25+(IFERROR(INDEX('Recovery Tracker'!$E$5:$E$369,MATCH(A92,'Recovery Tracker'!$A$5:$A$369,0))+0,70))*0.15+(MIN(IFERROR(I92/WaterGoal,0),1)*100)*0.1+(IF(J92="",0,MAX(0,100-MIN(ABS(J92-CalorieGoal)/CalorieGoal,1)*100)))*0.1,0))</f>
        <v/>
      </c>
    </row>
    <row r="93" customFormat="false" ht="15" hidden="false" customHeight="false" outlineLevel="0" collapsed="false">
      <c r="A93" s="26" t="n">
        <f aca="false">A92+1</f>
        <v>46111</v>
      </c>
      <c r="B93" s="27" t="str">
        <f aca="false">TEXT(A93,"ddd")</f>
        <v>Mon</v>
      </c>
      <c r="C93" s="27" t="n">
        <f aca="false">INT((A93-StartDate)/7)+1</f>
        <v>13</v>
      </c>
      <c r="D93" s="27" t="str">
        <f aca="false">TEXT(A93,"mmm")</f>
        <v>Mar</v>
      </c>
      <c r="E93" s="28"/>
      <c r="F93" s="29"/>
      <c r="G93" s="29"/>
      <c r="H93" s="30"/>
      <c r="I93" s="29"/>
      <c r="J93" s="28"/>
      <c r="K93" s="28"/>
      <c r="L93" s="31"/>
      <c r="M93" s="28"/>
      <c r="N93" s="31"/>
      <c r="O93" s="31"/>
      <c r="P93" s="31"/>
      <c r="Q93" s="31"/>
      <c r="R93" s="31"/>
      <c r="S93" s="32"/>
      <c r="T93" s="33" t="str">
        <f aca="false">IF(E93="","",E93/StepGoal)</f>
        <v/>
      </c>
      <c r="U93" s="33" t="str">
        <f aca="false">IF(F93="","",F93/SleepGoal)</f>
        <v/>
      </c>
      <c r="V93" s="33" t="str">
        <f aca="false">IF(I93="","",I93/WaterGoal)</f>
        <v/>
      </c>
      <c r="W93" s="33" t="str">
        <f aca="false">IF(COUNT(E93,F93,I93)=0,"",(IF(N(T93)&gt;=1,1,0)+IF(N(U93)&gt;=1,1,0)+IF(N(V93)&gt;=1,1,0))/3)</f>
        <v/>
      </c>
      <c r="X93" s="27" t="n">
        <f aca="false">IF(AND(L93&lt;&gt;"",L93&lt;&gt;"Rest Day"),1,0)</f>
        <v>0</v>
      </c>
      <c r="Y93" s="34" t="n">
        <f aca="false">IF(X93=1,Y92+1,0)</f>
        <v>0</v>
      </c>
      <c r="Z93" s="34" t="n">
        <f aca="false">IF(N(T93)&gt;=1,Z92+1,0)</f>
        <v>0</v>
      </c>
      <c r="AA93" s="34" t="n">
        <f aca="false">IF(N(U93)&gt;=1,AA92+1,0)</f>
        <v>0</v>
      </c>
      <c r="AB93" s="34" t="n">
        <f aca="false">IF(N(V93)&gt;=1,AB92+1,0)</f>
        <v>0</v>
      </c>
      <c r="AC93" s="34" t="str">
        <f aca="false">IF(COUNT(E93,F93,I93,J93)=0,"",ROUND((MIN(IFERROR(E93/StepGoal,0),1)*100)*0.2+(MIN(IFERROR(F93/SleepGoal,0),1)*100)*0.2+(IF(L93="",0,IF(L93="Rest Day",100,MIN(IFERROR(M93/60,0),1)*100)))*0.25+(IFERROR(INDEX('Recovery Tracker'!$E$5:$E$369,MATCH(A93,'Recovery Tracker'!$A$5:$A$369,0))+0,70))*0.15+(MIN(IFERROR(I93/WaterGoal,0),1)*100)*0.1+(IF(J93="",0,MAX(0,100-MIN(ABS(J93-CalorieGoal)/CalorieGoal,1)*100)))*0.1,0))</f>
        <v/>
      </c>
    </row>
    <row r="94" customFormat="false" ht="15" hidden="false" customHeight="false" outlineLevel="0" collapsed="false">
      <c r="A94" s="35" t="n">
        <f aca="false">A93+1</f>
        <v>46112</v>
      </c>
      <c r="B94" s="36" t="str">
        <f aca="false">TEXT(A94,"ddd")</f>
        <v>Tue</v>
      </c>
      <c r="C94" s="36" t="n">
        <f aca="false">INT((A94-StartDate)/7)+1</f>
        <v>13</v>
      </c>
      <c r="D94" s="36" t="str">
        <f aca="false">TEXT(A94,"mmm")</f>
        <v>Mar</v>
      </c>
      <c r="E94" s="28"/>
      <c r="F94" s="29"/>
      <c r="G94" s="29"/>
      <c r="H94" s="30"/>
      <c r="I94" s="29"/>
      <c r="J94" s="28"/>
      <c r="K94" s="28"/>
      <c r="L94" s="31"/>
      <c r="M94" s="28"/>
      <c r="N94" s="31"/>
      <c r="O94" s="31"/>
      <c r="P94" s="31"/>
      <c r="Q94" s="31"/>
      <c r="R94" s="31"/>
      <c r="S94" s="32"/>
      <c r="T94" s="37" t="str">
        <f aca="false">IF(E94="","",E94/StepGoal)</f>
        <v/>
      </c>
      <c r="U94" s="37" t="str">
        <f aca="false">IF(F94="","",F94/SleepGoal)</f>
        <v/>
      </c>
      <c r="V94" s="37" t="str">
        <f aca="false">IF(I94="","",I94/WaterGoal)</f>
        <v/>
      </c>
      <c r="W94" s="37" t="str">
        <f aca="false">IF(COUNT(E94,F94,I94)=0,"",(IF(N(T94)&gt;=1,1,0)+IF(N(U94)&gt;=1,1,0)+IF(N(V94)&gt;=1,1,0))/3)</f>
        <v/>
      </c>
      <c r="X94" s="36" t="n">
        <f aca="false">IF(AND(L94&lt;&gt;"",L94&lt;&gt;"Rest Day"),1,0)</f>
        <v>0</v>
      </c>
      <c r="Y94" s="38" t="n">
        <f aca="false">IF(X94=1,Y93+1,0)</f>
        <v>0</v>
      </c>
      <c r="Z94" s="38" t="n">
        <f aca="false">IF(N(T94)&gt;=1,Z93+1,0)</f>
        <v>0</v>
      </c>
      <c r="AA94" s="38" t="n">
        <f aca="false">IF(N(U94)&gt;=1,AA93+1,0)</f>
        <v>0</v>
      </c>
      <c r="AB94" s="38" t="n">
        <f aca="false">IF(N(V94)&gt;=1,AB93+1,0)</f>
        <v>0</v>
      </c>
      <c r="AC94" s="38" t="str">
        <f aca="false">IF(COUNT(E94,F94,I94,J94)=0,"",ROUND((MIN(IFERROR(E94/StepGoal,0),1)*100)*0.2+(MIN(IFERROR(F94/SleepGoal,0),1)*100)*0.2+(IF(L94="",0,IF(L94="Rest Day",100,MIN(IFERROR(M94/60,0),1)*100)))*0.25+(IFERROR(INDEX('Recovery Tracker'!$E$5:$E$369,MATCH(A94,'Recovery Tracker'!$A$5:$A$369,0))+0,70))*0.15+(MIN(IFERROR(I94/WaterGoal,0),1)*100)*0.1+(IF(J94="",0,MAX(0,100-MIN(ABS(J94-CalorieGoal)/CalorieGoal,1)*100)))*0.1,0))</f>
        <v/>
      </c>
    </row>
    <row r="95" customFormat="false" ht="15" hidden="false" customHeight="false" outlineLevel="0" collapsed="false">
      <c r="A95" s="26" t="n">
        <f aca="false">A94+1</f>
        <v>46113</v>
      </c>
      <c r="B95" s="27" t="str">
        <f aca="false">TEXT(A95,"ddd")</f>
        <v>Wed</v>
      </c>
      <c r="C95" s="27" t="n">
        <f aca="false">INT((A95-StartDate)/7)+1</f>
        <v>13</v>
      </c>
      <c r="D95" s="27" t="str">
        <f aca="false">TEXT(A95,"mmm")</f>
        <v>Apr</v>
      </c>
      <c r="E95" s="28"/>
      <c r="F95" s="29"/>
      <c r="G95" s="29"/>
      <c r="H95" s="30"/>
      <c r="I95" s="29"/>
      <c r="J95" s="28"/>
      <c r="K95" s="28"/>
      <c r="L95" s="31"/>
      <c r="M95" s="28"/>
      <c r="N95" s="31"/>
      <c r="O95" s="31"/>
      <c r="P95" s="31"/>
      <c r="Q95" s="31"/>
      <c r="R95" s="31"/>
      <c r="S95" s="32"/>
      <c r="T95" s="33" t="str">
        <f aca="false">IF(E95="","",E95/StepGoal)</f>
        <v/>
      </c>
      <c r="U95" s="33" t="str">
        <f aca="false">IF(F95="","",F95/SleepGoal)</f>
        <v/>
      </c>
      <c r="V95" s="33" t="str">
        <f aca="false">IF(I95="","",I95/WaterGoal)</f>
        <v/>
      </c>
      <c r="W95" s="33" t="str">
        <f aca="false">IF(COUNT(E95,F95,I95)=0,"",(IF(N(T95)&gt;=1,1,0)+IF(N(U95)&gt;=1,1,0)+IF(N(V95)&gt;=1,1,0))/3)</f>
        <v/>
      </c>
      <c r="X95" s="27" t="n">
        <f aca="false">IF(AND(L95&lt;&gt;"",L95&lt;&gt;"Rest Day"),1,0)</f>
        <v>0</v>
      </c>
      <c r="Y95" s="34" t="n">
        <f aca="false">IF(X95=1,Y94+1,0)</f>
        <v>0</v>
      </c>
      <c r="Z95" s="34" t="n">
        <f aca="false">IF(N(T95)&gt;=1,Z94+1,0)</f>
        <v>0</v>
      </c>
      <c r="AA95" s="34" t="n">
        <f aca="false">IF(N(U95)&gt;=1,AA94+1,0)</f>
        <v>0</v>
      </c>
      <c r="AB95" s="34" t="n">
        <f aca="false">IF(N(V95)&gt;=1,AB94+1,0)</f>
        <v>0</v>
      </c>
      <c r="AC95" s="34" t="str">
        <f aca="false">IF(COUNT(E95,F95,I95,J95)=0,"",ROUND((MIN(IFERROR(E95/StepGoal,0),1)*100)*0.2+(MIN(IFERROR(F95/SleepGoal,0),1)*100)*0.2+(IF(L95="",0,IF(L95="Rest Day",100,MIN(IFERROR(M95/60,0),1)*100)))*0.25+(IFERROR(INDEX('Recovery Tracker'!$E$5:$E$369,MATCH(A95,'Recovery Tracker'!$A$5:$A$369,0))+0,70))*0.15+(MIN(IFERROR(I95/WaterGoal,0),1)*100)*0.1+(IF(J95="",0,MAX(0,100-MIN(ABS(J95-CalorieGoal)/CalorieGoal,1)*100)))*0.1,0))</f>
        <v/>
      </c>
    </row>
    <row r="96" customFormat="false" ht="15" hidden="false" customHeight="false" outlineLevel="0" collapsed="false">
      <c r="A96" s="35" t="n">
        <f aca="false">A95+1</f>
        <v>46114</v>
      </c>
      <c r="B96" s="36" t="str">
        <f aca="false">TEXT(A96,"ddd")</f>
        <v>Thu</v>
      </c>
      <c r="C96" s="36" t="n">
        <f aca="false">INT((A96-StartDate)/7)+1</f>
        <v>14</v>
      </c>
      <c r="D96" s="36" t="str">
        <f aca="false">TEXT(A96,"mmm")</f>
        <v>Apr</v>
      </c>
      <c r="E96" s="28"/>
      <c r="F96" s="29"/>
      <c r="G96" s="29"/>
      <c r="H96" s="30"/>
      <c r="I96" s="29"/>
      <c r="J96" s="28"/>
      <c r="K96" s="28"/>
      <c r="L96" s="31"/>
      <c r="M96" s="28"/>
      <c r="N96" s="31"/>
      <c r="O96" s="31"/>
      <c r="P96" s="31"/>
      <c r="Q96" s="31"/>
      <c r="R96" s="31"/>
      <c r="S96" s="32"/>
      <c r="T96" s="37" t="str">
        <f aca="false">IF(E96="","",E96/StepGoal)</f>
        <v/>
      </c>
      <c r="U96" s="37" t="str">
        <f aca="false">IF(F96="","",F96/SleepGoal)</f>
        <v/>
      </c>
      <c r="V96" s="37" t="str">
        <f aca="false">IF(I96="","",I96/WaterGoal)</f>
        <v/>
      </c>
      <c r="W96" s="37" t="str">
        <f aca="false">IF(COUNT(E96,F96,I96)=0,"",(IF(N(T96)&gt;=1,1,0)+IF(N(U96)&gt;=1,1,0)+IF(N(V96)&gt;=1,1,0))/3)</f>
        <v/>
      </c>
      <c r="X96" s="36" t="n">
        <f aca="false">IF(AND(L96&lt;&gt;"",L96&lt;&gt;"Rest Day"),1,0)</f>
        <v>0</v>
      </c>
      <c r="Y96" s="38" t="n">
        <f aca="false">IF(X96=1,Y95+1,0)</f>
        <v>0</v>
      </c>
      <c r="Z96" s="38" t="n">
        <f aca="false">IF(N(T96)&gt;=1,Z95+1,0)</f>
        <v>0</v>
      </c>
      <c r="AA96" s="38" t="n">
        <f aca="false">IF(N(U96)&gt;=1,AA95+1,0)</f>
        <v>0</v>
      </c>
      <c r="AB96" s="38" t="n">
        <f aca="false">IF(N(V96)&gt;=1,AB95+1,0)</f>
        <v>0</v>
      </c>
      <c r="AC96" s="38" t="str">
        <f aca="false">IF(COUNT(E96,F96,I96,J96)=0,"",ROUND((MIN(IFERROR(E96/StepGoal,0),1)*100)*0.2+(MIN(IFERROR(F96/SleepGoal,0),1)*100)*0.2+(IF(L96="",0,IF(L96="Rest Day",100,MIN(IFERROR(M96/60,0),1)*100)))*0.25+(IFERROR(INDEX('Recovery Tracker'!$E$5:$E$369,MATCH(A96,'Recovery Tracker'!$A$5:$A$369,0))+0,70))*0.15+(MIN(IFERROR(I96/WaterGoal,0),1)*100)*0.1+(IF(J96="",0,MAX(0,100-MIN(ABS(J96-CalorieGoal)/CalorieGoal,1)*100)))*0.1,0))</f>
        <v/>
      </c>
    </row>
    <row r="97" customFormat="false" ht="15" hidden="false" customHeight="false" outlineLevel="0" collapsed="false">
      <c r="A97" s="26" t="n">
        <f aca="false">A96+1</f>
        <v>46115</v>
      </c>
      <c r="B97" s="27" t="str">
        <f aca="false">TEXT(A97,"ddd")</f>
        <v>Fri</v>
      </c>
      <c r="C97" s="27" t="n">
        <f aca="false">INT((A97-StartDate)/7)+1</f>
        <v>14</v>
      </c>
      <c r="D97" s="27" t="str">
        <f aca="false">TEXT(A97,"mmm")</f>
        <v>Apr</v>
      </c>
      <c r="E97" s="28"/>
      <c r="F97" s="29"/>
      <c r="G97" s="29"/>
      <c r="H97" s="30"/>
      <c r="I97" s="29"/>
      <c r="J97" s="28"/>
      <c r="K97" s="28"/>
      <c r="L97" s="31"/>
      <c r="M97" s="28"/>
      <c r="N97" s="31"/>
      <c r="O97" s="31"/>
      <c r="P97" s="31"/>
      <c r="Q97" s="31"/>
      <c r="R97" s="31"/>
      <c r="S97" s="32"/>
      <c r="T97" s="33" t="str">
        <f aca="false">IF(E97="","",E97/StepGoal)</f>
        <v/>
      </c>
      <c r="U97" s="33" t="str">
        <f aca="false">IF(F97="","",F97/SleepGoal)</f>
        <v/>
      </c>
      <c r="V97" s="33" t="str">
        <f aca="false">IF(I97="","",I97/WaterGoal)</f>
        <v/>
      </c>
      <c r="W97" s="33" t="str">
        <f aca="false">IF(COUNT(E97,F97,I97)=0,"",(IF(N(T97)&gt;=1,1,0)+IF(N(U97)&gt;=1,1,0)+IF(N(V97)&gt;=1,1,0))/3)</f>
        <v/>
      </c>
      <c r="X97" s="27" t="n">
        <f aca="false">IF(AND(L97&lt;&gt;"",L97&lt;&gt;"Rest Day"),1,0)</f>
        <v>0</v>
      </c>
      <c r="Y97" s="34" t="n">
        <f aca="false">IF(X97=1,Y96+1,0)</f>
        <v>0</v>
      </c>
      <c r="Z97" s="34" t="n">
        <f aca="false">IF(N(T97)&gt;=1,Z96+1,0)</f>
        <v>0</v>
      </c>
      <c r="AA97" s="34" t="n">
        <f aca="false">IF(N(U97)&gt;=1,AA96+1,0)</f>
        <v>0</v>
      </c>
      <c r="AB97" s="34" t="n">
        <f aca="false">IF(N(V97)&gt;=1,AB96+1,0)</f>
        <v>0</v>
      </c>
      <c r="AC97" s="34" t="str">
        <f aca="false">IF(COUNT(E97,F97,I97,J97)=0,"",ROUND((MIN(IFERROR(E97/StepGoal,0),1)*100)*0.2+(MIN(IFERROR(F97/SleepGoal,0),1)*100)*0.2+(IF(L97="",0,IF(L97="Rest Day",100,MIN(IFERROR(M97/60,0),1)*100)))*0.25+(IFERROR(INDEX('Recovery Tracker'!$E$5:$E$369,MATCH(A97,'Recovery Tracker'!$A$5:$A$369,0))+0,70))*0.15+(MIN(IFERROR(I97/WaterGoal,0),1)*100)*0.1+(IF(J97="",0,MAX(0,100-MIN(ABS(J97-CalorieGoal)/CalorieGoal,1)*100)))*0.1,0))</f>
        <v/>
      </c>
    </row>
    <row r="98" customFormat="false" ht="15" hidden="false" customHeight="false" outlineLevel="0" collapsed="false">
      <c r="A98" s="35" t="n">
        <f aca="false">A97+1</f>
        <v>46116</v>
      </c>
      <c r="B98" s="36" t="str">
        <f aca="false">TEXT(A98,"ddd")</f>
        <v>Sat</v>
      </c>
      <c r="C98" s="36" t="n">
        <f aca="false">INT((A98-StartDate)/7)+1</f>
        <v>14</v>
      </c>
      <c r="D98" s="36" t="str">
        <f aca="false">TEXT(A98,"mmm")</f>
        <v>Apr</v>
      </c>
      <c r="E98" s="28"/>
      <c r="F98" s="29"/>
      <c r="G98" s="29"/>
      <c r="H98" s="30"/>
      <c r="I98" s="29"/>
      <c r="J98" s="28"/>
      <c r="K98" s="28"/>
      <c r="L98" s="31"/>
      <c r="M98" s="28"/>
      <c r="N98" s="31"/>
      <c r="O98" s="31"/>
      <c r="P98" s="31"/>
      <c r="Q98" s="31"/>
      <c r="R98" s="31"/>
      <c r="S98" s="32"/>
      <c r="T98" s="37" t="str">
        <f aca="false">IF(E98="","",E98/StepGoal)</f>
        <v/>
      </c>
      <c r="U98" s="37" t="str">
        <f aca="false">IF(F98="","",F98/SleepGoal)</f>
        <v/>
      </c>
      <c r="V98" s="37" t="str">
        <f aca="false">IF(I98="","",I98/WaterGoal)</f>
        <v/>
      </c>
      <c r="W98" s="37" t="str">
        <f aca="false">IF(COUNT(E98,F98,I98)=0,"",(IF(N(T98)&gt;=1,1,0)+IF(N(U98)&gt;=1,1,0)+IF(N(V98)&gt;=1,1,0))/3)</f>
        <v/>
      </c>
      <c r="X98" s="36" t="n">
        <f aca="false">IF(AND(L98&lt;&gt;"",L98&lt;&gt;"Rest Day"),1,0)</f>
        <v>0</v>
      </c>
      <c r="Y98" s="38" t="n">
        <f aca="false">IF(X98=1,Y97+1,0)</f>
        <v>0</v>
      </c>
      <c r="Z98" s="38" t="n">
        <f aca="false">IF(N(T98)&gt;=1,Z97+1,0)</f>
        <v>0</v>
      </c>
      <c r="AA98" s="38" t="n">
        <f aca="false">IF(N(U98)&gt;=1,AA97+1,0)</f>
        <v>0</v>
      </c>
      <c r="AB98" s="38" t="n">
        <f aca="false">IF(N(V98)&gt;=1,AB97+1,0)</f>
        <v>0</v>
      </c>
      <c r="AC98" s="38" t="str">
        <f aca="false">IF(COUNT(E98,F98,I98,J98)=0,"",ROUND((MIN(IFERROR(E98/StepGoal,0),1)*100)*0.2+(MIN(IFERROR(F98/SleepGoal,0),1)*100)*0.2+(IF(L98="",0,IF(L98="Rest Day",100,MIN(IFERROR(M98/60,0),1)*100)))*0.25+(IFERROR(INDEX('Recovery Tracker'!$E$5:$E$369,MATCH(A98,'Recovery Tracker'!$A$5:$A$369,0))+0,70))*0.15+(MIN(IFERROR(I98/WaterGoal,0),1)*100)*0.1+(IF(J98="",0,MAX(0,100-MIN(ABS(J98-CalorieGoal)/CalorieGoal,1)*100)))*0.1,0))</f>
        <v/>
      </c>
    </row>
    <row r="99" customFormat="false" ht="15" hidden="false" customHeight="false" outlineLevel="0" collapsed="false">
      <c r="A99" s="26" t="n">
        <f aca="false">A98+1</f>
        <v>46117</v>
      </c>
      <c r="B99" s="27" t="str">
        <f aca="false">TEXT(A99,"ddd")</f>
        <v>Sun</v>
      </c>
      <c r="C99" s="27" t="n">
        <f aca="false">INT((A99-StartDate)/7)+1</f>
        <v>14</v>
      </c>
      <c r="D99" s="27" t="str">
        <f aca="false">TEXT(A99,"mmm")</f>
        <v>Apr</v>
      </c>
      <c r="E99" s="28"/>
      <c r="F99" s="29"/>
      <c r="G99" s="29"/>
      <c r="H99" s="30"/>
      <c r="I99" s="29"/>
      <c r="J99" s="28"/>
      <c r="K99" s="28"/>
      <c r="L99" s="31"/>
      <c r="M99" s="28"/>
      <c r="N99" s="31"/>
      <c r="O99" s="31"/>
      <c r="P99" s="31"/>
      <c r="Q99" s="31"/>
      <c r="R99" s="31"/>
      <c r="S99" s="32"/>
      <c r="T99" s="33" t="str">
        <f aca="false">IF(E99="","",E99/StepGoal)</f>
        <v/>
      </c>
      <c r="U99" s="33" t="str">
        <f aca="false">IF(F99="","",F99/SleepGoal)</f>
        <v/>
      </c>
      <c r="V99" s="33" t="str">
        <f aca="false">IF(I99="","",I99/WaterGoal)</f>
        <v/>
      </c>
      <c r="W99" s="33" t="str">
        <f aca="false">IF(COUNT(E99,F99,I99)=0,"",(IF(N(T99)&gt;=1,1,0)+IF(N(U99)&gt;=1,1,0)+IF(N(V99)&gt;=1,1,0))/3)</f>
        <v/>
      </c>
      <c r="X99" s="27" t="n">
        <f aca="false">IF(AND(L99&lt;&gt;"",L99&lt;&gt;"Rest Day"),1,0)</f>
        <v>0</v>
      </c>
      <c r="Y99" s="34" t="n">
        <f aca="false">IF(X99=1,Y98+1,0)</f>
        <v>0</v>
      </c>
      <c r="Z99" s="34" t="n">
        <f aca="false">IF(N(T99)&gt;=1,Z98+1,0)</f>
        <v>0</v>
      </c>
      <c r="AA99" s="34" t="n">
        <f aca="false">IF(N(U99)&gt;=1,AA98+1,0)</f>
        <v>0</v>
      </c>
      <c r="AB99" s="34" t="n">
        <f aca="false">IF(N(V99)&gt;=1,AB98+1,0)</f>
        <v>0</v>
      </c>
      <c r="AC99" s="34" t="str">
        <f aca="false">IF(COUNT(E99,F99,I99,J99)=0,"",ROUND((MIN(IFERROR(E99/StepGoal,0),1)*100)*0.2+(MIN(IFERROR(F99/SleepGoal,0),1)*100)*0.2+(IF(L99="",0,IF(L99="Rest Day",100,MIN(IFERROR(M99/60,0),1)*100)))*0.25+(IFERROR(INDEX('Recovery Tracker'!$E$5:$E$369,MATCH(A99,'Recovery Tracker'!$A$5:$A$369,0))+0,70))*0.15+(MIN(IFERROR(I99/WaterGoal,0),1)*100)*0.1+(IF(J99="",0,MAX(0,100-MIN(ABS(J99-CalorieGoal)/CalorieGoal,1)*100)))*0.1,0))</f>
        <v/>
      </c>
    </row>
    <row r="100" customFormat="false" ht="15" hidden="false" customHeight="false" outlineLevel="0" collapsed="false">
      <c r="A100" s="35" t="n">
        <f aca="false">A99+1</f>
        <v>46118</v>
      </c>
      <c r="B100" s="36" t="str">
        <f aca="false">TEXT(A100,"ddd")</f>
        <v>Mon</v>
      </c>
      <c r="C100" s="36" t="n">
        <f aca="false">INT((A100-StartDate)/7)+1</f>
        <v>14</v>
      </c>
      <c r="D100" s="36" t="str">
        <f aca="false">TEXT(A100,"mmm")</f>
        <v>Apr</v>
      </c>
      <c r="E100" s="28"/>
      <c r="F100" s="29"/>
      <c r="G100" s="29"/>
      <c r="H100" s="30"/>
      <c r="I100" s="29"/>
      <c r="J100" s="28"/>
      <c r="K100" s="28"/>
      <c r="L100" s="31"/>
      <c r="M100" s="28"/>
      <c r="N100" s="31"/>
      <c r="O100" s="31"/>
      <c r="P100" s="31"/>
      <c r="Q100" s="31"/>
      <c r="R100" s="31"/>
      <c r="S100" s="32"/>
      <c r="T100" s="37" t="str">
        <f aca="false">IF(E100="","",E100/StepGoal)</f>
        <v/>
      </c>
      <c r="U100" s="37" t="str">
        <f aca="false">IF(F100="","",F100/SleepGoal)</f>
        <v/>
      </c>
      <c r="V100" s="37" t="str">
        <f aca="false">IF(I100="","",I100/WaterGoal)</f>
        <v/>
      </c>
      <c r="W100" s="37" t="str">
        <f aca="false">IF(COUNT(E100,F100,I100)=0,"",(IF(N(T100)&gt;=1,1,0)+IF(N(U100)&gt;=1,1,0)+IF(N(V100)&gt;=1,1,0))/3)</f>
        <v/>
      </c>
      <c r="X100" s="36" t="n">
        <f aca="false">IF(AND(L100&lt;&gt;"",L100&lt;&gt;"Rest Day"),1,0)</f>
        <v>0</v>
      </c>
      <c r="Y100" s="38" t="n">
        <f aca="false">IF(X100=1,Y99+1,0)</f>
        <v>0</v>
      </c>
      <c r="Z100" s="38" t="n">
        <f aca="false">IF(N(T100)&gt;=1,Z99+1,0)</f>
        <v>0</v>
      </c>
      <c r="AA100" s="38" t="n">
        <f aca="false">IF(N(U100)&gt;=1,AA99+1,0)</f>
        <v>0</v>
      </c>
      <c r="AB100" s="38" t="n">
        <f aca="false">IF(N(V100)&gt;=1,AB99+1,0)</f>
        <v>0</v>
      </c>
      <c r="AC100" s="38" t="str">
        <f aca="false">IF(COUNT(E100,F100,I100,J100)=0,"",ROUND((MIN(IFERROR(E100/StepGoal,0),1)*100)*0.2+(MIN(IFERROR(F100/SleepGoal,0),1)*100)*0.2+(IF(L100="",0,IF(L100="Rest Day",100,MIN(IFERROR(M100/60,0),1)*100)))*0.25+(IFERROR(INDEX('Recovery Tracker'!$E$5:$E$369,MATCH(A100,'Recovery Tracker'!$A$5:$A$369,0))+0,70))*0.15+(MIN(IFERROR(I100/WaterGoal,0),1)*100)*0.1+(IF(J100="",0,MAX(0,100-MIN(ABS(J100-CalorieGoal)/CalorieGoal,1)*100)))*0.1,0))</f>
        <v/>
      </c>
    </row>
    <row r="101" customFormat="false" ht="15" hidden="false" customHeight="false" outlineLevel="0" collapsed="false">
      <c r="A101" s="26" t="n">
        <f aca="false">A100+1</f>
        <v>46119</v>
      </c>
      <c r="B101" s="27" t="str">
        <f aca="false">TEXT(A101,"ddd")</f>
        <v>Tue</v>
      </c>
      <c r="C101" s="27" t="n">
        <f aca="false">INT((A101-StartDate)/7)+1</f>
        <v>14</v>
      </c>
      <c r="D101" s="27" t="str">
        <f aca="false">TEXT(A101,"mmm")</f>
        <v>Apr</v>
      </c>
      <c r="E101" s="28"/>
      <c r="F101" s="29"/>
      <c r="G101" s="29"/>
      <c r="H101" s="30"/>
      <c r="I101" s="29"/>
      <c r="J101" s="28"/>
      <c r="K101" s="28"/>
      <c r="L101" s="31"/>
      <c r="M101" s="28"/>
      <c r="N101" s="31"/>
      <c r="O101" s="31"/>
      <c r="P101" s="31"/>
      <c r="Q101" s="31"/>
      <c r="R101" s="31"/>
      <c r="S101" s="32"/>
      <c r="T101" s="33" t="str">
        <f aca="false">IF(E101="","",E101/StepGoal)</f>
        <v/>
      </c>
      <c r="U101" s="33" t="str">
        <f aca="false">IF(F101="","",F101/SleepGoal)</f>
        <v/>
      </c>
      <c r="V101" s="33" t="str">
        <f aca="false">IF(I101="","",I101/WaterGoal)</f>
        <v/>
      </c>
      <c r="W101" s="33" t="str">
        <f aca="false">IF(COUNT(E101,F101,I101)=0,"",(IF(N(T101)&gt;=1,1,0)+IF(N(U101)&gt;=1,1,0)+IF(N(V101)&gt;=1,1,0))/3)</f>
        <v/>
      </c>
      <c r="X101" s="27" t="n">
        <f aca="false">IF(AND(L101&lt;&gt;"",L101&lt;&gt;"Rest Day"),1,0)</f>
        <v>0</v>
      </c>
      <c r="Y101" s="34" t="n">
        <f aca="false">IF(X101=1,Y100+1,0)</f>
        <v>0</v>
      </c>
      <c r="Z101" s="34" t="n">
        <f aca="false">IF(N(T101)&gt;=1,Z100+1,0)</f>
        <v>0</v>
      </c>
      <c r="AA101" s="34" t="n">
        <f aca="false">IF(N(U101)&gt;=1,AA100+1,0)</f>
        <v>0</v>
      </c>
      <c r="AB101" s="34" t="n">
        <f aca="false">IF(N(V101)&gt;=1,AB100+1,0)</f>
        <v>0</v>
      </c>
      <c r="AC101" s="34" t="str">
        <f aca="false">IF(COUNT(E101,F101,I101,J101)=0,"",ROUND((MIN(IFERROR(E101/StepGoal,0),1)*100)*0.2+(MIN(IFERROR(F101/SleepGoal,0),1)*100)*0.2+(IF(L101="",0,IF(L101="Rest Day",100,MIN(IFERROR(M101/60,0),1)*100)))*0.25+(IFERROR(INDEX('Recovery Tracker'!$E$5:$E$369,MATCH(A101,'Recovery Tracker'!$A$5:$A$369,0))+0,70))*0.15+(MIN(IFERROR(I101/WaterGoal,0),1)*100)*0.1+(IF(J101="",0,MAX(0,100-MIN(ABS(J101-CalorieGoal)/CalorieGoal,1)*100)))*0.1,0))</f>
        <v/>
      </c>
    </row>
    <row r="102" customFormat="false" ht="15" hidden="false" customHeight="false" outlineLevel="0" collapsed="false">
      <c r="A102" s="35" t="n">
        <f aca="false">A101+1</f>
        <v>46120</v>
      </c>
      <c r="B102" s="36" t="str">
        <f aca="false">TEXT(A102,"ddd")</f>
        <v>Wed</v>
      </c>
      <c r="C102" s="36" t="n">
        <f aca="false">INT((A102-StartDate)/7)+1</f>
        <v>14</v>
      </c>
      <c r="D102" s="36" t="str">
        <f aca="false">TEXT(A102,"mmm")</f>
        <v>Apr</v>
      </c>
      <c r="E102" s="28"/>
      <c r="F102" s="29"/>
      <c r="G102" s="29"/>
      <c r="H102" s="30"/>
      <c r="I102" s="29"/>
      <c r="J102" s="28"/>
      <c r="K102" s="28"/>
      <c r="L102" s="31"/>
      <c r="M102" s="28"/>
      <c r="N102" s="31"/>
      <c r="O102" s="31"/>
      <c r="P102" s="31"/>
      <c r="Q102" s="31"/>
      <c r="R102" s="31"/>
      <c r="S102" s="32"/>
      <c r="T102" s="37" t="str">
        <f aca="false">IF(E102="","",E102/StepGoal)</f>
        <v/>
      </c>
      <c r="U102" s="37" t="str">
        <f aca="false">IF(F102="","",F102/SleepGoal)</f>
        <v/>
      </c>
      <c r="V102" s="37" t="str">
        <f aca="false">IF(I102="","",I102/WaterGoal)</f>
        <v/>
      </c>
      <c r="W102" s="37" t="str">
        <f aca="false">IF(COUNT(E102,F102,I102)=0,"",(IF(N(T102)&gt;=1,1,0)+IF(N(U102)&gt;=1,1,0)+IF(N(V102)&gt;=1,1,0))/3)</f>
        <v/>
      </c>
      <c r="X102" s="36" t="n">
        <f aca="false">IF(AND(L102&lt;&gt;"",L102&lt;&gt;"Rest Day"),1,0)</f>
        <v>0</v>
      </c>
      <c r="Y102" s="38" t="n">
        <f aca="false">IF(X102=1,Y101+1,0)</f>
        <v>0</v>
      </c>
      <c r="Z102" s="38" t="n">
        <f aca="false">IF(N(T102)&gt;=1,Z101+1,0)</f>
        <v>0</v>
      </c>
      <c r="AA102" s="38" t="n">
        <f aca="false">IF(N(U102)&gt;=1,AA101+1,0)</f>
        <v>0</v>
      </c>
      <c r="AB102" s="38" t="n">
        <f aca="false">IF(N(V102)&gt;=1,AB101+1,0)</f>
        <v>0</v>
      </c>
      <c r="AC102" s="38" t="str">
        <f aca="false">IF(COUNT(E102,F102,I102,J102)=0,"",ROUND((MIN(IFERROR(E102/StepGoal,0),1)*100)*0.2+(MIN(IFERROR(F102/SleepGoal,0),1)*100)*0.2+(IF(L102="",0,IF(L102="Rest Day",100,MIN(IFERROR(M102/60,0),1)*100)))*0.25+(IFERROR(INDEX('Recovery Tracker'!$E$5:$E$369,MATCH(A102,'Recovery Tracker'!$A$5:$A$369,0))+0,70))*0.15+(MIN(IFERROR(I102/WaterGoal,0),1)*100)*0.1+(IF(J102="",0,MAX(0,100-MIN(ABS(J102-CalorieGoal)/CalorieGoal,1)*100)))*0.1,0))</f>
        <v/>
      </c>
    </row>
    <row r="103" customFormat="false" ht="15" hidden="false" customHeight="false" outlineLevel="0" collapsed="false">
      <c r="A103" s="26" t="n">
        <f aca="false">A102+1</f>
        <v>46121</v>
      </c>
      <c r="B103" s="27" t="str">
        <f aca="false">TEXT(A103,"ddd")</f>
        <v>Thu</v>
      </c>
      <c r="C103" s="27" t="n">
        <f aca="false">INT((A103-StartDate)/7)+1</f>
        <v>15</v>
      </c>
      <c r="D103" s="27" t="str">
        <f aca="false">TEXT(A103,"mmm")</f>
        <v>Apr</v>
      </c>
      <c r="E103" s="28"/>
      <c r="F103" s="29"/>
      <c r="G103" s="29"/>
      <c r="H103" s="30"/>
      <c r="I103" s="29"/>
      <c r="J103" s="28"/>
      <c r="K103" s="28"/>
      <c r="L103" s="31"/>
      <c r="M103" s="28"/>
      <c r="N103" s="31"/>
      <c r="O103" s="31"/>
      <c r="P103" s="31"/>
      <c r="Q103" s="31"/>
      <c r="R103" s="31"/>
      <c r="S103" s="32"/>
      <c r="T103" s="33" t="str">
        <f aca="false">IF(E103="","",E103/StepGoal)</f>
        <v/>
      </c>
      <c r="U103" s="33" t="str">
        <f aca="false">IF(F103="","",F103/SleepGoal)</f>
        <v/>
      </c>
      <c r="V103" s="33" t="str">
        <f aca="false">IF(I103="","",I103/WaterGoal)</f>
        <v/>
      </c>
      <c r="W103" s="33" t="str">
        <f aca="false">IF(COUNT(E103,F103,I103)=0,"",(IF(N(T103)&gt;=1,1,0)+IF(N(U103)&gt;=1,1,0)+IF(N(V103)&gt;=1,1,0))/3)</f>
        <v/>
      </c>
      <c r="X103" s="27" t="n">
        <f aca="false">IF(AND(L103&lt;&gt;"",L103&lt;&gt;"Rest Day"),1,0)</f>
        <v>0</v>
      </c>
      <c r="Y103" s="34" t="n">
        <f aca="false">IF(X103=1,Y102+1,0)</f>
        <v>0</v>
      </c>
      <c r="Z103" s="34" t="n">
        <f aca="false">IF(N(T103)&gt;=1,Z102+1,0)</f>
        <v>0</v>
      </c>
      <c r="AA103" s="34" t="n">
        <f aca="false">IF(N(U103)&gt;=1,AA102+1,0)</f>
        <v>0</v>
      </c>
      <c r="AB103" s="34" t="n">
        <f aca="false">IF(N(V103)&gt;=1,AB102+1,0)</f>
        <v>0</v>
      </c>
      <c r="AC103" s="34" t="str">
        <f aca="false">IF(COUNT(E103,F103,I103,J103)=0,"",ROUND((MIN(IFERROR(E103/StepGoal,0),1)*100)*0.2+(MIN(IFERROR(F103/SleepGoal,0),1)*100)*0.2+(IF(L103="",0,IF(L103="Rest Day",100,MIN(IFERROR(M103/60,0),1)*100)))*0.25+(IFERROR(INDEX('Recovery Tracker'!$E$5:$E$369,MATCH(A103,'Recovery Tracker'!$A$5:$A$369,0))+0,70))*0.15+(MIN(IFERROR(I103/WaterGoal,0),1)*100)*0.1+(IF(J103="",0,MAX(0,100-MIN(ABS(J103-CalorieGoal)/CalorieGoal,1)*100)))*0.1,0))</f>
        <v/>
      </c>
    </row>
    <row r="104" customFormat="false" ht="15" hidden="false" customHeight="false" outlineLevel="0" collapsed="false">
      <c r="A104" s="35" t="n">
        <f aca="false">A103+1</f>
        <v>46122</v>
      </c>
      <c r="B104" s="36" t="str">
        <f aca="false">TEXT(A104,"ddd")</f>
        <v>Fri</v>
      </c>
      <c r="C104" s="36" t="n">
        <f aca="false">INT((A104-StartDate)/7)+1</f>
        <v>15</v>
      </c>
      <c r="D104" s="36" t="str">
        <f aca="false">TEXT(A104,"mmm")</f>
        <v>Apr</v>
      </c>
      <c r="E104" s="28"/>
      <c r="F104" s="29"/>
      <c r="G104" s="29"/>
      <c r="H104" s="30"/>
      <c r="I104" s="29"/>
      <c r="J104" s="28"/>
      <c r="K104" s="28"/>
      <c r="L104" s="31"/>
      <c r="M104" s="28"/>
      <c r="N104" s="31"/>
      <c r="O104" s="31"/>
      <c r="P104" s="31"/>
      <c r="Q104" s="31"/>
      <c r="R104" s="31"/>
      <c r="S104" s="32"/>
      <c r="T104" s="37" t="str">
        <f aca="false">IF(E104="","",E104/StepGoal)</f>
        <v/>
      </c>
      <c r="U104" s="37" t="str">
        <f aca="false">IF(F104="","",F104/SleepGoal)</f>
        <v/>
      </c>
      <c r="V104" s="37" t="str">
        <f aca="false">IF(I104="","",I104/WaterGoal)</f>
        <v/>
      </c>
      <c r="W104" s="37" t="str">
        <f aca="false">IF(COUNT(E104,F104,I104)=0,"",(IF(N(T104)&gt;=1,1,0)+IF(N(U104)&gt;=1,1,0)+IF(N(V104)&gt;=1,1,0))/3)</f>
        <v/>
      </c>
      <c r="X104" s="36" t="n">
        <f aca="false">IF(AND(L104&lt;&gt;"",L104&lt;&gt;"Rest Day"),1,0)</f>
        <v>0</v>
      </c>
      <c r="Y104" s="38" t="n">
        <f aca="false">IF(X104=1,Y103+1,0)</f>
        <v>0</v>
      </c>
      <c r="Z104" s="38" t="n">
        <f aca="false">IF(N(T104)&gt;=1,Z103+1,0)</f>
        <v>0</v>
      </c>
      <c r="AA104" s="38" t="n">
        <f aca="false">IF(N(U104)&gt;=1,AA103+1,0)</f>
        <v>0</v>
      </c>
      <c r="AB104" s="38" t="n">
        <f aca="false">IF(N(V104)&gt;=1,AB103+1,0)</f>
        <v>0</v>
      </c>
      <c r="AC104" s="38" t="str">
        <f aca="false">IF(COUNT(E104,F104,I104,J104)=0,"",ROUND((MIN(IFERROR(E104/StepGoal,0),1)*100)*0.2+(MIN(IFERROR(F104/SleepGoal,0),1)*100)*0.2+(IF(L104="",0,IF(L104="Rest Day",100,MIN(IFERROR(M104/60,0),1)*100)))*0.25+(IFERROR(INDEX('Recovery Tracker'!$E$5:$E$369,MATCH(A104,'Recovery Tracker'!$A$5:$A$369,0))+0,70))*0.15+(MIN(IFERROR(I104/WaterGoal,0),1)*100)*0.1+(IF(J104="",0,MAX(0,100-MIN(ABS(J104-CalorieGoal)/CalorieGoal,1)*100)))*0.1,0))</f>
        <v/>
      </c>
    </row>
    <row r="105" customFormat="false" ht="15" hidden="false" customHeight="false" outlineLevel="0" collapsed="false">
      <c r="A105" s="26" t="n">
        <f aca="false">A104+1</f>
        <v>46123</v>
      </c>
      <c r="B105" s="27" t="str">
        <f aca="false">TEXT(A105,"ddd")</f>
        <v>Sat</v>
      </c>
      <c r="C105" s="27" t="n">
        <f aca="false">INT((A105-StartDate)/7)+1</f>
        <v>15</v>
      </c>
      <c r="D105" s="27" t="str">
        <f aca="false">TEXT(A105,"mmm")</f>
        <v>Apr</v>
      </c>
      <c r="E105" s="28"/>
      <c r="F105" s="29"/>
      <c r="G105" s="29"/>
      <c r="H105" s="30"/>
      <c r="I105" s="29"/>
      <c r="J105" s="28"/>
      <c r="K105" s="28"/>
      <c r="L105" s="31"/>
      <c r="M105" s="28"/>
      <c r="N105" s="31"/>
      <c r="O105" s="31"/>
      <c r="P105" s="31"/>
      <c r="Q105" s="31"/>
      <c r="R105" s="31"/>
      <c r="S105" s="32"/>
      <c r="T105" s="33" t="str">
        <f aca="false">IF(E105="","",E105/StepGoal)</f>
        <v/>
      </c>
      <c r="U105" s="33" t="str">
        <f aca="false">IF(F105="","",F105/SleepGoal)</f>
        <v/>
      </c>
      <c r="V105" s="33" t="str">
        <f aca="false">IF(I105="","",I105/WaterGoal)</f>
        <v/>
      </c>
      <c r="W105" s="33" t="str">
        <f aca="false">IF(COUNT(E105,F105,I105)=0,"",(IF(N(T105)&gt;=1,1,0)+IF(N(U105)&gt;=1,1,0)+IF(N(V105)&gt;=1,1,0))/3)</f>
        <v/>
      </c>
      <c r="X105" s="27" t="n">
        <f aca="false">IF(AND(L105&lt;&gt;"",L105&lt;&gt;"Rest Day"),1,0)</f>
        <v>0</v>
      </c>
      <c r="Y105" s="34" t="n">
        <f aca="false">IF(X105=1,Y104+1,0)</f>
        <v>0</v>
      </c>
      <c r="Z105" s="34" t="n">
        <f aca="false">IF(N(T105)&gt;=1,Z104+1,0)</f>
        <v>0</v>
      </c>
      <c r="AA105" s="34" t="n">
        <f aca="false">IF(N(U105)&gt;=1,AA104+1,0)</f>
        <v>0</v>
      </c>
      <c r="AB105" s="34" t="n">
        <f aca="false">IF(N(V105)&gt;=1,AB104+1,0)</f>
        <v>0</v>
      </c>
      <c r="AC105" s="34" t="str">
        <f aca="false">IF(COUNT(E105,F105,I105,J105)=0,"",ROUND((MIN(IFERROR(E105/StepGoal,0),1)*100)*0.2+(MIN(IFERROR(F105/SleepGoal,0),1)*100)*0.2+(IF(L105="",0,IF(L105="Rest Day",100,MIN(IFERROR(M105/60,0),1)*100)))*0.25+(IFERROR(INDEX('Recovery Tracker'!$E$5:$E$369,MATCH(A105,'Recovery Tracker'!$A$5:$A$369,0))+0,70))*0.15+(MIN(IFERROR(I105/WaterGoal,0),1)*100)*0.1+(IF(J105="",0,MAX(0,100-MIN(ABS(J105-CalorieGoal)/CalorieGoal,1)*100)))*0.1,0))</f>
        <v/>
      </c>
    </row>
    <row r="106" customFormat="false" ht="15" hidden="false" customHeight="false" outlineLevel="0" collapsed="false">
      <c r="A106" s="35" t="n">
        <f aca="false">A105+1</f>
        <v>46124</v>
      </c>
      <c r="B106" s="36" t="str">
        <f aca="false">TEXT(A106,"ddd")</f>
        <v>Sun</v>
      </c>
      <c r="C106" s="36" t="n">
        <f aca="false">INT((A106-StartDate)/7)+1</f>
        <v>15</v>
      </c>
      <c r="D106" s="36" t="str">
        <f aca="false">TEXT(A106,"mmm")</f>
        <v>Apr</v>
      </c>
      <c r="E106" s="28"/>
      <c r="F106" s="29"/>
      <c r="G106" s="29"/>
      <c r="H106" s="30"/>
      <c r="I106" s="29"/>
      <c r="J106" s="28"/>
      <c r="K106" s="28"/>
      <c r="L106" s="31"/>
      <c r="M106" s="28"/>
      <c r="N106" s="31"/>
      <c r="O106" s="31"/>
      <c r="P106" s="31"/>
      <c r="Q106" s="31"/>
      <c r="R106" s="31"/>
      <c r="S106" s="32"/>
      <c r="T106" s="37" t="str">
        <f aca="false">IF(E106="","",E106/StepGoal)</f>
        <v/>
      </c>
      <c r="U106" s="37" t="str">
        <f aca="false">IF(F106="","",F106/SleepGoal)</f>
        <v/>
      </c>
      <c r="V106" s="37" t="str">
        <f aca="false">IF(I106="","",I106/WaterGoal)</f>
        <v/>
      </c>
      <c r="W106" s="37" t="str">
        <f aca="false">IF(COUNT(E106,F106,I106)=0,"",(IF(N(T106)&gt;=1,1,0)+IF(N(U106)&gt;=1,1,0)+IF(N(V106)&gt;=1,1,0))/3)</f>
        <v/>
      </c>
      <c r="X106" s="36" t="n">
        <f aca="false">IF(AND(L106&lt;&gt;"",L106&lt;&gt;"Rest Day"),1,0)</f>
        <v>0</v>
      </c>
      <c r="Y106" s="38" t="n">
        <f aca="false">IF(X106=1,Y105+1,0)</f>
        <v>0</v>
      </c>
      <c r="Z106" s="38" t="n">
        <f aca="false">IF(N(T106)&gt;=1,Z105+1,0)</f>
        <v>0</v>
      </c>
      <c r="AA106" s="38" t="n">
        <f aca="false">IF(N(U106)&gt;=1,AA105+1,0)</f>
        <v>0</v>
      </c>
      <c r="AB106" s="38" t="n">
        <f aca="false">IF(N(V106)&gt;=1,AB105+1,0)</f>
        <v>0</v>
      </c>
      <c r="AC106" s="38" t="str">
        <f aca="false">IF(COUNT(E106,F106,I106,J106)=0,"",ROUND((MIN(IFERROR(E106/StepGoal,0),1)*100)*0.2+(MIN(IFERROR(F106/SleepGoal,0),1)*100)*0.2+(IF(L106="",0,IF(L106="Rest Day",100,MIN(IFERROR(M106/60,0),1)*100)))*0.25+(IFERROR(INDEX('Recovery Tracker'!$E$5:$E$369,MATCH(A106,'Recovery Tracker'!$A$5:$A$369,0))+0,70))*0.15+(MIN(IFERROR(I106/WaterGoal,0),1)*100)*0.1+(IF(J106="",0,MAX(0,100-MIN(ABS(J106-CalorieGoal)/CalorieGoal,1)*100)))*0.1,0))</f>
        <v/>
      </c>
    </row>
    <row r="107" customFormat="false" ht="15" hidden="false" customHeight="false" outlineLevel="0" collapsed="false">
      <c r="A107" s="26" t="n">
        <f aca="false">A106+1</f>
        <v>46125</v>
      </c>
      <c r="B107" s="27" t="str">
        <f aca="false">TEXT(A107,"ddd")</f>
        <v>Mon</v>
      </c>
      <c r="C107" s="27" t="n">
        <f aca="false">INT((A107-StartDate)/7)+1</f>
        <v>15</v>
      </c>
      <c r="D107" s="27" t="str">
        <f aca="false">TEXT(A107,"mmm")</f>
        <v>Apr</v>
      </c>
      <c r="E107" s="28"/>
      <c r="F107" s="29"/>
      <c r="G107" s="29"/>
      <c r="H107" s="30"/>
      <c r="I107" s="29"/>
      <c r="J107" s="28"/>
      <c r="K107" s="28"/>
      <c r="L107" s="31"/>
      <c r="M107" s="28"/>
      <c r="N107" s="31"/>
      <c r="O107" s="31"/>
      <c r="P107" s="31"/>
      <c r="Q107" s="31"/>
      <c r="R107" s="31"/>
      <c r="S107" s="32"/>
      <c r="T107" s="33" t="str">
        <f aca="false">IF(E107="","",E107/StepGoal)</f>
        <v/>
      </c>
      <c r="U107" s="33" t="str">
        <f aca="false">IF(F107="","",F107/SleepGoal)</f>
        <v/>
      </c>
      <c r="V107" s="33" t="str">
        <f aca="false">IF(I107="","",I107/WaterGoal)</f>
        <v/>
      </c>
      <c r="W107" s="33" t="str">
        <f aca="false">IF(COUNT(E107,F107,I107)=0,"",(IF(N(T107)&gt;=1,1,0)+IF(N(U107)&gt;=1,1,0)+IF(N(V107)&gt;=1,1,0))/3)</f>
        <v/>
      </c>
      <c r="X107" s="27" t="n">
        <f aca="false">IF(AND(L107&lt;&gt;"",L107&lt;&gt;"Rest Day"),1,0)</f>
        <v>0</v>
      </c>
      <c r="Y107" s="34" t="n">
        <f aca="false">IF(X107=1,Y106+1,0)</f>
        <v>0</v>
      </c>
      <c r="Z107" s="34" t="n">
        <f aca="false">IF(N(T107)&gt;=1,Z106+1,0)</f>
        <v>0</v>
      </c>
      <c r="AA107" s="34" t="n">
        <f aca="false">IF(N(U107)&gt;=1,AA106+1,0)</f>
        <v>0</v>
      </c>
      <c r="AB107" s="34" t="n">
        <f aca="false">IF(N(V107)&gt;=1,AB106+1,0)</f>
        <v>0</v>
      </c>
      <c r="AC107" s="34" t="str">
        <f aca="false">IF(COUNT(E107,F107,I107,J107)=0,"",ROUND((MIN(IFERROR(E107/StepGoal,0),1)*100)*0.2+(MIN(IFERROR(F107/SleepGoal,0),1)*100)*0.2+(IF(L107="",0,IF(L107="Rest Day",100,MIN(IFERROR(M107/60,0),1)*100)))*0.25+(IFERROR(INDEX('Recovery Tracker'!$E$5:$E$369,MATCH(A107,'Recovery Tracker'!$A$5:$A$369,0))+0,70))*0.15+(MIN(IFERROR(I107/WaterGoal,0),1)*100)*0.1+(IF(J107="",0,MAX(0,100-MIN(ABS(J107-CalorieGoal)/CalorieGoal,1)*100)))*0.1,0))</f>
        <v/>
      </c>
    </row>
    <row r="108" customFormat="false" ht="15" hidden="false" customHeight="false" outlineLevel="0" collapsed="false">
      <c r="A108" s="35" t="n">
        <f aca="false">A107+1</f>
        <v>46126</v>
      </c>
      <c r="B108" s="36" t="str">
        <f aca="false">TEXT(A108,"ddd")</f>
        <v>Tue</v>
      </c>
      <c r="C108" s="36" t="n">
        <f aca="false">INT((A108-StartDate)/7)+1</f>
        <v>15</v>
      </c>
      <c r="D108" s="36" t="str">
        <f aca="false">TEXT(A108,"mmm")</f>
        <v>Apr</v>
      </c>
      <c r="E108" s="28"/>
      <c r="F108" s="29"/>
      <c r="G108" s="29"/>
      <c r="H108" s="30"/>
      <c r="I108" s="29"/>
      <c r="J108" s="28"/>
      <c r="K108" s="28"/>
      <c r="L108" s="31"/>
      <c r="M108" s="28"/>
      <c r="N108" s="31"/>
      <c r="O108" s="31"/>
      <c r="P108" s="31"/>
      <c r="Q108" s="31"/>
      <c r="R108" s="31"/>
      <c r="S108" s="32"/>
      <c r="T108" s="37" t="str">
        <f aca="false">IF(E108="","",E108/StepGoal)</f>
        <v/>
      </c>
      <c r="U108" s="37" t="str">
        <f aca="false">IF(F108="","",F108/SleepGoal)</f>
        <v/>
      </c>
      <c r="V108" s="37" t="str">
        <f aca="false">IF(I108="","",I108/WaterGoal)</f>
        <v/>
      </c>
      <c r="W108" s="37" t="str">
        <f aca="false">IF(COUNT(E108,F108,I108)=0,"",(IF(N(T108)&gt;=1,1,0)+IF(N(U108)&gt;=1,1,0)+IF(N(V108)&gt;=1,1,0))/3)</f>
        <v/>
      </c>
      <c r="X108" s="36" t="n">
        <f aca="false">IF(AND(L108&lt;&gt;"",L108&lt;&gt;"Rest Day"),1,0)</f>
        <v>0</v>
      </c>
      <c r="Y108" s="38" t="n">
        <f aca="false">IF(X108=1,Y107+1,0)</f>
        <v>0</v>
      </c>
      <c r="Z108" s="38" t="n">
        <f aca="false">IF(N(T108)&gt;=1,Z107+1,0)</f>
        <v>0</v>
      </c>
      <c r="AA108" s="38" t="n">
        <f aca="false">IF(N(U108)&gt;=1,AA107+1,0)</f>
        <v>0</v>
      </c>
      <c r="AB108" s="38" t="n">
        <f aca="false">IF(N(V108)&gt;=1,AB107+1,0)</f>
        <v>0</v>
      </c>
      <c r="AC108" s="38" t="str">
        <f aca="false">IF(COUNT(E108,F108,I108,J108)=0,"",ROUND((MIN(IFERROR(E108/StepGoal,0),1)*100)*0.2+(MIN(IFERROR(F108/SleepGoal,0),1)*100)*0.2+(IF(L108="",0,IF(L108="Rest Day",100,MIN(IFERROR(M108/60,0),1)*100)))*0.25+(IFERROR(INDEX('Recovery Tracker'!$E$5:$E$369,MATCH(A108,'Recovery Tracker'!$A$5:$A$369,0))+0,70))*0.15+(MIN(IFERROR(I108/WaterGoal,0),1)*100)*0.1+(IF(J108="",0,MAX(0,100-MIN(ABS(J108-CalorieGoal)/CalorieGoal,1)*100)))*0.1,0))</f>
        <v/>
      </c>
    </row>
    <row r="109" customFormat="false" ht="15" hidden="false" customHeight="false" outlineLevel="0" collapsed="false">
      <c r="A109" s="26" t="n">
        <f aca="false">A108+1</f>
        <v>46127</v>
      </c>
      <c r="B109" s="27" t="str">
        <f aca="false">TEXT(A109,"ddd")</f>
        <v>Wed</v>
      </c>
      <c r="C109" s="27" t="n">
        <f aca="false">INT((A109-StartDate)/7)+1</f>
        <v>15</v>
      </c>
      <c r="D109" s="27" t="str">
        <f aca="false">TEXT(A109,"mmm")</f>
        <v>Apr</v>
      </c>
      <c r="E109" s="28"/>
      <c r="F109" s="29"/>
      <c r="G109" s="29"/>
      <c r="H109" s="30"/>
      <c r="I109" s="29"/>
      <c r="J109" s="28"/>
      <c r="K109" s="28"/>
      <c r="L109" s="31"/>
      <c r="M109" s="28"/>
      <c r="N109" s="31"/>
      <c r="O109" s="31"/>
      <c r="P109" s="31"/>
      <c r="Q109" s="31"/>
      <c r="R109" s="31"/>
      <c r="S109" s="32"/>
      <c r="T109" s="33" t="str">
        <f aca="false">IF(E109="","",E109/StepGoal)</f>
        <v/>
      </c>
      <c r="U109" s="33" t="str">
        <f aca="false">IF(F109="","",F109/SleepGoal)</f>
        <v/>
      </c>
      <c r="V109" s="33" t="str">
        <f aca="false">IF(I109="","",I109/WaterGoal)</f>
        <v/>
      </c>
      <c r="W109" s="33" t="str">
        <f aca="false">IF(COUNT(E109,F109,I109)=0,"",(IF(N(T109)&gt;=1,1,0)+IF(N(U109)&gt;=1,1,0)+IF(N(V109)&gt;=1,1,0))/3)</f>
        <v/>
      </c>
      <c r="X109" s="27" t="n">
        <f aca="false">IF(AND(L109&lt;&gt;"",L109&lt;&gt;"Rest Day"),1,0)</f>
        <v>0</v>
      </c>
      <c r="Y109" s="34" t="n">
        <f aca="false">IF(X109=1,Y108+1,0)</f>
        <v>0</v>
      </c>
      <c r="Z109" s="34" t="n">
        <f aca="false">IF(N(T109)&gt;=1,Z108+1,0)</f>
        <v>0</v>
      </c>
      <c r="AA109" s="34" t="n">
        <f aca="false">IF(N(U109)&gt;=1,AA108+1,0)</f>
        <v>0</v>
      </c>
      <c r="AB109" s="34" t="n">
        <f aca="false">IF(N(V109)&gt;=1,AB108+1,0)</f>
        <v>0</v>
      </c>
      <c r="AC109" s="34" t="str">
        <f aca="false">IF(COUNT(E109,F109,I109,J109)=0,"",ROUND((MIN(IFERROR(E109/StepGoal,0),1)*100)*0.2+(MIN(IFERROR(F109/SleepGoal,0),1)*100)*0.2+(IF(L109="",0,IF(L109="Rest Day",100,MIN(IFERROR(M109/60,0),1)*100)))*0.25+(IFERROR(INDEX('Recovery Tracker'!$E$5:$E$369,MATCH(A109,'Recovery Tracker'!$A$5:$A$369,0))+0,70))*0.15+(MIN(IFERROR(I109/WaterGoal,0),1)*100)*0.1+(IF(J109="",0,MAX(0,100-MIN(ABS(J109-CalorieGoal)/CalorieGoal,1)*100)))*0.1,0))</f>
        <v/>
      </c>
    </row>
    <row r="110" customFormat="false" ht="15" hidden="false" customHeight="false" outlineLevel="0" collapsed="false">
      <c r="A110" s="35" t="n">
        <f aca="false">A109+1</f>
        <v>46128</v>
      </c>
      <c r="B110" s="36" t="str">
        <f aca="false">TEXT(A110,"ddd")</f>
        <v>Thu</v>
      </c>
      <c r="C110" s="36" t="n">
        <f aca="false">INT((A110-StartDate)/7)+1</f>
        <v>16</v>
      </c>
      <c r="D110" s="36" t="str">
        <f aca="false">TEXT(A110,"mmm")</f>
        <v>Apr</v>
      </c>
      <c r="E110" s="28"/>
      <c r="F110" s="29"/>
      <c r="G110" s="29"/>
      <c r="H110" s="30"/>
      <c r="I110" s="29"/>
      <c r="J110" s="28"/>
      <c r="K110" s="28"/>
      <c r="L110" s="31"/>
      <c r="M110" s="28"/>
      <c r="N110" s="31"/>
      <c r="O110" s="31"/>
      <c r="P110" s="31"/>
      <c r="Q110" s="31"/>
      <c r="R110" s="31"/>
      <c r="S110" s="32"/>
      <c r="T110" s="37" t="str">
        <f aca="false">IF(E110="","",E110/StepGoal)</f>
        <v/>
      </c>
      <c r="U110" s="37" t="str">
        <f aca="false">IF(F110="","",F110/SleepGoal)</f>
        <v/>
      </c>
      <c r="V110" s="37" t="str">
        <f aca="false">IF(I110="","",I110/WaterGoal)</f>
        <v/>
      </c>
      <c r="W110" s="37" t="str">
        <f aca="false">IF(COUNT(E110,F110,I110)=0,"",(IF(N(T110)&gt;=1,1,0)+IF(N(U110)&gt;=1,1,0)+IF(N(V110)&gt;=1,1,0))/3)</f>
        <v/>
      </c>
      <c r="X110" s="36" t="n">
        <f aca="false">IF(AND(L110&lt;&gt;"",L110&lt;&gt;"Rest Day"),1,0)</f>
        <v>0</v>
      </c>
      <c r="Y110" s="38" t="n">
        <f aca="false">IF(X110=1,Y109+1,0)</f>
        <v>0</v>
      </c>
      <c r="Z110" s="38" t="n">
        <f aca="false">IF(N(T110)&gt;=1,Z109+1,0)</f>
        <v>0</v>
      </c>
      <c r="AA110" s="38" t="n">
        <f aca="false">IF(N(U110)&gt;=1,AA109+1,0)</f>
        <v>0</v>
      </c>
      <c r="AB110" s="38" t="n">
        <f aca="false">IF(N(V110)&gt;=1,AB109+1,0)</f>
        <v>0</v>
      </c>
      <c r="AC110" s="38" t="str">
        <f aca="false">IF(COUNT(E110,F110,I110,J110)=0,"",ROUND((MIN(IFERROR(E110/StepGoal,0),1)*100)*0.2+(MIN(IFERROR(F110/SleepGoal,0),1)*100)*0.2+(IF(L110="",0,IF(L110="Rest Day",100,MIN(IFERROR(M110/60,0),1)*100)))*0.25+(IFERROR(INDEX('Recovery Tracker'!$E$5:$E$369,MATCH(A110,'Recovery Tracker'!$A$5:$A$369,0))+0,70))*0.15+(MIN(IFERROR(I110/WaterGoal,0),1)*100)*0.1+(IF(J110="",0,MAX(0,100-MIN(ABS(J110-CalorieGoal)/CalorieGoal,1)*100)))*0.1,0))</f>
        <v/>
      </c>
    </row>
    <row r="111" customFormat="false" ht="15" hidden="false" customHeight="false" outlineLevel="0" collapsed="false">
      <c r="A111" s="26" t="n">
        <f aca="false">A110+1</f>
        <v>46129</v>
      </c>
      <c r="B111" s="27" t="str">
        <f aca="false">TEXT(A111,"ddd")</f>
        <v>Fri</v>
      </c>
      <c r="C111" s="27" t="n">
        <f aca="false">INT((A111-StartDate)/7)+1</f>
        <v>16</v>
      </c>
      <c r="D111" s="27" t="str">
        <f aca="false">TEXT(A111,"mmm")</f>
        <v>Apr</v>
      </c>
      <c r="E111" s="28"/>
      <c r="F111" s="29"/>
      <c r="G111" s="29"/>
      <c r="H111" s="30"/>
      <c r="I111" s="29"/>
      <c r="J111" s="28"/>
      <c r="K111" s="28"/>
      <c r="L111" s="31"/>
      <c r="M111" s="28"/>
      <c r="N111" s="31"/>
      <c r="O111" s="31"/>
      <c r="P111" s="31"/>
      <c r="Q111" s="31"/>
      <c r="R111" s="31"/>
      <c r="S111" s="32"/>
      <c r="T111" s="33" t="str">
        <f aca="false">IF(E111="","",E111/StepGoal)</f>
        <v/>
      </c>
      <c r="U111" s="33" t="str">
        <f aca="false">IF(F111="","",F111/SleepGoal)</f>
        <v/>
      </c>
      <c r="V111" s="33" t="str">
        <f aca="false">IF(I111="","",I111/WaterGoal)</f>
        <v/>
      </c>
      <c r="W111" s="33" t="str">
        <f aca="false">IF(COUNT(E111,F111,I111)=0,"",(IF(N(T111)&gt;=1,1,0)+IF(N(U111)&gt;=1,1,0)+IF(N(V111)&gt;=1,1,0))/3)</f>
        <v/>
      </c>
      <c r="X111" s="27" t="n">
        <f aca="false">IF(AND(L111&lt;&gt;"",L111&lt;&gt;"Rest Day"),1,0)</f>
        <v>0</v>
      </c>
      <c r="Y111" s="34" t="n">
        <f aca="false">IF(X111=1,Y110+1,0)</f>
        <v>0</v>
      </c>
      <c r="Z111" s="34" t="n">
        <f aca="false">IF(N(T111)&gt;=1,Z110+1,0)</f>
        <v>0</v>
      </c>
      <c r="AA111" s="34" t="n">
        <f aca="false">IF(N(U111)&gt;=1,AA110+1,0)</f>
        <v>0</v>
      </c>
      <c r="AB111" s="34" t="n">
        <f aca="false">IF(N(V111)&gt;=1,AB110+1,0)</f>
        <v>0</v>
      </c>
      <c r="AC111" s="34" t="str">
        <f aca="false">IF(COUNT(E111,F111,I111,J111)=0,"",ROUND((MIN(IFERROR(E111/StepGoal,0),1)*100)*0.2+(MIN(IFERROR(F111/SleepGoal,0),1)*100)*0.2+(IF(L111="",0,IF(L111="Rest Day",100,MIN(IFERROR(M111/60,0),1)*100)))*0.25+(IFERROR(INDEX('Recovery Tracker'!$E$5:$E$369,MATCH(A111,'Recovery Tracker'!$A$5:$A$369,0))+0,70))*0.15+(MIN(IFERROR(I111/WaterGoal,0),1)*100)*0.1+(IF(J111="",0,MAX(0,100-MIN(ABS(J111-CalorieGoal)/CalorieGoal,1)*100)))*0.1,0))</f>
        <v/>
      </c>
    </row>
    <row r="112" customFormat="false" ht="15" hidden="false" customHeight="false" outlineLevel="0" collapsed="false">
      <c r="A112" s="35" t="n">
        <f aca="false">A111+1</f>
        <v>46130</v>
      </c>
      <c r="B112" s="36" t="str">
        <f aca="false">TEXT(A112,"ddd")</f>
        <v>Sat</v>
      </c>
      <c r="C112" s="36" t="n">
        <f aca="false">INT((A112-StartDate)/7)+1</f>
        <v>16</v>
      </c>
      <c r="D112" s="36" t="str">
        <f aca="false">TEXT(A112,"mmm")</f>
        <v>Apr</v>
      </c>
      <c r="E112" s="28"/>
      <c r="F112" s="29"/>
      <c r="G112" s="29"/>
      <c r="H112" s="30"/>
      <c r="I112" s="29"/>
      <c r="J112" s="28"/>
      <c r="K112" s="28"/>
      <c r="L112" s="31"/>
      <c r="M112" s="28"/>
      <c r="N112" s="31"/>
      <c r="O112" s="31"/>
      <c r="P112" s="31"/>
      <c r="Q112" s="31"/>
      <c r="R112" s="31"/>
      <c r="S112" s="32"/>
      <c r="T112" s="37" t="str">
        <f aca="false">IF(E112="","",E112/StepGoal)</f>
        <v/>
      </c>
      <c r="U112" s="37" t="str">
        <f aca="false">IF(F112="","",F112/SleepGoal)</f>
        <v/>
      </c>
      <c r="V112" s="37" t="str">
        <f aca="false">IF(I112="","",I112/WaterGoal)</f>
        <v/>
      </c>
      <c r="W112" s="37" t="str">
        <f aca="false">IF(COUNT(E112,F112,I112)=0,"",(IF(N(T112)&gt;=1,1,0)+IF(N(U112)&gt;=1,1,0)+IF(N(V112)&gt;=1,1,0))/3)</f>
        <v/>
      </c>
      <c r="X112" s="36" t="n">
        <f aca="false">IF(AND(L112&lt;&gt;"",L112&lt;&gt;"Rest Day"),1,0)</f>
        <v>0</v>
      </c>
      <c r="Y112" s="38" t="n">
        <f aca="false">IF(X112=1,Y111+1,0)</f>
        <v>0</v>
      </c>
      <c r="Z112" s="38" t="n">
        <f aca="false">IF(N(T112)&gt;=1,Z111+1,0)</f>
        <v>0</v>
      </c>
      <c r="AA112" s="38" t="n">
        <f aca="false">IF(N(U112)&gt;=1,AA111+1,0)</f>
        <v>0</v>
      </c>
      <c r="AB112" s="38" t="n">
        <f aca="false">IF(N(V112)&gt;=1,AB111+1,0)</f>
        <v>0</v>
      </c>
      <c r="AC112" s="38" t="str">
        <f aca="false">IF(COUNT(E112,F112,I112,J112)=0,"",ROUND((MIN(IFERROR(E112/StepGoal,0),1)*100)*0.2+(MIN(IFERROR(F112/SleepGoal,0),1)*100)*0.2+(IF(L112="",0,IF(L112="Rest Day",100,MIN(IFERROR(M112/60,0),1)*100)))*0.25+(IFERROR(INDEX('Recovery Tracker'!$E$5:$E$369,MATCH(A112,'Recovery Tracker'!$A$5:$A$369,0))+0,70))*0.15+(MIN(IFERROR(I112/WaterGoal,0),1)*100)*0.1+(IF(J112="",0,MAX(0,100-MIN(ABS(J112-CalorieGoal)/CalorieGoal,1)*100)))*0.1,0))</f>
        <v/>
      </c>
    </row>
    <row r="113" customFormat="false" ht="15" hidden="false" customHeight="false" outlineLevel="0" collapsed="false">
      <c r="A113" s="26" t="n">
        <f aca="false">A112+1</f>
        <v>46131</v>
      </c>
      <c r="B113" s="27" t="str">
        <f aca="false">TEXT(A113,"ddd")</f>
        <v>Sun</v>
      </c>
      <c r="C113" s="27" t="n">
        <f aca="false">INT((A113-StartDate)/7)+1</f>
        <v>16</v>
      </c>
      <c r="D113" s="27" t="str">
        <f aca="false">TEXT(A113,"mmm")</f>
        <v>Apr</v>
      </c>
      <c r="E113" s="28"/>
      <c r="F113" s="29"/>
      <c r="G113" s="29"/>
      <c r="H113" s="30"/>
      <c r="I113" s="29"/>
      <c r="J113" s="28"/>
      <c r="K113" s="28"/>
      <c r="L113" s="31"/>
      <c r="M113" s="28"/>
      <c r="N113" s="31"/>
      <c r="O113" s="31"/>
      <c r="P113" s="31"/>
      <c r="Q113" s="31"/>
      <c r="R113" s="31"/>
      <c r="S113" s="32"/>
      <c r="T113" s="33" t="str">
        <f aca="false">IF(E113="","",E113/StepGoal)</f>
        <v/>
      </c>
      <c r="U113" s="33" t="str">
        <f aca="false">IF(F113="","",F113/SleepGoal)</f>
        <v/>
      </c>
      <c r="V113" s="33" t="str">
        <f aca="false">IF(I113="","",I113/WaterGoal)</f>
        <v/>
      </c>
      <c r="W113" s="33" t="str">
        <f aca="false">IF(COUNT(E113,F113,I113)=0,"",(IF(N(T113)&gt;=1,1,0)+IF(N(U113)&gt;=1,1,0)+IF(N(V113)&gt;=1,1,0))/3)</f>
        <v/>
      </c>
      <c r="X113" s="27" t="n">
        <f aca="false">IF(AND(L113&lt;&gt;"",L113&lt;&gt;"Rest Day"),1,0)</f>
        <v>0</v>
      </c>
      <c r="Y113" s="34" t="n">
        <f aca="false">IF(X113=1,Y112+1,0)</f>
        <v>0</v>
      </c>
      <c r="Z113" s="34" t="n">
        <f aca="false">IF(N(T113)&gt;=1,Z112+1,0)</f>
        <v>0</v>
      </c>
      <c r="AA113" s="34" t="n">
        <f aca="false">IF(N(U113)&gt;=1,AA112+1,0)</f>
        <v>0</v>
      </c>
      <c r="AB113" s="34" t="n">
        <f aca="false">IF(N(V113)&gt;=1,AB112+1,0)</f>
        <v>0</v>
      </c>
      <c r="AC113" s="34" t="str">
        <f aca="false">IF(COUNT(E113,F113,I113,J113)=0,"",ROUND((MIN(IFERROR(E113/StepGoal,0),1)*100)*0.2+(MIN(IFERROR(F113/SleepGoal,0),1)*100)*0.2+(IF(L113="",0,IF(L113="Rest Day",100,MIN(IFERROR(M113/60,0),1)*100)))*0.25+(IFERROR(INDEX('Recovery Tracker'!$E$5:$E$369,MATCH(A113,'Recovery Tracker'!$A$5:$A$369,0))+0,70))*0.15+(MIN(IFERROR(I113/WaterGoal,0),1)*100)*0.1+(IF(J113="",0,MAX(0,100-MIN(ABS(J113-CalorieGoal)/CalorieGoal,1)*100)))*0.1,0))</f>
        <v/>
      </c>
    </row>
    <row r="114" customFormat="false" ht="15" hidden="false" customHeight="false" outlineLevel="0" collapsed="false">
      <c r="A114" s="35" t="n">
        <f aca="false">A113+1</f>
        <v>46132</v>
      </c>
      <c r="B114" s="36" t="str">
        <f aca="false">TEXT(A114,"ddd")</f>
        <v>Mon</v>
      </c>
      <c r="C114" s="36" t="n">
        <f aca="false">INT((A114-StartDate)/7)+1</f>
        <v>16</v>
      </c>
      <c r="D114" s="36" t="str">
        <f aca="false">TEXT(A114,"mmm")</f>
        <v>Apr</v>
      </c>
      <c r="E114" s="28"/>
      <c r="F114" s="29"/>
      <c r="G114" s="29"/>
      <c r="H114" s="30"/>
      <c r="I114" s="29"/>
      <c r="J114" s="28"/>
      <c r="K114" s="28"/>
      <c r="L114" s="31"/>
      <c r="M114" s="28"/>
      <c r="N114" s="31"/>
      <c r="O114" s="31"/>
      <c r="P114" s="31"/>
      <c r="Q114" s="31"/>
      <c r="R114" s="31"/>
      <c r="S114" s="32"/>
      <c r="T114" s="37" t="str">
        <f aca="false">IF(E114="","",E114/StepGoal)</f>
        <v/>
      </c>
      <c r="U114" s="37" t="str">
        <f aca="false">IF(F114="","",F114/SleepGoal)</f>
        <v/>
      </c>
      <c r="V114" s="37" t="str">
        <f aca="false">IF(I114="","",I114/WaterGoal)</f>
        <v/>
      </c>
      <c r="W114" s="37" t="str">
        <f aca="false">IF(COUNT(E114,F114,I114)=0,"",(IF(N(T114)&gt;=1,1,0)+IF(N(U114)&gt;=1,1,0)+IF(N(V114)&gt;=1,1,0))/3)</f>
        <v/>
      </c>
      <c r="X114" s="36" t="n">
        <f aca="false">IF(AND(L114&lt;&gt;"",L114&lt;&gt;"Rest Day"),1,0)</f>
        <v>0</v>
      </c>
      <c r="Y114" s="38" t="n">
        <f aca="false">IF(X114=1,Y113+1,0)</f>
        <v>0</v>
      </c>
      <c r="Z114" s="38" t="n">
        <f aca="false">IF(N(T114)&gt;=1,Z113+1,0)</f>
        <v>0</v>
      </c>
      <c r="AA114" s="38" t="n">
        <f aca="false">IF(N(U114)&gt;=1,AA113+1,0)</f>
        <v>0</v>
      </c>
      <c r="AB114" s="38" t="n">
        <f aca="false">IF(N(V114)&gt;=1,AB113+1,0)</f>
        <v>0</v>
      </c>
      <c r="AC114" s="38" t="str">
        <f aca="false">IF(COUNT(E114,F114,I114,J114)=0,"",ROUND((MIN(IFERROR(E114/StepGoal,0),1)*100)*0.2+(MIN(IFERROR(F114/SleepGoal,0),1)*100)*0.2+(IF(L114="",0,IF(L114="Rest Day",100,MIN(IFERROR(M114/60,0),1)*100)))*0.25+(IFERROR(INDEX('Recovery Tracker'!$E$5:$E$369,MATCH(A114,'Recovery Tracker'!$A$5:$A$369,0))+0,70))*0.15+(MIN(IFERROR(I114/WaterGoal,0),1)*100)*0.1+(IF(J114="",0,MAX(0,100-MIN(ABS(J114-CalorieGoal)/CalorieGoal,1)*100)))*0.1,0))</f>
        <v/>
      </c>
    </row>
    <row r="115" customFormat="false" ht="15" hidden="false" customHeight="false" outlineLevel="0" collapsed="false">
      <c r="A115" s="26" t="n">
        <f aca="false">A114+1</f>
        <v>46133</v>
      </c>
      <c r="B115" s="27" t="str">
        <f aca="false">TEXT(A115,"ddd")</f>
        <v>Tue</v>
      </c>
      <c r="C115" s="27" t="n">
        <f aca="false">INT((A115-StartDate)/7)+1</f>
        <v>16</v>
      </c>
      <c r="D115" s="27" t="str">
        <f aca="false">TEXT(A115,"mmm")</f>
        <v>Apr</v>
      </c>
      <c r="E115" s="28"/>
      <c r="F115" s="29"/>
      <c r="G115" s="29"/>
      <c r="H115" s="30"/>
      <c r="I115" s="29"/>
      <c r="J115" s="28"/>
      <c r="K115" s="28"/>
      <c r="L115" s="31"/>
      <c r="M115" s="28"/>
      <c r="N115" s="31"/>
      <c r="O115" s="31"/>
      <c r="P115" s="31"/>
      <c r="Q115" s="31"/>
      <c r="R115" s="31"/>
      <c r="S115" s="32"/>
      <c r="T115" s="33" t="str">
        <f aca="false">IF(E115="","",E115/StepGoal)</f>
        <v/>
      </c>
      <c r="U115" s="33" t="str">
        <f aca="false">IF(F115="","",F115/SleepGoal)</f>
        <v/>
      </c>
      <c r="V115" s="33" t="str">
        <f aca="false">IF(I115="","",I115/WaterGoal)</f>
        <v/>
      </c>
      <c r="W115" s="33" t="str">
        <f aca="false">IF(COUNT(E115,F115,I115)=0,"",(IF(N(T115)&gt;=1,1,0)+IF(N(U115)&gt;=1,1,0)+IF(N(V115)&gt;=1,1,0))/3)</f>
        <v/>
      </c>
      <c r="X115" s="27" t="n">
        <f aca="false">IF(AND(L115&lt;&gt;"",L115&lt;&gt;"Rest Day"),1,0)</f>
        <v>0</v>
      </c>
      <c r="Y115" s="34" t="n">
        <f aca="false">IF(X115=1,Y114+1,0)</f>
        <v>0</v>
      </c>
      <c r="Z115" s="34" t="n">
        <f aca="false">IF(N(T115)&gt;=1,Z114+1,0)</f>
        <v>0</v>
      </c>
      <c r="AA115" s="34" t="n">
        <f aca="false">IF(N(U115)&gt;=1,AA114+1,0)</f>
        <v>0</v>
      </c>
      <c r="AB115" s="34" t="n">
        <f aca="false">IF(N(V115)&gt;=1,AB114+1,0)</f>
        <v>0</v>
      </c>
      <c r="AC115" s="34" t="str">
        <f aca="false">IF(COUNT(E115,F115,I115,J115)=0,"",ROUND((MIN(IFERROR(E115/StepGoal,0),1)*100)*0.2+(MIN(IFERROR(F115/SleepGoal,0),1)*100)*0.2+(IF(L115="",0,IF(L115="Rest Day",100,MIN(IFERROR(M115/60,0),1)*100)))*0.25+(IFERROR(INDEX('Recovery Tracker'!$E$5:$E$369,MATCH(A115,'Recovery Tracker'!$A$5:$A$369,0))+0,70))*0.15+(MIN(IFERROR(I115/WaterGoal,0),1)*100)*0.1+(IF(J115="",0,MAX(0,100-MIN(ABS(J115-CalorieGoal)/CalorieGoal,1)*100)))*0.1,0))</f>
        <v/>
      </c>
    </row>
    <row r="116" customFormat="false" ht="15" hidden="false" customHeight="false" outlineLevel="0" collapsed="false">
      <c r="A116" s="35" t="n">
        <f aca="false">A115+1</f>
        <v>46134</v>
      </c>
      <c r="B116" s="36" t="str">
        <f aca="false">TEXT(A116,"ddd")</f>
        <v>Wed</v>
      </c>
      <c r="C116" s="36" t="n">
        <f aca="false">INT((A116-StartDate)/7)+1</f>
        <v>16</v>
      </c>
      <c r="D116" s="36" t="str">
        <f aca="false">TEXT(A116,"mmm")</f>
        <v>Apr</v>
      </c>
      <c r="E116" s="28"/>
      <c r="F116" s="29"/>
      <c r="G116" s="29"/>
      <c r="H116" s="30"/>
      <c r="I116" s="29"/>
      <c r="J116" s="28"/>
      <c r="K116" s="28"/>
      <c r="L116" s="31"/>
      <c r="M116" s="28"/>
      <c r="N116" s="31"/>
      <c r="O116" s="31"/>
      <c r="P116" s="31"/>
      <c r="Q116" s="31"/>
      <c r="R116" s="31"/>
      <c r="S116" s="32"/>
      <c r="T116" s="37" t="str">
        <f aca="false">IF(E116="","",E116/StepGoal)</f>
        <v/>
      </c>
      <c r="U116" s="37" t="str">
        <f aca="false">IF(F116="","",F116/SleepGoal)</f>
        <v/>
      </c>
      <c r="V116" s="37" t="str">
        <f aca="false">IF(I116="","",I116/WaterGoal)</f>
        <v/>
      </c>
      <c r="W116" s="37" t="str">
        <f aca="false">IF(COUNT(E116,F116,I116)=0,"",(IF(N(T116)&gt;=1,1,0)+IF(N(U116)&gt;=1,1,0)+IF(N(V116)&gt;=1,1,0))/3)</f>
        <v/>
      </c>
      <c r="X116" s="36" t="n">
        <f aca="false">IF(AND(L116&lt;&gt;"",L116&lt;&gt;"Rest Day"),1,0)</f>
        <v>0</v>
      </c>
      <c r="Y116" s="38" t="n">
        <f aca="false">IF(X116=1,Y115+1,0)</f>
        <v>0</v>
      </c>
      <c r="Z116" s="38" t="n">
        <f aca="false">IF(N(T116)&gt;=1,Z115+1,0)</f>
        <v>0</v>
      </c>
      <c r="AA116" s="38" t="n">
        <f aca="false">IF(N(U116)&gt;=1,AA115+1,0)</f>
        <v>0</v>
      </c>
      <c r="AB116" s="38" t="n">
        <f aca="false">IF(N(V116)&gt;=1,AB115+1,0)</f>
        <v>0</v>
      </c>
      <c r="AC116" s="38" t="str">
        <f aca="false">IF(COUNT(E116,F116,I116,J116)=0,"",ROUND((MIN(IFERROR(E116/StepGoal,0),1)*100)*0.2+(MIN(IFERROR(F116/SleepGoal,0),1)*100)*0.2+(IF(L116="",0,IF(L116="Rest Day",100,MIN(IFERROR(M116/60,0),1)*100)))*0.25+(IFERROR(INDEX('Recovery Tracker'!$E$5:$E$369,MATCH(A116,'Recovery Tracker'!$A$5:$A$369,0))+0,70))*0.15+(MIN(IFERROR(I116/WaterGoal,0),1)*100)*0.1+(IF(J116="",0,MAX(0,100-MIN(ABS(J116-CalorieGoal)/CalorieGoal,1)*100)))*0.1,0))</f>
        <v/>
      </c>
    </row>
    <row r="117" customFormat="false" ht="15" hidden="false" customHeight="false" outlineLevel="0" collapsed="false">
      <c r="A117" s="26" t="n">
        <f aca="false">A116+1</f>
        <v>46135</v>
      </c>
      <c r="B117" s="27" t="str">
        <f aca="false">TEXT(A117,"ddd")</f>
        <v>Thu</v>
      </c>
      <c r="C117" s="27" t="n">
        <f aca="false">INT((A117-StartDate)/7)+1</f>
        <v>17</v>
      </c>
      <c r="D117" s="27" t="str">
        <f aca="false">TEXT(A117,"mmm")</f>
        <v>Apr</v>
      </c>
      <c r="E117" s="28"/>
      <c r="F117" s="29"/>
      <c r="G117" s="29"/>
      <c r="H117" s="30"/>
      <c r="I117" s="29"/>
      <c r="J117" s="28"/>
      <c r="K117" s="28"/>
      <c r="L117" s="31"/>
      <c r="M117" s="28"/>
      <c r="N117" s="31"/>
      <c r="O117" s="31"/>
      <c r="P117" s="31"/>
      <c r="Q117" s="31"/>
      <c r="R117" s="31"/>
      <c r="S117" s="32"/>
      <c r="T117" s="33" t="str">
        <f aca="false">IF(E117="","",E117/StepGoal)</f>
        <v/>
      </c>
      <c r="U117" s="33" t="str">
        <f aca="false">IF(F117="","",F117/SleepGoal)</f>
        <v/>
      </c>
      <c r="V117" s="33" t="str">
        <f aca="false">IF(I117="","",I117/WaterGoal)</f>
        <v/>
      </c>
      <c r="W117" s="33" t="str">
        <f aca="false">IF(COUNT(E117,F117,I117)=0,"",(IF(N(T117)&gt;=1,1,0)+IF(N(U117)&gt;=1,1,0)+IF(N(V117)&gt;=1,1,0))/3)</f>
        <v/>
      </c>
      <c r="X117" s="27" t="n">
        <f aca="false">IF(AND(L117&lt;&gt;"",L117&lt;&gt;"Rest Day"),1,0)</f>
        <v>0</v>
      </c>
      <c r="Y117" s="34" t="n">
        <f aca="false">IF(X117=1,Y116+1,0)</f>
        <v>0</v>
      </c>
      <c r="Z117" s="34" t="n">
        <f aca="false">IF(N(T117)&gt;=1,Z116+1,0)</f>
        <v>0</v>
      </c>
      <c r="AA117" s="34" t="n">
        <f aca="false">IF(N(U117)&gt;=1,AA116+1,0)</f>
        <v>0</v>
      </c>
      <c r="AB117" s="34" t="n">
        <f aca="false">IF(N(V117)&gt;=1,AB116+1,0)</f>
        <v>0</v>
      </c>
      <c r="AC117" s="34" t="str">
        <f aca="false">IF(COUNT(E117,F117,I117,J117)=0,"",ROUND((MIN(IFERROR(E117/StepGoal,0),1)*100)*0.2+(MIN(IFERROR(F117/SleepGoal,0),1)*100)*0.2+(IF(L117="",0,IF(L117="Rest Day",100,MIN(IFERROR(M117/60,0),1)*100)))*0.25+(IFERROR(INDEX('Recovery Tracker'!$E$5:$E$369,MATCH(A117,'Recovery Tracker'!$A$5:$A$369,0))+0,70))*0.15+(MIN(IFERROR(I117/WaterGoal,0),1)*100)*0.1+(IF(J117="",0,MAX(0,100-MIN(ABS(J117-CalorieGoal)/CalorieGoal,1)*100)))*0.1,0))</f>
        <v/>
      </c>
    </row>
    <row r="118" customFormat="false" ht="15" hidden="false" customHeight="false" outlineLevel="0" collapsed="false">
      <c r="A118" s="35" t="n">
        <f aca="false">A117+1</f>
        <v>46136</v>
      </c>
      <c r="B118" s="36" t="str">
        <f aca="false">TEXT(A118,"ddd")</f>
        <v>Fri</v>
      </c>
      <c r="C118" s="36" t="n">
        <f aca="false">INT((A118-StartDate)/7)+1</f>
        <v>17</v>
      </c>
      <c r="D118" s="36" t="str">
        <f aca="false">TEXT(A118,"mmm")</f>
        <v>Apr</v>
      </c>
      <c r="E118" s="28"/>
      <c r="F118" s="29"/>
      <c r="G118" s="29"/>
      <c r="H118" s="30"/>
      <c r="I118" s="29"/>
      <c r="J118" s="28"/>
      <c r="K118" s="28"/>
      <c r="L118" s="31"/>
      <c r="M118" s="28"/>
      <c r="N118" s="31"/>
      <c r="O118" s="31"/>
      <c r="P118" s="31"/>
      <c r="Q118" s="31"/>
      <c r="R118" s="31"/>
      <c r="S118" s="32"/>
      <c r="T118" s="37" t="str">
        <f aca="false">IF(E118="","",E118/StepGoal)</f>
        <v/>
      </c>
      <c r="U118" s="37" t="str">
        <f aca="false">IF(F118="","",F118/SleepGoal)</f>
        <v/>
      </c>
      <c r="V118" s="37" t="str">
        <f aca="false">IF(I118="","",I118/WaterGoal)</f>
        <v/>
      </c>
      <c r="W118" s="37" t="str">
        <f aca="false">IF(COUNT(E118,F118,I118)=0,"",(IF(N(T118)&gt;=1,1,0)+IF(N(U118)&gt;=1,1,0)+IF(N(V118)&gt;=1,1,0))/3)</f>
        <v/>
      </c>
      <c r="X118" s="36" t="n">
        <f aca="false">IF(AND(L118&lt;&gt;"",L118&lt;&gt;"Rest Day"),1,0)</f>
        <v>0</v>
      </c>
      <c r="Y118" s="38" t="n">
        <f aca="false">IF(X118=1,Y117+1,0)</f>
        <v>0</v>
      </c>
      <c r="Z118" s="38" t="n">
        <f aca="false">IF(N(T118)&gt;=1,Z117+1,0)</f>
        <v>0</v>
      </c>
      <c r="AA118" s="38" t="n">
        <f aca="false">IF(N(U118)&gt;=1,AA117+1,0)</f>
        <v>0</v>
      </c>
      <c r="AB118" s="38" t="n">
        <f aca="false">IF(N(V118)&gt;=1,AB117+1,0)</f>
        <v>0</v>
      </c>
      <c r="AC118" s="38" t="str">
        <f aca="false">IF(COUNT(E118,F118,I118,J118)=0,"",ROUND((MIN(IFERROR(E118/StepGoal,0),1)*100)*0.2+(MIN(IFERROR(F118/SleepGoal,0),1)*100)*0.2+(IF(L118="",0,IF(L118="Rest Day",100,MIN(IFERROR(M118/60,0),1)*100)))*0.25+(IFERROR(INDEX('Recovery Tracker'!$E$5:$E$369,MATCH(A118,'Recovery Tracker'!$A$5:$A$369,0))+0,70))*0.15+(MIN(IFERROR(I118/WaterGoal,0),1)*100)*0.1+(IF(J118="",0,MAX(0,100-MIN(ABS(J118-CalorieGoal)/CalorieGoal,1)*100)))*0.1,0))</f>
        <v/>
      </c>
    </row>
    <row r="119" customFormat="false" ht="15" hidden="false" customHeight="false" outlineLevel="0" collapsed="false">
      <c r="A119" s="26" t="n">
        <f aca="false">A118+1</f>
        <v>46137</v>
      </c>
      <c r="B119" s="27" t="str">
        <f aca="false">TEXT(A119,"ddd")</f>
        <v>Sat</v>
      </c>
      <c r="C119" s="27" t="n">
        <f aca="false">INT((A119-StartDate)/7)+1</f>
        <v>17</v>
      </c>
      <c r="D119" s="27" t="str">
        <f aca="false">TEXT(A119,"mmm")</f>
        <v>Apr</v>
      </c>
      <c r="E119" s="28"/>
      <c r="F119" s="29"/>
      <c r="G119" s="29"/>
      <c r="H119" s="30"/>
      <c r="I119" s="29"/>
      <c r="J119" s="28"/>
      <c r="K119" s="28"/>
      <c r="L119" s="31"/>
      <c r="M119" s="28"/>
      <c r="N119" s="31"/>
      <c r="O119" s="31"/>
      <c r="P119" s="31"/>
      <c r="Q119" s="31"/>
      <c r="R119" s="31"/>
      <c r="S119" s="32"/>
      <c r="T119" s="33" t="str">
        <f aca="false">IF(E119="","",E119/StepGoal)</f>
        <v/>
      </c>
      <c r="U119" s="33" t="str">
        <f aca="false">IF(F119="","",F119/SleepGoal)</f>
        <v/>
      </c>
      <c r="V119" s="33" t="str">
        <f aca="false">IF(I119="","",I119/WaterGoal)</f>
        <v/>
      </c>
      <c r="W119" s="33" t="str">
        <f aca="false">IF(COUNT(E119,F119,I119)=0,"",(IF(N(T119)&gt;=1,1,0)+IF(N(U119)&gt;=1,1,0)+IF(N(V119)&gt;=1,1,0))/3)</f>
        <v/>
      </c>
      <c r="X119" s="27" t="n">
        <f aca="false">IF(AND(L119&lt;&gt;"",L119&lt;&gt;"Rest Day"),1,0)</f>
        <v>0</v>
      </c>
      <c r="Y119" s="34" t="n">
        <f aca="false">IF(X119=1,Y118+1,0)</f>
        <v>0</v>
      </c>
      <c r="Z119" s="34" t="n">
        <f aca="false">IF(N(T119)&gt;=1,Z118+1,0)</f>
        <v>0</v>
      </c>
      <c r="AA119" s="34" t="n">
        <f aca="false">IF(N(U119)&gt;=1,AA118+1,0)</f>
        <v>0</v>
      </c>
      <c r="AB119" s="34" t="n">
        <f aca="false">IF(N(V119)&gt;=1,AB118+1,0)</f>
        <v>0</v>
      </c>
      <c r="AC119" s="34" t="str">
        <f aca="false">IF(COUNT(E119,F119,I119,J119)=0,"",ROUND((MIN(IFERROR(E119/StepGoal,0),1)*100)*0.2+(MIN(IFERROR(F119/SleepGoal,0),1)*100)*0.2+(IF(L119="",0,IF(L119="Rest Day",100,MIN(IFERROR(M119/60,0),1)*100)))*0.25+(IFERROR(INDEX('Recovery Tracker'!$E$5:$E$369,MATCH(A119,'Recovery Tracker'!$A$5:$A$369,0))+0,70))*0.15+(MIN(IFERROR(I119/WaterGoal,0),1)*100)*0.1+(IF(J119="",0,MAX(0,100-MIN(ABS(J119-CalorieGoal)/CalorieGoal,1)*100)))*0.1,0))</f>
        <v/>
      </c>
    </row>
    <row r="120" customFormat="false" ht="15" hidden="false" customHeight="false" outlineLevel="0" collapsed="false">
      <c r="A120" s="35" t="n">
        <f aca="false">A119+1</f>
        <v>46138</v>
      </c>
      <c r="B120" s="36" t="str">
        <f aca="false">TEXT(A120,"ddd")</f>
        <v>Sun</v>
      </c>
      <c r="C120" s="36" t="n">
        <f aca="false">INT((A120-StartDate)/7)+1</f>
        <v>17</v>
      </c>
      <c r="D120" s="36" t="str">
        <f aca="false">TEXT(A120,"mmm")</f>
        <v>Apr</v>
      </c>
      <c r="E120" s="28"/>
      <c r="F120" s="29"/>
      <c r="G120" s="29"/>
      <c r="H120" s="30"/>
      <c r="I120" s="29"/>
      <c r="J120" s="28"/>
      <c r="K120" s="28"/>
      <c r="L120" s="31"/>
      <c r="M120" s="28"/>
      <c r="N120" s="31"/>
      <c r="O120" s="31"/>
      <c r="P120" s="31"/>
      <c r="Q120" s="31"/>
      <c r="R120" s="31"/>
      <c r="S120" s="32"/>
      <c r="T120" s="37" t="str">
        <f aca="false">IF(E120="","",E120/StepGoal)</f>
        <v/>
      </c>
      <c r="U120" s="37" t="str">
        <f aca="false">IF(F120="","",F120/SleepGoal)</f>
        <v/>
      </c>
      <c r="V120" s="37" t="str">
        <f aca="false">IF(I120="","",I120/WaterGoal)</f>
        <v/>
      </c>
      <c r="W120" s="37" t="str">
        <f aca="false">IF(COUNT(E120,F120,I120)=0,"",(IF(N(T120)&gt;=1,1,0)+IF(N(U120)&gt;=1,1,0)+IF(N(V120)&gt;=1,1,0))/3)</f>
        <v/>
      </c>
      <c r="X120" s="36" t="n">
        <f aca="false">IF(AND(L120&lt;&gt;"",L120&lt;&gt;"Rest Day"),1,0)</f>
        <v>0</v>
      </c>
      <c r="Y120" s="38" t="n">
        <f aca="false">IF(X120=1,Y119+1,0)</f>
        <v>0</v>
      </c>
      <c r="Z120" s="38" t="n">
        <f aca="false">IF(N(T120)&gt;=1,Z119+1,0)</f>
        <v>0</v>
      </c>
      <c r="AA120" s="38" t="n">
        <f aca="false">IF(N(U120)&gt;=1,AA119+1,0)</f>
        <v>0</v>
      </c>
      <c r="AB120" s="38" t="n">
        <f aca="false">IF(N(V120)&gt;=1,AB119+1,0)</f>
        <v>0</v>
      </c>
      <c r="AC120" s="38" t="str">
        <f aca="false">IF(COUNT(E120,F120,I120,J120)=0,"",ROUND((MIN(IFERROR(E120/StepGoal,0),1)*100)*0.2+(MIN(IFERROR(F120/SleepGoal,0),1)*100)*0.2+(IF(L120="",0,IF(L120="Rest Day",100,MIN(IFERROR(M120/60,0),1)*100)))*0.25+(IFERROR(INDEX('Recovery Tracker'!$E$5:$E$369,MATCH(A120,'Recovery Tracker'!$A$5:$A$369,0))+0,70))*0.15+(MIN(IFERROR(I120/WaterGoal,0),1)*100)*0.1+(IF(J120="",0,MAX(0,100-MIN(ABS(J120-CalorieGoal)/CalorieGoal,1)*100)))*0.1,0))</f>
        <v/>
      </c>
    </row>
    <row r="121" customFormat="false" ht="15" hidden="false" customHeight="false" outlineLevel="0" collapsed="false">
      <c r="A121" s="26" t="n">
        <f aca="false">A120+1</f>
        <v>46139</v>
      </c>
      <c r="B121" s="27" t="str">
        <f aca="false">TEXT(A121,"ddd")</f>
        <v>Mon</v>
      </c>
      <c r="C121" s="27" t="n">
        <f aca="false">INT((A121-StartDate)/7)+1</f>
        <v>17</v>
      </c>
      <c r="D121" s="27" t="str">
        <f aca="false">TEXT(A121,"mmm")</f>
        <v>Apr</v>
      </c>
      <c r="E121" s="28"/>
      <c r="F121" s="29"/>
      <c r="G121" s="29"/>
      <c r="H121" s="30"/>
      <c r="I121" s="29"/>
      <c r="J121" s="28"/>
      <c r="K121" s="28"/>
      <c r="L121" s="31"/>
      <c r="M121" s="28"/>
      <c r="N121" s="31"/>
      <c r="O121" s="31"/>
      <c r="P121" s="31"/>
      <c r="Q121" s="31"/>
      <c r="R121" s="31"/>
      <c r="S121" s="32"/>
      <c r="T121" s="33" t="str">
        <f aca="false">IF(E121="","",E121/StepGoal)</f>
        <v/>
      </c>
      <c r="U121" s="33" t="str">
        <f aca="false">IF(F121="","",F121/SleepGoal)</f>
        <v/>
      </c>
      <c r="V121" s="33" t="str">
        <f aca="false">IF(I121="","",I121/WaterGoal)</f>
        <v/>
      </c>
      <c r="W121" s="33" t="str">
        <f aca="false">IF(COUNT(E121,F121,I121)=0,"",(IF(N(T121)&gt;=1,1,0)+IF(N(U121)&gt;=1,1,0)+IF(N(V121)&gt;=1,1,0))/3)</f>
        <v/>
      </c>
      <c r="X121" s="27" t="n">
        <f aca="false">IF(AND(L121&lt;&gt;"",L121&lt;&gt;"Rest Day"),1,0)</f>
        <v>0</v>
      </c>
      <c r="Y121" s="34" t="n">
        <f aca="false">IF(X121=1,Y120+1,0)</f>
        <v>0</v>
      </c>
      <c r="Z121" s="34" t="n">
        <f aca="false">IF(N(T121)&gt;=1,Z120+1,0)</f>
        <v>0</v>
      </c>
      <c r="AA121" s="34" t="n">
        <f aca="false">IF(N(U121)&gt;=1,AA120+1,0)</f>
        <v>0</v>
      </c>
      <c r="AB121" s="34" t="n">
        <f aca="false">IF(N(V121)&gt;=1,AB120+1,0)</f>
        <v>0</v>
      </c>
      <c r="AC121" s="34" t="str">
        <f aca="false">IF(COUNT(E121,F121,I121,J121)=0,"",ROUND((MIN(IFERROR(E121/StepGoal,0),1)*100)*0.2+(MIN(IFERROR(F121/SleepGoal,0),1)*100)*0.2+(IF(L121="",0,IF(L121="Rest Day",100,MIN(IFERROR(M121/60,0),1)*100)))*0.25+(IFERROR(INDEX('Recovery Tracker'!$E$5:$E$369,MATCH(A121,'Recovery Tracker'!$A$5:$A$369,0))+0,70))*0.15+(MIN(IFERROR(I121/WaterGoal,0),1)*100)*0.1+(IF(J121="",0,MAX(0,100-MIN(ABS(J121-CalorieGoal)/CalorieGoal,1)*100)))*0.1,0))</f>
        <v/>
      </c>
    </row>
    <row r="122" customFormat="false" ht="15" hidden="false" customHeight="false" outlineLevel="0" collapsed="false">
      <c r="A122" s="35" t="n">
        <f aca="false">A121+1</f>
        <v>46140</v>
      </c>
      <c r="B122" s="36" t="str">
        <f aca="false">TEXT(A122,"ddd")</f>
        <v>Tue</v>
      </c>
      <c r="C122" s="36" t="n">
        <f aca="false">INT((A122-StartDate)/7)+1</f>
        <v>17</v>
      </c>
      <c r="D122" s="36" t="str">
        <f aca="false">TEXT(A122,"mmm")</f>
        <v>Apr</v>
      </c>
      <c r="E122" s="28"/>
      <c r="F122" s="29"/>
      <c r="G122" s="29"/>
      <c r="H122" s="30"/>
      <c r="I122" s="29"/>
      <c r="J122" s="28"/>
      <c r="K122" s="28"/>
      <c r="L122" s="31"/>
      <c r="M122" s="28"/>
      <c r="N122" s="31"/>
      <c r="O122" s="31"/>
      <c r="P122" s="31"/>
      <c r="Q122" s="31"/>
      <c r="R122" s="31"/>
      <c r="S122" s="32"/>
      <c r="T122" s="37" t="str">
        <f aca="false">IF(E122="","",E122/StepGoal)</f>
        <v/>
      </c>
      <c r="U122" s="37" t="str">
        <f aca="false">IF(F122="","",F122/SleepGoal)</f>
        <v/>
      </c>
      <c r="V122" s="37" t="str">
        <f aca="false">IF(I122="","",I122/WaterGoal)</f>
        <v/>
      </c>
      <c r="W122" s="37" t="str">
        <f aca="false">IF(COUNT(E122,F122,I122)=0,"",(IF(N(T122)&gt;=1,1,0)+IF(N(U122)&gt;=1,1,0)+IF(N(V122)&gt;=1,1,0))/3)</f>
        <v/>
      </c>
      <c r="X122" s="36" t="n">
        <f aca="false">IF(AND(L122&lt;&gt;"",L122&lt;&gt;"Rest Day"),1,0)</f>
        <v>0</v>
      </c>
      <c r="Y122" s="38" t="n">
        <f aca="false">IF(X122=1,Y121+1,0)</f>
        <v>0</v>
      </c>
      <c r="Z122" s="38" t="n">
        <f aca="false">IF(N(T122)&gt;=1,Z121+1,0)</f>
        <v>0</v>
      </c>
      <c r="AA122" s="38" t="n">
        <f aca="false">IF(N(U122)&gt;=1,AA121+1,0)</f>
        <v>0</v>
      </c>
      <c r="AB122" s="38" t="n">
        <f aca="false">IF(N(V122)&gt;=1,AB121+1,0)</f>
        <v>0</v>
      </c>
      <c r="AC122" s="38" t="str">
        <f aca="false">IF(COUNT(E122,F122,I122,J122)=0,"",ROUND((MIN(IFERROR(E122/StepGoal,0),1)*100)*0.2+(MIN(IFERROR(F122/SleepGoal,0),1)*100)*0.2+(IF(L122="",0,IF(L122="Rest Day",100,MIN(IFERROR(M122/60,0),1)*100)))*0.25+(IFERROR(INDEX('Recovery Tracker'!$E$5:$E$369,MATCH(A122,'Recovery Tracker'!$A$5:$A$369,0))+0,70))*0.15+(MIN(IFERROR(I122/WaterGoal,0),1)*100)*0.1+(IF(J122="",0,MAX(0,100-MIN(ABS(J122-CalorieGoal)/CalorieGoal,1)*100)))*0.1,0))</f>
        <v/>
      </c>
    </row>
    <row r="123" customFormat="false" ht="15" hidden="false" customHeight="false" outlineLevel="0" collapsed="false">
      <c r="A123" s="26" t="n">
        <f aca="false">A122+1</f>
        <v>46141</v>
      </c>
      <c r="B123" s="27" t="str">
        <f aca="false">TEXT(A123,"ddd")</f>
        <v>Wed</v>
      </c>
      <c r="C123" s="27" t="n">
        <f aca="false">INT((A123-StartDate)/7)+1</f>
        <v>17</v>
      </c>
      <c r="D123" s="27" t="str">
        <f aca="false">TEXT(A123,"mmm")</f>
        <v>Apr</v>
      </c>
      <c r="E123" s="28"/>
      <c r="F123" s="29"/>
      <c r="G123" s="29"/>
      <c r="H123" s="30"/>
      <c r="I123" s="29"/>
      <c r="J123" s="28"/>
      <c r="K123" s="28"/>
      <c r="L123" s="31"/>
      <c r="M123" s="28"/>
      <c r="N123" s="31"/>
      <c r="O123" s="31"/>
      <c r="P123" s="31"/>
      <c r="Q123" s="31"/>
      <c r="R123" s="31"/>
      <c r="S123" s="32"/>
      <c r="T123" s="33" t="str">
        <f aca="false">IF(E123="","",E123/StepGoal)</f>
        <v/>
      </c>
      <c r="U123" s="33" t="str">
        <f aca="false">IF(F123="","",F123/SleepGoal)</f>
        <v/>
      </c>
      <c r="V123" s="33" t="str">
        <f aca="false">IF(I123="","",I123/WaterGoal)</f>
        <v/>
      </c>
      <c r="W123" s="33" t="str">
        <f aca="false">IF(COUNT(E123,F123,I123)=0,"",(IF(N(T123)&gt;=1,1,0)+IF(N(U123)&gt;=1,1,0)+IF(N(V123)&gt;=1,1,0))/3)</f>
        <v/>
      </c>
      <c r="X123" s="27" t="n">
        <f aca="false">IF(AND(L123&lt;&gt;"",L123&lt;&gt;"Rest Day"),1,0)</f>
        <v>0</v>
      </c>
      <c r="Y123" s="34" t="n">
        <f aca="false">IF(X123=1,Y122+1,0)</f>
        <v>0</v>
      </c>
      <c r="Z123" s="34" t="n">
        <f aca="false">IF(N(T123)&gt;=1,Z122+1,0)</f>
        <v>0</v>
      </c>
      <c r="AA123" s="34" t="n">
        <f aca="false">IF(N(U123)&gt;=1,AA122+1,0)</f>
        <v>0</v>
      </c>
      <c r="AB123" s="34" t="n">
        <f aca="false">IF(N(V123)&gt;=1,AB122+1,0)</f>
        <v>0</v>
      </c>
      <c r="AC123" s="34" t="str">
        <f aca="false">IF(COUNT(E123,F123,I123,J123)=0,"",ROUND((MIN(IFERROR(E123/StepGoal,0),1)*100)*0.2+(MIN(IFERROR(F123/SleepGoal,0),1)*100)*0.2+(IF(L123="",0,IF(L123="Rest Day",100,MIN(IFERROR(M123/60,0),1)*100)))*0.25+(IFERROR(INDEX('Recovery Tracker'!$E$5:$E$369,MATCH(A123,'Recovery Tracker'!$A$5:$A$369,0))+0,70))*0.15+(MIN(IFERROR(I123/WaterGoal,0),1)*100)*0.1+(IF(J123="",0,MAX(0,100-MIN(ABS(J123-CalorieGoal)/CalorieGoal,1)*100)))*0.1,0))</f>
        <v/>
      </c>
    </row>
    <row r="124" customFormat="false" ht="15" hidden="false" customHeight="false" outlineLevel="0" collapsed="false">
      <c r="A124" s="35" t="n">
        <f aca="false">A123+1</f>
        <v>46142</v>
      </c>
      <c r="B124" s="36" t="str">
        <f aca="false">TEXT(A124,"ddd")</f>
        <v>Thu</v>
      </c>
      <c r="C124" s="36" t="n">
        <f aca="false">INT((A124-StartDate)/7)+1</f>
        <v>18</v>
      </c>
      <c r="D124" s="36" t="str">
        <f aca="false">TEXT(A124,"mmm")</f>
        <v>Apr</v>
      </c>
      <c r="E124" s="28"/>
      <c r="F124" s="29"/>
      <c r="G124" s="29"/>
      <c r="H124" s="30"/>
      <c r="I124" s="29"/>
      <c r="J124" s="28"/>
      <c r="K124" s="28"/>
      <c r="L124" s="31"/>
      <c r="M124" s="28"/>
      <c r="N124" s="31"/>
      <c r="O124" s="31"/>
      <c r="P124" s="31"/>
      <c r="Q124" s="31"/>
      <c r="R124" s="31"/>
      <c r="S124" s="32"/>
      <c r="T124" s="37" t="str">
        <f aca="false">IF(E124="","",E124/StepGoal)</f>
        <v/>
      </c>
      <c r="U124" s="37" t="str">
        <f aca="false">IF(F124="","",F124/SleepGoal)</f>
        <v/>
      </c>
      <c r="V124" s="37" t="str">
        <f aca="false">IF(I124="","",I124/WaterGoal)</f>
        <v/>
      </c>
      <c r="W124" s="37" t="str">
        <f aca="false">IF(COUNT(E124,F124,I124)=0,"",(IF(N(T124)&gt;=1,1,0)+IF(N(U124)&gt;=1,1,0)+IF(N(V124)&gt;=1,1,0))/3)</f>
        <v/>
      </c>
      <c r="X124" s="36" t="n">
        <f aca="false">IF(AND(L124&lt;&gt;"",L124&lt;&gt;"Rest Day"),1,0)</f>
        <v>0</v>
      </c>
      <c r="Y124" s="38" t="n">
        <f aca="false">IF(X124=1,Y123+1,0)</f>
        <v>0</v>
      </c>
      <c r="Z124" s="38" t="n">
        <f aca="false">IF(N(T124)&gt;=1,Z123+1,0)</f>
        <v>0</v>
      </c>
      <c r="AA124" s="38" t="n">
        <f aca="false">IF(N(U124)&gt;=1,AA123+1,0)</f>
        <v>0</v>
      </c>
      <c r="AB124" s="38" t="n">
        <f aca="false">IF(N(V124)&gt;=1,AB123+1,0)</f>
        <v>0</v>
      </c>
      <c r="AC124" s="38" t="str">
        <f aca="false">IF(COUNT(E124,F124,I124,J124)=0,"",ROUND((MIN(IFERROR(E124/StepGoal,0),1)*100)*0.2+(MIN(IFERROR(F124/SleepGoal,0),1)*100)*0.2+(IF(L124="",0,IF(L124="Rest Day",100,MIN(IFERROR(M124/60,0),1)*100)))*0.25+(IFERROR(INDEX('Recovery Tracker'!$E$5:$E$369,MATCH(A124,'Recovery Tracker'!$A$5:$A$369,0))+0,70))*0.15+(MIN(IFERROR(I124/WaterGoal,0),1)*100)*0.1+(IF(J124="",0,MAX(0,100-MIN(ABS(J124-CalorieGoal)/CalorieGoal,1)*100)))*0.1,0))</f>
        <v/>
      </c>
    </row>
    <row r="125" customFormat="false" ht="15" hidden="false" customHeight="false" outlineLevel="0" collapsed="false">
      <c r="A125" s="26" t="n">
        <f aca="false">A124+1</f>
        <v>46143</v>
      </c>
      <c r="B125" s="27" t="str">
        <f aca="false">TEXT(A125,"ddd")</f>
        <v>Fri</v>
      </c>
      <c r="C125" s="27" t="n">
        <f aca="false">INT((A125-StartDate)/7)+1</f>
        <v>18</v>
      </c>
      <c r="D125" s="27" t="str">
        <f aca="false">TEXT(A125,"mmm")</f>
        <v>May</v>
      </c>
      <c r="E125" s="28"/>
      <c r="F125" s="29"/>
      <c r="G125" s="29"/>
      <c r="H125" s="30"/>
      <c r="I125" s="29"/>
      <c r="J125" s="28"/>
      <c r="K125" s="28"/>
      <c r="L125" s="31"/>
      <c r="M125" s="28"/>
      <c r="N125" s="31"/>
      <c r="O125" s="31"/>
      <c r="P125" s="31"/>
      <c r="Q125" s="31"/>
      <c r="R125" s="31"/>
      <c r="S125" s="32"/>
      <c r="T125" s="33" t="str">
        <f aca="false">IF(E125="","",E125/StepGoal)</f>
        <v/>
      </c>
      <c r="U125" s="33" t="str">
        <f aca="false">IF(F125="","",F125/SleepGoal)</f>
        <v/>
      </c>
      <c r="V125" s="33" t="str">
        <f aca="false">IF(I125="","",I125/WaterGoal)</f>
        <v/>
      </c>
      <c r="W125" s="33" t="str">
        <f aca="false">IF(COUNT(E125,F125,I125)=0,"",(IF(N(T125)&gt;=1,1,0)+IF(N(U125)&gt;=1,1,0)+IF(N(V125)&gt;=1,1,0))/3)</f>
        <v/>
      </c>
      <c r="X125" s="27" t="n">
        <f aca="false">IF(AND(L125&lt;&gt;"",L125&lt;&gt;"Rest Day"),1,0)</f>
        <v>0</v>
      </c>
      <c r="Y125" s="34" t="n">
        <f aca="false">IF(X125=1,Y124+1,0)</f>
        <v>0</v>
      </c>
      <c r="Z125" s="34" t="n">
        <f aca="false">IF(N(T125)&gt;=1,Z124+1,0)</f>
        <v>0</v>
      </c>
      <c r="AA125" s="34" t="n">
        <f aca="false">IF(N(U125)&gt;=1,AA124+1,0)</f>
        <v>0</v>
      </c>
      <c r="AB125" s="34" t="n">
        <f aca="false">IF(N(V125)&gt;=1,AB124+1,0)</f>
        <v>0</v>
      </c>
      <c r="AC125" s="34" t="str">
        <f aca="false">IF(COUNT(E125,F125,I125,J125)=0,"",ROUND((MIN(IFERROR(E125/StepGoal,0),1)*100)*0.2+(MIN(IFERROR(F125/SleepGoal,0),1)*100)*0.2+(IF(L125="",0,IF(L125="Rest Day",100,MIN(IFERROR(M125/60,0),1)*100)))*0.25+(IFERROR(INDEX('Recovery Tracker'!$E$5:$E$369,MATCH(A125,'Recovery Tracker'!$A$5:$A$369,0))+0,70))*0.15+(MIN(IFERROR(I125/WaterGoal,0),1)*100)*0.1+(IF(J125="",0,MAX(0,100-MIN(ABS(J125-CalorieGoal)/CalorieGoal,1)*100)))*0.1,0))</f>
        <v/>
      </c>
    </row>
    <row r="126" customFormat="false" ht="15" hidden="false" customHeight="false" outlineLevel="0" collapsed="false">
      <c r="A126" s="35" t="n">
        <f aca="false">A125+1</f>
        <v>46144</v>
      </c>
      <c r="B126" s="36" t="str">
        <f aca="false">TEXT(A126,"ddd")</f>
        <v>Sat</v>
      </c>
      <c r="C126" s="36" t="n">
        <f aca="false">INT((A126-StartDate)/7)+1</f>
        <v>18</v>
      </c>
      <c r="D126" s="36" t="str">
        <f aca="false">TEXT(A126,"mmm")</f>
        <v>May</v>
      </c>
      <c r="E126" s="28"/>
      <c r="F126" s="29"/>
      <c r="G126" s="29"/>
      <c r="H126" s="30"/>
      <c r="I126" s="29"/>
      <c r="J126" s="28"/>
      <c r="K126" s="28"/>
      <c r="L126" s="31"/>
      <c r="M126" s="28"/>
      <c r="N126" s="31"/>
      <c r="O126" s="31"/>
      <c r="P126" s="31"/>
      <c r="Q126" s="31"/>
      <c r="R126" s="31"/>
      <c r="S126" s="32"/>
      <c r="T126" s="37" t="str">
        <f aca="false">IF(E126="","",E126/StepGoal)</f>
        <v/>
      </c>
      <c r="U126" s="37" t="str">
        <f aca="false">IF(F126="","",F126/SleepGoal)</f>
        <v/>
      </c>
      <c r="V126" s="37" t="str">
        <f aca="false">IF(I126="","",I126/WaterGoal)</f>
        <v/>
      </c>
      <c r="W126" s="37" t="str">
        <f aca="false">IF(COUNT(E126,F126,I126)=0,"",(IF(N(T126)&gt;=1,1,0)+IF(N(U126)&gt;=1,1,0)+IF(N(V126)&gt;=1,1,0))/3)</f>
        <v/>
      </c>
      <c r="X126" s="36" t="n">
        <f aca="false">IF(AND(L126&lt;&gt;"",L126&lt;&gt;"Rest Day"),1,0)</f>
        <v>0</v>
      </c>
      <c r="Y126" s="38" t="n">
        <f aca="false">IF(X126=1,Y125+1,0)</f>
        <v>0</v>
      </c>
      <c r="Z126" s="38" t="n">
        <f aca="false">IF(N(T126)&gt;=1,Z125+1,0)</f>
        <v>0</v>
      </c>
      <c r="AA126" s="38" t="n">
        <f aca="false">IF(N(U126)&gt;=1,AA125+1,0)</f>
        <v>0</v>
      </c>
      <c r="AB126" s="38" t="n">
        <f aca="false">IF(N(V126)&gt;=1,AB125+1,0)</f>
        <v>0</v>
      </c>
      <c r="AC126" s="38" t="str">
        <f aca="false">IF(COUNT(E126,F126,I126,J126)=0,"",ROUND((MIN(IFERROR(E126/StepGoal,0),1)*100)*0.2+(MIN(IFERROR(F126/SleepGoal,0),1)*100)*0.2+(IF(L126="",0,IF(L126="Rest Day",100,MIN(IFERROR(M126/60,0),1)*100)))*0.25+(IFERROR(INDEX('Recovery Tracker'!$E$5:$E$369,MATCH(A126,'Recovery Tracker'!$A$5:$A$369,0))+0,70))*0.15+(MIN(IFERROR(I126/WaterGoal,0),1)*100)*0.1+(IF(J126="",0,MAX(0,100-MIN(ABS(J126-CalorieGoal)/CalorieGoal,1)*100)))*0.1,0))</f>
        <v/>
      </c>
    </row>
    <row r="127" customFormat="false" ht="15" hidden="false" customHeight="false" outlineLevel="0" collapsed="false">
      <c r="A127" s="26" t="n">
        <f aca="false">A126+1</f>
        <v>46145</v>
      </c>
      <c r="B127" s="27" t="str">
        <f aca="false">TEXT(A127,"ddd")</f>
        <v>Sun</v>
      </c>
      <c r="C127" s="27" t="n">
        <f aca="false">INT((A127-StartDate)/7)+1</f>
        <v>18</v>
      </c>
      <c r="D127" s="27" t="str">
        <f aca="false">TEXT(A127,"mmm")</f>
        <v>May</v>
      </c>
      <c r="E127" s="28"/>
      <c r="F127" s="29"/>
      <c r="G127" s="29"/>
      <c r="H127" s="30"/>
      <c r="I127" s="29"/>
      <c r="J127" s="28"/>
      <c r="K127" s="28"/>
      <c r="L127" s="31"/>
      <c r="M127" s="28"/>
      <c r="N127" s="31"/>
      <c r="O127" s="31"/>
      <c r="P127" s="31"/>
      <c r="Q127" s="31"/>
      <c r="R127" s="31"/>
      <c r="S127" s="32"/>
      <c r="T127" s="33" t="str">
        <f aca="false">IF(E127="","",E127/StepGoal)</f>
        <v/>
      </c>
      <c r="U127" s="33" t="str">
        <f aca="false">IF(F127="","",F127/SleepGoal)</f>
        <v/>
      </c>
      <c r="V127" s="33" t="str">
        <f aca="false">IF(I127="","",I127/WaterGoal)</f>
        <v/>
      </c>
      <c r="W127" s="33" t="str">
        <f aca="false">IF(COUNT(E127,F127,I127)=0,"",(IF(N(T127)&gt;=1,1,0)+IF(N(U127)&gt;=1,1,0)+IF(N(V127)&gt;=1,1,0))/3)</f>
        <v/>
      </c>
      <c r="X127" s="27" t="n">
        <f aca="false">IF(AND(L127&lt;&gt;"",L127&lt;&gt;"Rest Day"),1,0)</f>
        <v>0</v>
      </c>
      <c r="Y127" s="34" t="n">
        <f aca="false">IF(X127=1,Y126+1,0)</f>
        <v>0</v>
      </c>
      <c r="Z127" s="34" t="n">
        <f aca="false">IF(N(T127)&gt;=1,Z126+1,0)</f>
        <v>0</v>
      </c>
      <c r="AA127" s="34" t="n">
        <f aca="false">IF(N(U127)&gt;=1,AA126+1,0)</f>
        <v>0</v>
      </c>
      <c r="AB127" s="34" t="n">
        <f aca="false">IF(N(V127)&gt;=1,AB126+1,0)</f>
        <v>0</v>
      </c>
      <c r="AC127" s="34" t="str">
        <f aca="false">IF(COUNT(E127,F127,I127,J127)=0,"",ROUND((MIN(IFERROR(E127/StepGoal,0),1)*100)*0.2+(MIN(IFERROR(F127/SleepGoal,0),1)*100)*0.2+(IF(L127="",0,IF(L127="Rest Day",100,MIN(IFERROR(M127/60,0),1)*100)))*0.25+(IFERROR(INDEX('Recovery Tracker'!$E$5:$E$369,MATCH(A127,'Recovery Tracker'!$A$5:$A$369,0))+0,70))*0.15+(MIN(IFERROR(I127/WaterGoal,0),1)*100)*0.1+(IF(J127="",0,MAX(0,100-MIN(ABS(J127-CalorieGoal)/CalorieGoal,1)*100)))*0.1,0))</f>
        <v/>
      </c>
    </row>
    <row r="128" customFormat="false" ht="15" hidden="false" customHeight="false" outlineLevel="0" collapsed="false">
      <c r="A128" s="35" t="n">
        <f aca="false">A127+1</f>
        <v>46146</v>
      </c>
      <c r="B128" s="36" t="str">
        <f aca="false">TEXT(A128,"ddd")</f>
        <v>Mon</v>
      </c>
      <c r="C128" s="36" t="n">
        <f aca="false">INT((A128-StartDate)/7)+1</f>
        <v>18</v>
      </c>
      <c r="D128" s="36" t="str">
        <f aca="false">TEXT(A128,"mmm")</f>
        <v>May</v>
      </c>
      <c r="E128" s="28"/>
      <c r="F128" s="29"/>
      <c r="G128" s="29"/>
      <c r="H128" s="30"/>
      <c r="I128" s="29"/>
      <c r="J128" s="28"/>
      <c r="K128" s="28"/>
      <c r="L128" s="31"/>
      <c r="M128" s="28"/>
      <c r="N128" s="31"/>
      <c r="O128" s="31"/>
      <c r="P128" s="31"/>
      <c r="Q128" s="31"/>
      <c r="R128" s="31"/>
      <c r="S128" s="32"/>
      <c r="T128" s="37" t="str">
        <f aca="false">IF(E128="","",E128/StepGoal)</f>
        <v/>
      </c>
      <c r="U128" s="37" t="str">
        <f aca="false">IF(F128="","",F128/SleepGoal)</f>
        <v/>
      </c>
      <c r="V128" s="37" t="str">
        <f aca="false">IF(I128="","",I128/WaterGoal)</f>
        <v/>
      </c>
      <c r="W128" s="37" t="str">
        <f aca="false">IF(COUNT(E128,F128,I128)=0,"",(IF(N(T128)&gt;=1,1,0)+IF(N(U128)&gt;=1,1,0)+IF(N(V128)&gt;=1,1,0))/3)</f>
        <v/>
      </c>
      <c r="X128" s="36" t="n">
        <f aca="false">IF(AND(L128&lt;&gt;"",L128&lt;&gt;"Rest Day"),1,0)</f>
        <v>0</v>
      </c>
      <c r="Y128" s="38" t="n">
        <f aca="false">IF(X128=1,Y127+1,0)</f>
        <v>0</v>
      </c>
      <c r="Z128" s="38" t="n">
        <f aca="false">IF(N(T128)&gt;=1,Z127+1,0)</f>
        <v>0</v>
      </c>
      <c r="AA128" s="38" t="n">
        <f aca="false">IF(N(U128)&gt;=1,AA127+1,0)</f>
        <v>0</v>
      </c>
      <c r="AB128" s="38" t="n">
        <f aca="false">IF(N(V128)&gt;=1,AB127+1,0)</f>
        <v>0</v>
      </c>
      <c r="AC128" s="38" t="str">
        <f aca="false">IF(COUNT(E128,F128,I128,J128)=0,"",ROUND((MIN(IFERROR(E128/StepGoal,0),1)*100)*0.2+(MIN(IFERROR(F128/SleepGoal,0),1)*100)*0.2+(IF(L128="",0,IF(L128="Rest Day",100,MIN(IFERROR(M128/60,0),1)*100)))*0.25+(IFERROR(INDEX('Recovery Tracker'!$E$5:$E$369,MATCH(A128,'Recovery Tracker'!$A$5:$A$369,0))+0,70))*0.15+(MIN(IFERROR(I128/WaterGoal,0),1)*100)*0.1+(IF(J128="",0,MAX(0,100-MIN(ABS(J128-CalorieGoal)/CalorieGoal,1)*100)))*0.1,0))</f>
        <v/>
      </c>
    </row>
    <row r="129" customFormat="false" ht="15" hidden="false" customHeight="false" outlineLevel="0" collapsed="false">
      <c r="A129" s="26" t="n">
        <f aca="false">A128+1</f>
        <v>46147</v>
      </c>
      <c r="B129" s="27" t="str">
        <f aca="false">TEXT(A129,"ddd")</f>
        <v>Tue</v>
      </c>
      <c r="C129" s="27" t="n">
        <f aca="false">INT((A129-StartDate)/7)+1</f>
        <v>18</v>
      </c>
      <c r="D129" s="27" t="str">
        <f aca="false">TEXT(A129,"mmm")</f>
        <v>May</v>
      </c>
      <c r="E129" s="28"/>
      <c r="F129" s="29"/>
      <c r="G129" s="29"/>
      <c r="H129" s="30"/>
      <c r="I129" s="29"/>
      <c r="J129" s="28"/>
      <c r="K129" s="28"/>
      <c r="L129" s="31"/>
      <c r="M129" s="28"/>
      <c r="N129" s="31"/>
      <c r="O129" s="31"/>
      <c r="P129" s="31"/>
      <c r="Q129" s="31"/>
      <c r="R129" s="31"/>
      <c r="S129" s="32"/>
      <c r="T129" s="33" t="str">
        <f aca="false">IF(E129="","",E129/StepGoal)</f>
        <v/>
      </c>
      <c r="U129" s="33" t="str">
        <f aca="false">IF(F129="","",F129/SleepGoal)</f>
        <v/>
      </c>
      <c r="V129" s="33" t="str">
        <f aca="false">IF(I129="","",I129/WaterGoal)</f>
        <v/>
      </c>
      <c r="W129" s="33" t="str">
        <f aca="false">IF(COUNT(E129,F129,I129)=0,"",(IF(N(T129)&gt;=1,1,0)+IF(N(U129)&gt;=1,1,0)+IF(N(V129)&gt;=1,1,0))/3)</f>
        <v/>
      </c>
      <c r="X129" s="27" t="n">
        <f aca="false">IF(AND(L129&lt;&gt;"",L129&lt;&gt;"Rest Day"),1,0)</f>
        <v>0</v>
      </c>
      <c r="Y129" s="34" t="n">
        <f aca="false">IF(X129=1,Y128+1,0)</f>
        <v>0</v>
      </c>
      <c r="Z129" s="34" t="n">
        <f aca="false">IF(N(T129)&gt;=1,Z128+1,0)</f>
        <v>0</v>
      </c>
      <c r="AA129" s="34" t="n">
        <f aca="false">IF(N(U129)&gt;=1,AA128+1,0)</f>
        <v>0</v>
      </c>
      <c r="AB129" s="34" t="n">
        <f aca="false">IF(N(V129)&gt;=1,AB128+1,0)</f>
        <v>0</v>
      </c>
      <c r="AC129" s="34" t="str">
        <f aca="false">IF(COUNT(E129,F129,I129,J129)=0,"",ROUND((MIN(IFERROR(E129/StepGoal,0),1)*100)*0.2+(MIN(IFERROR(F129/SleepGoal,0),1)*100)*0.2+(IF(L129="",0,IF(L129="Rest Day",100,MIN(IFERROR(M129/60,0),1)*100)))*0.25+(IFERROR(INDEX('Recovery Tracker'!$E$5:$E$369,MATCH(A129,'Recovery Tracker'!$A$5:$A$369,0))+0,70))*0.15+(MIN(IFERROR(I129/WaterGoal,0),1)*100)*0.1+(IF(J129="",0,MAX(0,100-MIN(ABS(J129-CalorieGoal)/CalorieGoal,1)*100)))*0.1,0))</f>
        <v/>
      </c>
    </row>
    <row r="130" customFormat="false" ht="15" hidden="false" customHeight="false" outlineLevel="0" collapsed="false">
      <c r="A130" s="35" t="n">
        <f aca="false">A129+1</f>
        <v>46148</v>
      </c>
      <c r="B130" s="36" t="str">
        <f aca="false">TEXT(A130,"ddd")</f>
        <v>Wed</v>
      </c>
      <c r="C130" s="36" t="n">
        <f aca="false">INT((A130-StartDate)/7)+1</f>
        <v>18</v>
      </c>
      <c r="D130" s="36" t="str">
        <f aca="false">TEXT(A130,"mmm")</f>
        <v>May</v>
      </c>
      <c r="E130" s="28"/>
      <c r="F130" s="29"/>
      <c r="G130" s="29"/>
      <c r="H130" s="30"/>
      <c r="I130" s="29"/>
      <c r="J130" s="28"/>
      <c r="K130" s="28"/>
      <c r="L130" s="31"/>
      <c r="M130" s="28"/>
      <c r="N130" s="31"/>
      <c r="O130" s="31"/>
      <c r="P130" s="31"/>
      <c r="Q130" s="31"/>
      <c r="R130" s="31"/>
      <c r="S130" s="32"/>
      <c r="T130" s="37" t="str">
        <f aca="false">IF(E130="","",E130/StepGoal)</f>
        <v/>
      </c>
      <c r="U130" s="37" t="str">
        <f aca="false">IF(F130="","",F130/SleepGoal)</f>
        <v/>
      </c>
      <c r="V130" s="37" t="str">
        <f aca="false">IF(I130="","",I130/WaterGoal)</f>
        <v/>
      </c>
      <c r="W130" s="37" t="str">
        <f aca="false">IF(COUNT(E130,F130,I130)=0,"",(IF(N(T130)&gt;=1,1,0)+IF(N(U130)&gt;=1,1,0)+IF(N(V130)&gt;=1,1,0))/3)</f>
        <v/>
      </c>
      <c r="X130" s="36" t="n">
        <f aca="false">IF(AND(L130&lt;&gt;"",L130&lt;&gt;"Rest Day"),1,0)</f>
        <v>0</v>
      </c>
      <c r="Y130" s="38" t="n">
        <f aca="false">IF(X130=1,Y129+1,0)</f>
        <v>0</v>
      </c>
      <c r="Z130" s="38" t="n">
        <f aca="false">IF(N(T130)&gt;=1,Z129+1,0)</f>
        <v>0</v>
      </c>
      <c r="AA130" s="38" t="n">
        <f aca="false">IF(N(U130)&gt;=1,AA129+1,0)</f>
        <v>0</v>
      </c>
      <c r="AB130" s="38" t="n">
        <f aca="false">IF(N(V130)&gt;=1,AB129+1,0)</f>
        <v>0</v>
      </c>
      <c r="AC130" s="38" t="str">
        <f aca="false">IF(COUNT(E130,F130,I130,J130)=0,"",ROUND((MIN(IFERROR(E130/StepGoal,0),1)*100)*0.2+(MIN(IFERROR(F130/SleepGoal,0),1)*100)*0.2+(IF(L130="",0,IF(L130="Rest Day",100,MIN(IFERROR(M130/60,0),1)*100)))*0.25+(IFERROR(INDEX('Recovery Tracker'!$E$5:$E$369,MATCH(A130,'Recovery Tracker'!$A$5:$A$369,0))+0,70))*0.15+(MIN(IFERROR(I130/WaterGoal,0),1)*100)*0.1+(IF(J130="",0,MAX(0,100-MIN(ABS(J130-CalorieGoal)/CalorieGoal,1)*100)))*0.1,0))</f>
        <v/>
      </c>
    </row>
    <row r="131" customFormat="false" ht="15" hidden="false" customHeight="false" outlineLevel="0" collapsed="false">
      <c r="A131" s="26" t="n">
        <f aca="false">A130+1</f>
        <v>46149</v>
      </c>
      <c r="B131" s="27" t="str">
        <f aca="false">TEXT(A131,"ddd")</f>
        <v>Thu</v>
      </c>
      <c r="C131" s="27" t="n">
        <f aca="false">INT((A131-StartDate)/7)+1</f>
        <v>19</v>
      </c>
      <c r="D131" s="27" t="str">
        <f aca="false">TEXT(A131,"mmm")</f>
        <v>May</v>
      </c>
      <c r="E131" s="28"/>
      <c r="F131" s="29"/>
      <c r="G131" s="29"/>
      <c r="H131" s="30"/>
      <c r="I131" s="29"/>
      <c r="J131" s="28"/>
      <c r="K131" s="28"/>
      <c r="L131" s="31"/>
      <c r="M131" s="28"/>
      <c r="N131" s="31"/>
      <c r="O131" s="31"/>
      <c r="P131" s="31"/>
      <c r="Q131" s="31"/>
      <c r="R131" s="31"/>
      <c r="S131" s="32"/>
      <c r="T131" s="33" t="str">
        <f aca="false">IF(E131="","",E131/StepGoal)</f>
        <v/>
      </c>
      <c r="U131" s="33" t="str">
        <f aca="false">IF(F131="","",F131/SleepGoal)</f>
        <v/>
      </c>
      <c r="V131" s="33" t="str">
        <f aca="false">IF(I131="","",I131/WaterGoal)</f>
        <v/>
      </c>
      <c r="W131" s="33" t="str">
        <f aca="false">IF(COUNT(E131,F131,I131)=0,"",(IF(N(T131)&gt;=1,1,0)+IF(N(U131)&gt;=1,1,0)+IF(N(V131)&gt;=1,1,0))/3)</f>
        <v/>
      </c>
      <c r="X131" s="27" t="n">
        <f aca="false">IF(AND(L131&lt;&gt;"",L131&lt;&gt;"Rest Day"),1,0)</f>
        <v>0</v>
      </c>
      <c r="Y131" s="34" t="n">
        <f aca="false">IF(X131=1,Y130+1,0)</f>
        <v>0</v>
      </c>
      <c r="Z131" s="34" t="n">
        <f aca="false">IF(N(T131)&gt;=1,Z130+1,0)</f>
        <v>0</v>
      </c>
      <c r="AA131" s="34" t="n">
        <f aca="false">IF(N(U131)&gt;=1,AA130+1,0)</f>
        <v>0</v>
      </c>
      <c r="AB131" s="34" t="n">
        <f aca="false">IF(N(V131)&gt;=1,AB130+1,0)</f>
        <v>0</v>
      </c>
      <c r="AC131" s="34" t="str">
        <f aca="false">IF(COUNT(E131,F131,I131,J131)=0,"",ROUND((MIN(IFERROR(E131/StepGoal,0),1)*100)*0.2+(MIN(IFERROR(F131/SleepGoal,0),1)*100)*0.2+(IF(L131="",0,IF(L131="Rest Day",100,MIN(IFERROR(M131/60,0),1)*100)))*0.25+(IFERROR(INDEX('Recovery Tracker'!$E$5:$E$369,MATCH(A131,'Recovery Tracker'!$A$5:$A$369,0))+0,70))*0.15+(MIN(IFERROR(I131/WaterGoal,0),1)*100)*0.1+(IF(J131="",0,MAX(0,100-MIN(ABS(J131-CalorieGoal)/CalorieGoal,1)*100)))*0.1,0))</f>
        <v/>
      </c>
    </row>
    <row r="132" customFormat="false" ht="15" hidden="false" customHeight="false" outlineLevel="0" collapsed="false">
      <c r="A132" s="35" t="n">
        <f aca="false">A131+1</f>
        <v>46150</v>
      </c>
      <c r="B132" s="36" t="str">
        <f aca="false">TEXT(A132,"ddd")</f>
        <v>Fri</v>
      </c>
      <c r="C132" s="36" t="n">
        <f aca="false">INT((A132-StartDate)/7)+1</f>
        <v>19</v>
      </c>
      <c r="D132" s="36" t="str">
        <f aca="false">TEXT(A132,"mmm")</f>
        <v>May</v>
      </c>
      <c r="E132" s="28"/>
      <c r="F132" s="29"/>
      <c r="G132" s="29"/>
      <c r="H132" s="30"/>
      <c r="I132" s="29"/>
      <c r="J132" s="28"/>
      <c r="K132" s="28"/>
      <c r="L132" s="31"/>
      <c r="M132" s="28"/>
      <c r="N132" s="31"/>
      <c r="O132" s="31"/>
      <c r="P132" s="31"/>
      <c r="Q132" s="31"/>
      <c r="R132" s="31"/>
      <c r="S132" s="32"/>
      <c r="T132" s="37" t="str">
        <f aca="false">IF(E132="","",E132/StepGoal)</f>
        <v/>
      </c>
      <c r="U132" s="37" t="str">
        <f aca="false">IF(F132="","",F132/SleepGoal)</f>
        <v/>
      </c>
      <c r="V132" s="37" t="str">
        <f aca="false">IF(I132="","",I132/WaterGoal)</f>
        <v/>
      </c>
      <c r="W132" s="37" t="str">
        <f aca="false">IF(COUNT(E132,F132,I132)=0,"",(IF(N(T132)&gt;=1,1,0)+IF(N(U132)&gt;=1,1,0)+IF(N(V132)&gt;=1,1,0))/3)</f>
        <v/>
      </c>
      <c r="X132" s="36" t="n">
        <f aca="false">IF(AND(L132&lt;&gt;"",L132&lt;&gt;"Rest Day"),1,0)</f>
        <v>0</v>
      </c>
      <c r="Y132" s="38" t="n">
        <f aca="false">IF(X132=1,Y131+1,0)</f>
        <v>0</v>
      </c>
      <c r="Z132" s="38" t="n">
        <f aca="false">IF(N(T132)&gt;=1,Z131+1,0)</f>
        <v>0</v>
      </c>
      <c r="AA132" s="38" t="n">
        <f aca="false">IF(N(U132)&gt;=1,AA131+1,0)</f>
        <v>0</v>
      </c>
      <c r="AB132" s="38" t="n">
        <f aca="false">IF(N(V132)&gt;=1,AB131+1,0)</f>
        <v>0</v>
      </c>
      <c r="AC132" s="38" t="str">
        <f aca="false">IF(COUNT(E132,F132,I132,J132)=0,"",ROUND((MIN(IFERROR(E132/StepGoal,0),1)*100)*0.2+(MIN(IFERROR(F132/SleepGoal,0),1)*100)*0.2+(IF(L132="",0,IF(L132="Rest Day",100,MIN(IFERROR(M132/60,0),1)*100)))*0.25+(IFERROR(INDEX('Recovery Tracker'!$E$5:$E$369,MATCH(A132,'Recovery Tracker'!$A$5:$A$369,0))+0,70))*0.15+(MIN(IFERROR(I132/WaterGoal,0),1)*100)*0.1+(IF(J132="",0,MAX(0,100-MIN(ABS(J132-CalorieGoal)/CalorieGoal,1)*100)))*0.1,0))</f>
        <v/>
      </c>
    </row>
    <row r="133" customFormat="false" ht="15" hidden="false" customHeight="false" outlineLevel="0" collapsed="false">
      <c r="A133" s="26" t="n">
        <f aca="false">A132+1</f>
        <v>46151</v>
      </c>
      <c r="B133" s="27" t="str">
        <f aca="false">TEXT(A133,"ddd")</f>
        <v>Sat</v>
      </c>
      <c r="C133" s="27" t="n">
        <f aca="false">INT((A133-StartDate)/7)+1</f>
        <v>19</v>
      </c>
      <c r="D133" s="27" t="str">
        <f aca="false">TEXT(A133,"mmm")</f>
        <v>May</v>
      </c>
      <c r="E133" s="28"/>
      <c r="F133" s="29"/>
      <c r="G133" s="29"/>
      <c r="H133" s="30"/>
      <c r="I133" s="29"/>
      <c r="J133" s="28"/>
      <c r="K133" s="28"/>
      <c r="L133" s="31"/>
      <c r="M133" s="28"/>
      <c r="N133" s="31"/>
      <c r="O133" s="31"/>
      <c r="P133" s="31"/>
      <c r="Q133" s="31"/>
      <c r="R133" s="31"/>
      <c r="S133" s="32"/>
      <c r="T133" s="33" t="str">
        <f aca="false">IF(E133="","",E133/StepGoal)</f>
        <v/>
      </c>
      <c r="U133" s="33" t="str">
        <f aca="false">IF(F133="","",F133/SleepGoal)</f>
        <v/>
      </c>
      <c r="V133" s="33" t="str">
        <f aca="false">IF(I133="","",I133/WaterGoal)</f>
        <v/>
      </c>
      <c r="W133" s="33" t="str">
        <f aca="false">IF(COUNT(E133,F133,I133)=0,"",(IF(N(T133)&gt;=1,1,0)+IF(N(U133)&gt;=1,1,0)+IF(N(V133)&gt;=1,1,0))/3)</f>
        <v/>
      </c>
      <c r="X133" s="27" t="n">
        <f aca="false">IF(AND(L133&lt;&gt;"",L133&lt;&gt;"Rest Day"),1,0)</f>
        <v>0</v>
      </c>
      <c r="Y133" s="34" t="n">
        <f aca="false">IF(X133=1,Y132+1,0)</f>
        <v>0</v>
      </c>
      <c r="Z133" s="34" t="n">
        <f aca="false">IF(N(T133)&gt;=1,Z132+1,0)</f>
        <v>0</v>
      </c>
      <c r="AA133" s="34" t="n">
        <f aca="false">IF(N(U133)&gt;=1,AA132+1,0)</f>
        <v>0</v>
      </c>
      <c r="AB133" s="34" t="n">
        <f aca="false">IF(N(V133)&gt;=1,AB132+1,0)</f>
        <v>0</v>
      </c>
      <c r="AC133" s="34" t="str">
        <f aca="false">IF(COUNT(E133,F133,I133,J133)=0,"",ROUND((MIN(IFERROR(E133/StepGoal,0),1)*100)*0.2+(MIN(IFERROR(F133/SleepGoal,0),1)*100)*0.2+(IF(L133="",0,IF(L133="Rest Day",100,MIN(IFERROR(M133/60,0),1)*100)))*0.25+(IFERROR(INDEX('Recovery Tracker'!$E$5:$E$369,MATCH(A133,'Recovery Tracker'!$A$5:$A$369,0))+0,70))*0.15+(MIN(IFERROR(I133/WaterGoal,0),1)*100)*0.1+(IF(J133="",0,MAX(0,100-MIN(ABS(J133-CalorieGoal)/CalorieGoal,1)*100)))*0.1,0))</f>
        <v/>
      </c>
    </row>
    <row r="134" customFormat="false" ht="15" hidden="false" customHeight="false" outlineLevel="0" collapsed="false">
      <c r="A134" s="35" t="n">
        <f aca="false">A133+1</f>
        <v>46152</v>
      </c>
      <c r="B134" s="36" t="str">
        <f aca="false">TEXT(A134,"ddd")</f>
        <v>Sun</v>
      </c>
      <c r="C134" s="36" t="n">
        <f aca="false">INT((A134-StartDate)/7)+1</f>
        <v>19</v>
      </c>
      <c r="D134" s="36" t="str">
        <f aca="false">TEXT(A134,"mmm")</f>
        <v>May</v>
      </c>
      <c r="E134" s="28"/>
      <c r="F134" s="29"/>
      <c r="G134" s="29"/>
      <c r="H134" s="30"/>
      <c r="I134" s="29"/>
      <c r="J134" s="28"/>
      <c r="K134" s="28"/>
      <c r="L134" s="31"/>
      <c r="M134" s="28"/>
      <c r="N134" s="31"/>
      <c r="O134" s="31"/>
      <c r="P134" s="31"/>
      <c r="Q134" s="31"/>
      <c r="R134" s="31"/>
      <c r="S134" s="32"/>
      <c r="T134" s="37" t="str">
        <f aca="false">IF(E134="","",E134/StepGoal)</f>
        <v/>
      </c>
      <c r="U134" s="37" t="str">
        <f aca="false">IF(F134="","",F134/SleepGoal)</f>
        <v/>
      </c>
      <c r="V134" s="37" t="str">
        <f aca="false">IF(I134="","",I134/WaterGoal)</f>
        <v/>
      </c>
      <c r="W134" s="37" t="str">
        <f aca="false">IF(COUNT(E134,F134,I134)=0,"",(IF(N(T134)&gt;=1,1,0)+IF(N(U134)&gt;=1,1,0)+IF(N(V134)&gt;=1,1,0))/3)</f>
        <v/>
      </c>
      <c r="X134" s="36" t="n">
        <f aca="false">IF(AND(L134&lt;&gt;"",L134&lt;&gt;"Rest Day"),1,0)</f>
        <v>0</v>
      </c>
      <c r="Y134" s="38" t="n">
        <f aca="false">IF(X134=1,Y133+1,0)</f>
        <v>0</v>
      </c>
      <c r="Z134" s="38" t="n">
        <f aca="false">IF(N(T134)&gt;=1,Z133+1,0)</f>
        <v>0</v>
      </c>
      <c r="AA134" s="38" t="n">
        <f aca="false">IF(N(U134)&gt;=1,AA133+1,0)</f>
        <v>0</v>
      </c>
      <c r="AB134" s="38" t="n">
        <f aca="false">IF(N(V134)&gt;=1,AB133+1,0)</f>
        <v>0</v>
      </c>
      <c r="AC134" s="38" t="str">
        <f aca="false">IF(COUNT(E134,F134,I134,J134)=0,"",ROUND((MIN(IFERROR(E134/StepGoal,0),1)*100)*0.2+(MIN(IFERROR(F134/SleepGoal,0),1)*100)*0.2+(IF(L134="",0,IF(L134="Rest Day",100,MIN(IFERROR(M134/60,0),1)*100)))*0.25+(IFERROR(INDEX('Recovery Tracker'!$E$5:$E$369,MATCH(A134,'Recovery Tracker'!$A$5:$A$369,0))+0,70))*0.15+(MIN(IFERROR(I134/WaterGoal,0),1)*100)*0.1+(IF(J134="",0,MAX(0,100-MIN(ABS(J134-CalorieGoal)/CalorieGoal,1)*100)))*0.1,0))</f>
        <v/>
      </c>
    </row>
    <row r="135" customFormat="false" ht="15" hidden="false" customHeight="false" outlineLevel="0" collapsed="false">
      <c r="A135" s="26" t="n">
        <f aca="false">A134+1</f>
        <v>46153</v>
      </c>
      <c r="B135" s="27" t="str">
        <f aca="false">TEXT(A135,"ddd")</f>
        <v>Mon</v>
      </c>
      <c r="C135" s="27" t="n">
        <f aca="false">INT((A135-StartDate)/7)+1</f>
        <v>19</v>
      </c>
      <c r="D135" s="27" t="str">
        <f aca="false">TEXT(A135,"mmm")</f>
        <v>May</v>
      </c>
      <c r="E135" s="28"/>
      <c r="F135" s="29"/>
      <c r="G135" s="29"/>
      <c r="H135" s="30"/>
      <c r="I135" s="29"/>
      <c r="J135" s="28"/>
      <c r="K135" s="28"/>
      <c r="L135" s="31"/>
      <c r="M135" s="28"/>
      <c r="N135" s="31"/>
      <c r="O135" s="31"/>
      <c r="P135" s="31"/>
      <c r="Q135" s="31"/>
      <c r="R135" s="31"/>
      <c r="S135" s="32"/>
      <c r="T135" s="33" t="str">
        <f aca="false">IF(E135="","",E135/StepGoal)</f>
        <v/>
      </c>
      <c r="U135" s="33" t="str">
        <f aca="false">IF(F135="","",F135/SleepGoal)</f>
        <v/>
      </c>
      <c r="V135" s="33" t="str">
        <f aca="false">IF(I135="","",I135/WaterGoal)</f>
        <v/>
      </c>
      <c r="W135" s="33" t="str">
        <f aca="false">IF(COUNT(E135,F135,I135)=0,"",(IF(N(T135)&gt;=1,1,0)+IF(N(U135)&gt;=1,1,0)+IF(N(V135)&gt;=1,1,0))/3)</f>
        <v/>
      </c>
      <c r="X135" s="27" t="n">
        <f aca="false">IF(AND(L135&lt;&gt;"",L135&lt;&gt;"Rest Day"),1,0)</f>
        <v>0</v>
      </c>
      <c r="Y135" s="34" t="n">
        <f aca="false">IF(X135=1,Y134+1,0)</f>
        <v>0</v>
      </c>
      <c r="Z135" s="34" t="n">
        <f aca="false">IF(N(T135)&gt;=1,Z134+1,0)</f>
        <v>0</v>
      </c>
      <c r="AA135" s="34" t="n">
        <f aca="false">IF(N(U135)&gt;=1,AA134+1,0)</f>
        <v>0</v>
      </c>
      <c r="AB135" s="34" t="n">
        <f aca="false">IF(N(V135)&gt;=1,AB134+1,0)</f>
        <v>0</v>
      </c>
      <c r="AC135" s="34" t="str">
        <f aca="false">IF(COUNT(E135,F135,I135,J135)=0,"",ROUND((MIN(IFERROR(E135/StepGoal,0),1)*100)*0.2+(MIN(IFERROR(F135/SleepGoal,0),1)*100)*0.2+(IF(L135="",0,IF(L135="Rest Day",100,MIN(IFERROR(M135/60,0),1)*100)))*0.25+(IFERROR(INDEX('Recovery Tracker'!$E$5:$E$369,MATCH(A135,'Recovery Tracker'!$A$5:$A$369,0))+0,70))*0.15+(MIN(IFERROR(I135/WaterGoal,0),1)*100)*0.1+(IF(J135="",0,MAX(0,100-MIN(ABS(J135-CalorieGoal)/CalorieGoal,1)*100)))*0.1,0))</f>
        <v/>
      </c>
    </row>
    <row r="136" customFormat="false" ht="15" hidden="false" customHeight="false" outlineLevel="0" collapsed="false">
      <c r="A136" s="35" t="n">
        <f aca="false">A135+1</f>
        <v>46154</v>
      </c>
      <c r="B136" s="36" t="str">
        <f aca="false">TEXT(A136,"ddd")</f>
        <v>Tue</v>
      </c>
      <c r="C136" s="36" t="n">
        <f aca="false">INT((A136-StartDate)/7)+1</f>
        <v>19</v>
      </c>
      <c r="D136" s="36" t="str">
        <f aca="false">TEXT(A136,"mmm")</f>
        <v>May</v>
      </c>
      <c r="E136" s="28"/>
      <c r="F136" s="29"/>
      <c r="G136" s="29"/>
      <c r="H136" s="30"/>
      <c r="I136" s="29"/>
      <c r="J136" s="28"/>
      <c r="K136" s="28"/>
      <c r="L136" s="31"/>
      <c r="M136" s="28"/>
      <c r="N136" s="31"/>
      <c r="O136" s="31"/>
      <c r="P136" s="31"/>
      <c r="Q136" s="31"/>
      <c r="R136" s="31"/>
      <c r="S136" s="32"/>
      <c r="T136" s="37" t="str">
        <f aca="false">IF(E136="","",E136/StepGoal)</f>
        <v/>
      </c>
      <c r="U136" s="37" t="str">
        <f aca="false">IF(F136="","",F136/SleepGoal)</f>
        <v/>
      </c>
      <c r="V136" s="37" t="str">
        <f aca="false">IF(I136="","",I136/WaterGoal)</f>
        <v/>
      </c>
      <c r="W136" s="37" t="str">
        <f aca="false">IF(COUNT(E136,F136,I136)=0,"",(IF(N(T136)&gt;=1,1,0)+IF(N(U136)&gt;=1,1,0)+IF(N(V136)&gt;=1,1,0))/3)</f>
        <v/>
      </c>
      <c r="X136" s="36" t="n">
        <f aca="false">IF(AND(L136&lt;&gt;"",L136&lt;&gt;"Rest Day"),1,0)</f>
        <v>0</v>
      </c>
      <c r="Y136" s="38" t="n">
        <f aca="false">IF(X136=1,Y135+1,0)</f>
        <v>0</v>
      </c>
      <c r="Z136" s="38" t="n">
        <f aca="false">IF(N(T136)&gt;=1,Z135+1,0)</f>
        <v>0</v>
      </c>
      <c r="AA136" s="38" t="n">
        <f aca="false">IF(N(U136)&gt;=1,AA135+1,0)</f>
        <v>0</v>
      </c>
      <c r="AB136" s="38" t="n">
        <f aca="false">IF(N(V136)&gt;=1,AB135+1,0)</f>
        <v>0</v>
      </c>
      <c r="AC136" s="38" t="str">
        <f aca="false">IF(COUNT(E136,F136,I136,J136)=0,"",ROUND((MIN(IFERROR(E136/StepGoal,0),1)*100)*0.2+(MIN(IFERROR(F136/SleepGoal,0),1)*100)*0.2+(IF(L136="",0,IF(L136="Rest Day",100,MIN(IFERROR(M136/60,0),1)*100)))*0.25+(IFERROR(INDEX('Recovery Tracker'!$E$5:$E$369,MATCH(A136,'Recovery Tracker'!$A$5:$A$369,0))+0,70))*0.15+(MIN(IFERROR(I136/WaterGoal,0),1)*100)*0.1+(IF(J136="",0,MAX(0,100-MIN(ABS(J136-CalorieGoal)/CalorieGoal,1)*100)))*0.1,0))</f>
        <v/>
      </c>
    </row>
    <row r="137" customFormat="false" ht="15" hidden="false" customHeight="false" outlineLevel="0" collapsed="false">
      <c r="A137" s="26" t="n">
        <f aca="false">A136+1</f>
        <v>46155</v>
      </c>
      <c r="B137" s="27" t="str">
        <f aca="false">TEXT(A137,"ddd")</f>
        <v>Wed</v>
      </c>
      <c r="C137" s="27" t="n">
        <f aca="false">INT((A137-StartDate)/7)+1</f>
        <v>19</v>
      </c>
      <c r="D137" s="27" t="str">
        <f aca="false">TEXT(A137,"mmm")</f>
        <v>May</v>
      </c>
      <c r="E137" s="28"/>
      <c r="F137" s="29"/>
      <c r="G137" s="29"/>
      <c r="H137" s="30"/>
      <c r="I137" s="29"/>
      <c r="J137" s="28"/>
      <c r="K137" s="28"/>
      <c r="L137" s="31"/>
      <c r="M137" s="28"/>
      <c r="N137" s="31"/>
      <c r="O137" s="31"/>
      <c r="P137" s="31"/>
      <c r="Q137" s="31"/>
      <c r="R137" s="31"/>
      <c r="S137" s="32"/>
      <c r="T137" s="33" t="str">
        <f aca="false">IF(E137="","",E137/StepGoal)</f>
        <v/>
      </c>
      <c r="U137" s="33" t="str">
        <f aca="false">IF(F137="","",F137/SleepGoal)</f>
        <v/>
      </c>
      <c r="V137" s="33" t="str">
        <f aca="false">IF(I137="","",I137/WaterGoal)</f>
        <v/>
      </c>
      <c r="W137" s="33" t="str">
        <f aca="false">IF(COUNT(E137,F137,I137)=0,"",(IF(N(T137)&gt;=1,1,0)+IF(N(U137)&gt;=1,1,0)+IF(N(V137)&gt;=1,1,0))/3)</f>
        <v/>
      </c>
      <c r="X137" s="27" t="n">
        <f aca="false">IF(AND(L137&lt;&gt;"",L137&lt;&gt;"Rest Day"),1,0)</f>
        <v>0</v>
      </c>
      <c r="Y137" s="34" t="n">
        <f aca="false">IF(X137=1,Y136+1,0)</f>
        <v>0</v>
      </c>
      <c r="Z137" s="34" t="n">
        <f aca="false">IF(N(T137)&gt;=1,Z136+1,0)</f>
        <v>0</v>
      </c>
      <c r="AA137" s="34" t="n">
        <f aca="false">IF(N(U137)&gt;=1,AA136+1,0)</f>
        <v>0</v>
      </c>
      <c r="AB137" s="34" t="n">
        <f aca="false">IF(N(V137)&gt;=1,AB136+1,0)</f>
        <v>0</v>
      </c>
      <c r="AC137" s="34" t="str">
        <f aca="false">IF(COUNT(E137,F137,I137,J137)=0,"",ROUND((MIN(IFERROR(E137/StepGoal,0),1)*100)*0.2+(MIN(IFERROR(F137/SleepGoal,0),1)*100)*0.2+(IF(L137="",0,IF(L137="Rest Day",100,MIN(IFERROR(M137/60,0),1)*100)))*0.25+(IFERROR(INDEX('Recovery Tracker'!$E$5:$E$369,MATCH(A137,'Recovery Tracker'!$A$5:$A$369,0))+0,70))*0.15+(MIN(IFERROR(I137/WaterGoal,0),1)*100)*0.1+(IF(J137="",0,MAX(0,100-MIN(ABS(J137-CalorieGoal)/CalorieGoal,1)*100)))*0.1,0))</f>
        <v/>
      </c>
    </row>
    <row r="138" customFormat="false" ht="15" hidden="false" customHeight="false" outlineLevel="0" collapsed="false">
      <c r="A138" s="35" t="n">
        <f aca="false">A137+1</f>
        <v>46156</v>
      </c>
      <c r="B138" s="36" t="str">
        <f aca="false">TEXT(A138,"ddd")</f>
        <v>Thu</v>
      </c>
      <c r="C138" s="36" t="n">
        <f aca="false">INT((A138-StartDate)/7)+1</f>
        <v>20</v>
      </c>
      <c r="D138" s="36" t="str">
        <f aca="false">TEXT(A138,"mmm")</f>
        <v>May</v>
      </c>
      <c r="E138" s="28"/>
      <c r="F138" s="29"/>
      <c r="G138" s="29"/>
      <c r="H138" s="30"/>
      <c r="I138" s="29"/>
      <c r="J138" s="28"/>
      <c r="K138" s="28"/>
      <c r="L138" s="31"/>
      <c r="M138" s="28"/>
      <c r="N138" s="31"/>
      <c r="O138" s="31"/>
      <c r="P138" s="31"/>
      <c r="Q138" s="31"/>
      <c r="R138" s="31"/>
      <c r="S138" s="32"/>
      <c r="T138" s="37" t="str">
        <f aca="false">IF(E138="","",E138/StepGoal)</f>
        <v/>
      </c>
      <c r="U138" s="37" t="str">
        <f aca="false">IF(F138="","",F138/SleepGoal)</f>
        <v/>
      </c>
      <c r="V138" s="37" t="str">
        <f aca="false">IF(I138="","",I138/WaterGoal)</f>
        <v/>
      </c>
      <c r="W138" s="37" t="str">
        <f aca="false">IF(COUNT(E138,F138,I138)=0,"",(IF(N(T138)&gt;=1,1,0)+IF(N(U138)&gt;=1,1,0)+IF(N(V138)&gt;=1,1,0))/3)</f>
        <v/>
      </c>
      <c r="X138" s="36" t="n">
        <f aca="false">IF(AND(L138&lt;&gt;"",L138&lt;&gt;"Rest Day"),1,0)</f>
        <v>0</v>
      </c>
      <c r="Y138" s="38" t="n">
        <f aca="false">IF(X138=1,Y137+1,0)</f>
        <v>0</v>
      </c>
      <c r="Z138" s="38" t="n">
        <f aca="false">IF(N(T138)&gt;=1,Z137+1,0)</f>
        <v>0</v>
      </c>
      <c r="AA138" s="38" t="n">
        <f aca="false">IF(N(U138)&gt;=1,AA137+1,0)</f>
        <v>0</v>
      </c>
      <c r="AB138" s="38" t="n">
        <f aca="false">IF(N(V138)&gt;=1,AB137+1,0)</f>
        <v>0</v>
      </c>
      <c r="AC138" s="38" t="str">
        <f aca="false">IF(COUNT(E138,F138,I138,J138)=0,"",ROUND((MIN(IFERROR(E138/StepGoal,0),1)*100)*0.2+(MIN(IFERROR(F138/SleepGoal,0),1)*100)*0.2+(IF(L138="",0,IF(L138="Rest Day",100,MIN(IFERROR(M138/60,0),1)*100)))*0.25+(IFERROR(INDEX('Recovery Tracker'!$E$5:$E$369,MATCH(A138,'Recovery Tracker'!$A$5:$A$369,0))+0,70))*0.15+(MIN(IFERROR(I138/WaterGoal,0),1)*100)*0.1+(IF(J138="",0,MAX(0,100-MIN(ABS(J138-CalorieGoal)/CalorieGoal,1)*100)))*0.1,0))</f>
        <v/>
      </c>
    </row>
    <row r="139" customFormat="false" ht="15" hidden="false" customHeight="false" outlineLevel="0" collapsed="false">
      <c r="A139" s="26" t="n">
        <f aca="false">A138+1</f>
        <v>46157</v>
      </c>
      <c r="B139" s="27" t="str">
        <f aca="false">TEXT(A139,"ddd")</f>
        <v>Fri</v>
      </c>
      <c r="C139" s="27" t="n">
        <f aca="false">INT((A139-StartDate)/7)+1</f>
        <v>20</v>
      </c>
      <c r="D139" s="27" t="str">
        <f aca="false">TEXT(A139,"mmm")</f>
        <v>May</v>
      </c>
      <c r="E139" s="28"/>
      <c r="F139" s="29"/>
      <c r="G139" s="29"/>
      <c r="H139" s="30"/>
      <c r="I139" s="29"/>
      <c r="J139" s="28"/>
      <c r="K139" s="28"/>
      <c r="L139" s="31"/>
      <c r="M139" s="28"/>
      <c r="N139" s="31"/>
      <c r="O139" s="31"/>
      <c r="P139" s="31"/>
      <c r="Q139" s="31"/>
      <c r="R139" s="31"/>
      <c r="S139" s="32"/>
      <c r="T139" s="33" t="str">
        <f aca="false">IF(E139="","",E139/StepGoal)</f>
        <v/>
      </c>
      <c r="U139" s="33" t="str">
        <f aca="false">IF(F139="","",F139/SleepGoal)</f>
        <v/>
      </c>
      <c r="V139" s="33" t="str">
        <f aca="false">IF(I139="","",I139/WaterGoal)</f>
        <v/>
      </c>
      <c r="W139" s="33" t="str">
        <f aca="false">IF(COUNT(E139,F139,I139)=0,"",(IF(N(T139)&gt;=1,1,0)+IF(N(U139)&gt;=1,1,0)+IF(N(V139)&gt;=1,1,0))/3)</f>
        <v/>
      </c>
      <c r="X139" s="27" t="n">
        <f aca="false">IF(AND(L139&lt;&gt;"",L139&lt;&gt;"Rest Day"),1,0)</f>
        <v>0</v>
      </c>
      <c r="Y139" s="34" t="n">
        <f aca="false">IF(X139=1,Y138+1,0)</f>
        <v>0</v>
      </c>
      <c r="Z139" s="34" t="n">
        <f aca="false">IF(N(T139)&gt;=1,Z138+1,0)</f>
        <v>0</v>
      </c>
      <c r="AA139" s="34" t="n">
        <f aca="false">IF(N(U139)&gt;=1,AA138+1,0)</f>
        <v>0</v>
      </c>
      <c r="AB139" s="34" t="n">
        <f aca="false">IF(N(V139)&gt;=1,AB138+1,0)</f>
        <v>0</v>
      </c>
      <c r="AC139" s="34" t="str">
        <f aca="false">IF(COUNT(E139,F139,I139,J139)=0,"",ROUND((MIN(IFERROR(E139/StepGoal,0),1)*100)*0.2+(MIN(IFERROR(F139/SleepGoal,0),1)*100)*0.2+(IF(L139="",0,IF(L139="Rest Day",100,MIN(IFERROR(M139/60,0),1)*100)))*0.25+(IFERROR(INDEX('Recovery Tracker'!$E$5:$E$369,MATCH(A139,'Recovery Tracker'!$A$5:$A$369,0))+0,70))*0.15+(MIN(IFERROR(I139/WaterGoal,0),1)*100)*0.1+(IF(J139="",0,MAX(0,100-MIN(ABS(J139-CalorieGoal)/CalorieGoal,1)*100)))*0.1,0))</f>
        <v/>
      </c>
    </row>
    <row r="140" customFormat="false" ht="15" hidden="false" customHeight="false" outlineLevel="0" collapsed="false">
      <c r="A140" s="35" t="n">
        <f aca="false">A139+1</f>
        <v>46158</v>
      </c>
      <c r="B140" s="36" t="str">
        <f aca="false">TEXT(A140,"ddd")</f>
        <v>Sat</v>
      </c>
      <c r="C140" s="36" t="n">
        <f aca="false">INT((A140-StartDate)/7)+1</f>
        <v>20</v>
      </c>
      <c r="D140" s="36" t="str">
        <f aca="false">TEXT(A140,"mmm")</f>
        <v>May</v>
      </c>
      <c r="E140" s="28"/>
      <c r="F140" s="29"/>
      <c r="G140" s="29"/>
      <c r="H140" s="30"/>
      <c r="I140" s="29"/>
      <c r="J140" s="28"/>
      <c r="K140" s="28"/>
      <c r="L140" s="31"/>
      <c r="M140" s="28"/>
      <c r="N140" s="31"/>
      <c r="O140" s="31"/>
      <c r="P140" s="31"/>
      <c r="Q140" s="31"/>
      <c r="R140" s="31"/>
      <c r="S140" s="32"/>
      <c r="T140" s="37" t="str">
        <f aca="false">IF(E140="","",E140/StepGoal)</f>
        <v/>
      </c>
      <c r="U140" s="37" t="str">
        <f aca="false">IF(F140="","",F140/SleepGoal)</f>
        <v/>
      </c>
      <c r="V140" s="37" t="str">
        <f aca="false">IF(I140="","",I140/WaterGoal)</f>
        <v/>
      </c>
      <c r="W140" s="37" t="str">
        <f aca="false">IF(COUNT(E140,F140,I140)=0,"",(IF(N(T140)&gt;=1,1,0)+IF(N(U140)&gt;=1,1,0)+IF(N(V140)&gt;=1,1,0))/3)</f>
        <v/>
      </c>
      <c r="X140" s="36" t="n">
        <f aca="false">IF(AND(L140&lt;&gt;"",L140&lt;&gt;"Rest Day"),1,0)</f>
        <v>0</v>
      </c>
      <c r="Y140" s="38" t="n">
        <f aca="false">IF(X140=1,Y139+1,0)</f>
        <v>0</v>
      </c>
      <c r="Z140" s="38" t="n">
        <f aca="false">IF(N(T140)&gt;=1,Z139+1,0)</f>
        <v>0</v>
      </c>
      <c r="AA140" s="38" t="n">
        <f aca="false">IF(N(U140)&gt;=1,AA139+1,0)</f>
        <v>0</v>
      </c>
      <c r="AB140" s="38" t="n">
        <f aca="false">IF(N(V140)&gt;=1,AB139+1,0)</f>
        <v>0</v>
      </c>
      <c r="AC140" s="38" t="str">
        <f aca="false">IF(COUNT(E140,F140,I140,J140)=0,"",ROUND((MIN(IFERROR(E140/StepGoal,0),1)*100)*0.2+(MIN(IFERROR(F140/SleepGoal,0),1)*100)*0.2+(IF(L140="",0,IF(L140="Rest Day",100,MIN(IFERROR(M140/60,0),1)*100)))*0.25+(IFERROR(INDEX('Recovery Tracker'!$E$5:$E$369,MATCH(A140,'Recovery Tracker'!$A$5:$A$369,0))+0,70))*0.15+(MIN(IFERROR(I140/WaterGoal,0),1)*100)*0.1+(IF(J140="",0,MAX(0,100-MIN(ABS(J140-CalorieGoal)/CalorieGoal,1)*100)))*0.1,0))</f>
        <v/>
      </c>
    </row>
    <row r="141" customFormat="false" ht="15" hidden="false" customHeight="false" outlineLevel="0" collapsed="false">
      <c r="A141" s="26" t="n">
        <f aca="false">A140+1</f>
        <v>46159</v>
      </c>
      <c r="B141" s="27" t="str">
        <f aca="false">TEXT(A141,"ddd")</f>
        <v>Sun</v>
      </c>
      <c r="C141" s="27" t="n">
        <f aca="false">INT((A141-StartDate)/7)+1</f>
        <v>20</v>
      </c>
      <c r="D141" s="27" t="str">
        <f aca="false">TEXT(A141,"mmm")</f>
        <v>May</v>
      </c>
      <c r="E141" s="28"/>
      <c r="F141" s="29"/>
      <c r="G141" s="29"/>
      <c r="H141" s="30"/>
      <c r="I141" s="29"/>
      <c r="J141" s="28"/>
      <c r="K141" s="28"/>
      <c r="L141" s="31"/>
      <c r="M141" s="28"/>
      <c r="N141" s="31"/>
      <c r="O141" s="31"/>
      <c r="P141" s="31"/>
      <c r="Q141" s="31"/>
      <c r="R141" s="31"/>
      <c r="S141" s="32"/>
      <c r="T141" s="33" t="str">
        <f aca="false">IF(E141="","",E141/StepGoal)</f>
        <v/>
      </c>
      <c r="U141" s="33" t="str">
        <f aca="false">IF(F141="","",F141/SleepGoal)</f>
        <v/>
      </c>
      <c r="V141" s="33" t="str">
        <f aca="false">IF(I141="","",I141/WaterGoal)</f>
        <v/>
      </c>
      <c r="W141" s="33" t="str">
        <f aca="false">IF(COUNT(E141,F141,I141)=0,"",(IF(N(T141)&gt;=1,1,0)+IF(N(U141)&gt;=1,1,0)+IF(N(V141)&gt;=1,1,0))/3)</f>
        <v/>
      </c>
      <c r="X141" s="27" t="n">
        <f aca="false">IF(AND(L141&lt;&gt;"",L141&lt;&gt;"Rest Day"),1,0)</f>
        <v>0</v>
      </c>
      <c r="Y141" s="34" t="n">
        <f aca="false">IF(X141=1,Y140+1,0)</f>
        <v>0</v>
      </c>
      <c r="Z141" s="34" t="n">
        <f aca="false">IF(N(T141)&gt;=1,Z140+1,0)</f>
        <v>0</v>
      </c>
      <c r="AA141" s="34" t="n">
        <f aca="false">IF(N(U141)&gt;=1,AA140+1,0)</f>
        <v>0</v>
      </c>
      <c r="AB141" s="34" t="n">
        <f aca="false">IF(N(V141)&gt;=1,AB140+1,0)</f>
        <v>0</v>
      </c>
      <c r="AC141" s="34" t="str">
        <f aca="false">IF(COUNT(E141,F141,I141,J141)=0,"",ROUND((MIN(IFERROR(E141/StepGoal,0),1)*100)*0.2+(MIN(IFERROR(F141/SleepGoal,0),1)*100)*0.2+(IF(L141="",0,IF(L141="Rest Day",100,MIN(IFERROR(M141/60,0),1)*100)))*0.25+(IFERROR(INDEX('Recovery Tracker'!$E$5:$E$369,MATCH(A141,'Recovery Tracker'!$A$5:$A$369,0))+0,70))*0.15+(MIN(IFERROR(I141/WaterGoal,0),1)*100)*0.1+(IF(J141="",0,MAX(0,100-MIN(ABS(J141-CalorieGoal)/CalorieGoal,1)*100)))*0.1,0))</f>
        <v/>
      </c>
    </row>
    <row r="142" customFormat="false" ht="15" hidden="false" customHeight="false" outlineLevel="0" collapsed="false">
      <c r="A142" s="35" t="n">
        <f aca="false">A141+1</f>
        <v>46160</v>
      </c>
      <c r="B142" s="36" t="str">
        <f aca="false">TEXT(A142,"ddd")</f>
        <v>Mon</v>
      </c>
      <c r="C142" s="36" t="n">
        <f aca="false">INT((A142-StartDate)/7)+1</f>
        <v>20</v>
      </c>
      <c r="D142" s="36" t="str">
        <f aca="false">TEXT(A142,"mmm")</f>
        <v>May</v>
      </c>
      <c r="E142" s="28"/>
      <c r="F142" s="29"/>
      <c r="G142" s="29"/>
      <c r="H142" s="30"/>
      <c r="I142" s="29"/>
      <c r="J142" s="28"/>
      <c r="K142" s="28"/>
      <c r="L142" s="31"/>
      <c r="M142" s="28"/>
      <c r="N142" s="31"/>
      <c r="O142" s="31"/>
      <c r="P142" s="31"/>
      <c r="Q142" s="31"/>
      <c r="R142" s="31"/>
      <c r="S142" s="32"/>
      <c r="T142" s="37" t="str">
        <f aca="false">IF(E142="","",E142/StepGoal)</f>
        <v/>
      </c>
      <c r="U142" s="37" t="str">
        <f aca="false">IF(F142="","",F142/SleepGoal)</f>
        <v/>
      </c>
      <c r="V142" s="37" t="str">
        <f aca="false">IF(I142="","",I142/WaterGoal)</f>
        <v/>
      </c>
      <c r="W142" s="37" t="str">
        <f aca="false">IF(COUNT(E142,F142,I142)=0,"",(IF(N(T142)&gt;=1,1,0)+IF(N(U142)&gt;=1,1,0)+IF(N(V142)&gt;=1,1,0))/3)</f>
        <v/>
      </c>
      <c r="X142" s="36" t="n">
        <f aca="false">IF(AND(L142&lt;&gt;"",L142&lt;&gt;"Rest Day"),1,0)</f>
        <v>0</v>
      </c>
      <c r="Y142" s="38" t="n">
        <f aca="false">IF(X142=1,Y141+1,0)</f>
        <v>0</v>
      </c>
      <c r="Z142" s="38" t="n">
        <f aca="false">IF(N(T142)&gt;=1,Z141+1,0)</f>
        <v>0</v>
      </c>
      <c r="AA142" s="38" t="n">
        <f aca="false">IF(N(U142)&gt;=1,AA141+1,0)</f>
        <v>0</v>
      </c>
      <c r="AB142" s="38" t="n">
        <f aca="false">IF(N(V142)&gt;=1,AB141+1,0)</f>
        <v>0</v>
      </c>
      <c r="AC142" s="38" t="str">
        <f aca="false">IF(COUNT(E142,F142,I142,J142)=0,"",ROUND((MIN(IFERROR(E142/StepGoal,0),1)*100)*0.2+(MIN(IFERROR(F142/SleepGoal,0),1)*100)*0.2+(IF(L142="",0,IF(L142="Rest Day",100,MIN(IFERROR(M142/60,0),1)*100)))*0.25+(IFERROR(INDEX('Recovery Tracker'!$E$5:$E$369,MATCH(A142,'Recovery Tracker'!$A$5:$A$369,0))+0,70))*0.15+(MIN(IFERROR(I142/WaterGoal,0),1)*100)*0.1+(IF(J142="",0,MAX(0,100-MIN(ABS(J142-CalorieGoal)/CalorieGoal,1)*100)))*0.1,0))</f>
        <v/>
      </c>
    </row>
    <row r="143" customFormat="false" ht="15" hidden="false" customHeight="false" outlineLevel="0" collapsed="false">
      <c r="A143" s="26" t="n">
        <f aca="false">A142+1</f>
        <v>46161</v>
      </c>
      <c r="B143" s="27" t="str">
        <f aca="false">TEXT(A143,"ddd")</f>
        <v>Tue</v>
      </c>
      <c r="C143" s="27" t="n">
        <f aca="false">INT((A143-StartDate)/7)+1</f>
        <v>20</v>
      </c>
      <c r="D143" s="27" t="str">
        <f aca="false">TEXT(A143,"mmm")</f>
        <v>May</v>
      </c>
      <c r="E143" s="28"/>
      <c r="F143" s="29"/>
      <c r="G143" s="29"/>
      <c r="H143" s="30"/>
      <c r="I143" s="29"/>
      <c r="J143" s="28"/>
      <c r="K143" s="28"/>
      <c r="L143" s="31"/>
      <c r="M143" s="28"/>
      <c r="N143" s="31"/>
      <c r="O143" s="31"/>
      <c r="P143" s="31"/>
      <c r="Q143" s="31"/>
      <c r="R143" s="31"/>
      <c r="S143" s="32"/>
      <c r="T143" s="33" t="str">
        <f aca="false">IF(E143="","",E143/StepGoal)</f>
        <v/>
      </c>
      <c r="U143" s="33" t="str">
        <f aca="false">IF(F143="","",F143/SleepGoal)</f>
        <v/>
      </c>
      <c r="V143" s="33" t="str">
        <f aca="false">IF(I143="","",I143/WaterGoal)</f>
        <v/>
      </c>
      <c r="W143" s="33" t="str">
        <f aca="false">IF(COUNT(E143,F143,I143)=0,"",(IF(N(T143)&gt;=1,1,0)+IF(N(U143)&gt;=1,1,0)+IF(N(V143)&gt;=1,1,0))/3)</f>
        <v/>
      </c>
      <c r="X143" s="27" t="n">
        <f aca="false">IF(AND(L143&lt;&gt;"",L143&lt;&gt;"Rest Day"),1,0)</f>
        <v>0</v>
      </c>
      <c r="Y143" s="34" t="n">
        <f aca="false">IF(X143=1,Y142+1,0)</f>
        <v>0</v>
      </c>
      <c r="Z143" s="34" t="n">
        <f aca="false">IF(N(T143)&gt;=1,Z142+1,0)</f>
        <v>0</v>
      </c>
      <c r="AA143" s="34" t="n">
        <f aca="false">IF(N(U143)&gt;=1,AA142+1,0)</f>
        <v>0</v>
      </c>
      <c r="AB143" s="34" t="n">
        <f aca="false">IF(N(V143)&gt;=1,AB142+1,0)</f>
        <v>0</v>
      </c>
      <c r="AC143" s="34" t="str">
        <f aca="false">IF(COUNT(E143,F143,I143,J143)=0,"",ROUND((MIN(IFERROR(E143/StepGoal,0),1)*100)*0.2+(MIN(IFERROR(F143/SleepGoal,0),1)*100)*0.2+(IF(L143="",0,IF(L143="Rest Day",100,MIN(IFERROR(M143/60,0),1)*100)))*0.25+(IFERROR(INDEX('Recovery Tracker'!$E$5:$E$369,MATCH(A143,'Recovery Tracker'!$A$5:$A$369,0))+0,70))*0.15+(MIN(IFERROR(I143/WaterGoal,0),1)*100)*0.1+(IF(J143="",0,MAX(0,100-MIN(ABS(J143-CalorieGoal)/CalorieGoal,1)*100)))*0.1,0))</f>
        <v/>
      </c>
    </row>
    <row r="144" customFormat="false" ht="15" hidden="false" customHeight="false" outlineLevel="0" collapsed="false">
      <c r="A144" s="35" t="n">
        <f aca="false">A143+1</f>
        <v>46162</v>
      </c>
      <c r="B144" s="36" t="str">
        <f aca="false">TEXT(A144,"ddd")</f>
        <v>Wed</v>
      </c>
      <c r="C144" s="36" t="n">
        <f aca="false">INT((A144-StartDate)/7)+1</f>
        <v>20</v>
      </c>
      <c r="D144" s="36" t="str">
        <f aca="false">TEXT(A144,"mmm")</f>
        <v>May</v>
      </c>
      <c r="E144" s="28"/>
      <c r="F144" s="29"/>
      <c r="G144" s="29"/>
      <c r="H144" s="30"/>
      <c r="I144" s="29"/>
      <c r="J144" s="28"/>
      <c r="K144" s="28"/>
      <c r="L144" s="31"/>
      <c r="M144" s="28"/>
      <c r="N144" s="31"/>
      <c r="O144" s="31"/>
      <c r="P144" s="31"/>
      <c r="Q144" s="31"/>
      <c r="R144" s="31"/>
      <c r="S144" s="32"/>
      <c r="T144" s="37" t="str">
        <f aca="false">IF(E144="","",E144/StepGoal)</f>
        <v/>
      </c>
      <c r="U144" s="37" t="str">
        <f aca="false">IF(F144="","",F144/SleepGoal)</f>
        <v/>
      </c>
      <c r="V144" s="37" t="str">
        <f aca="false">IF(I144="","",I144/WaterGoal)</f>
        <v/>
      </c>
      <c r="W144" s="37" t="str">
        <f aca="false">IF(COUNT(E144,F144,I144)=0,"",(IF(N(T144)&gt;=1,1,0)+IF(N(U144)&gt;=1,1,0)+IF(N(V144)&gt;=1,1,0))/3)</f>
        <v/>
      </c>
      <c r="X144" s="36" t="n">
        <f aca="false">IF(AND(L144&lt;&gt;"",L144&lt;&gt;"Rest Day"),1,0)</f>
        <v>0</v>
      </c>
      <c r="Y144" s="38" t="n">
        <f aca="false">IF(X144=1,Y143+1,0)</f>
        <v>0</v>
      </c>
      <c r="Z144" s="38" t="n">
        <f aca="false">IF(N(T144)&gt;=1,Z143+1,0)</f>
        <v>0</v>
      </c>
      <c r="AA144" s="38" t="n">
        <f aca="false">IF(N(U144)&gt;=1,AA143+1,0)</f>
        <v>0</v>
      </c>
      <c r="AB144" s="38" t="n">
        <f aca="false">IF(N(V144)&gt;=1,AB143+1,0)</f>
        <v>0</v>
      </c>
      <c r="AC144" s="38" t="str">
        <f aca="false">IF(COUNT(E144,F144,I144,J144)=0,"",ROUND((MIN(IFERROR(E144/StepGoal,0),1)*100)*0.2+(MIN(IFERROR(F144/SleepGoal,0),1)*100)*0.2+(IF(L144="",0,IF(L144="Rest Day",100,MIN(IFERROR(M144/60,0),1)*100)))*0.25+(IFERROR(INDEX('Recovery Tracker'!$E$5:$E$369,MATCH(A144,'Recovery Tracker'!$A$5:$A$369,0))+0,70))*0.15+(MIN(IFERROR(I144/WaterGoal,0),1)*100)*0.1+(IF(J144="",0,MAX(0,100-MIN(ABS(J144-CalorieGoal)/CalorieGoal,1)*100)))*0.1,0))</f>
        <v/>
      </c>
    </row>
    <row r="145" customFormat="false" ht="15" hidden="false" customHeight="false" outlineLevel="0" collapsed="false">
      <c r="A145" s="26" t="n">
        <f aca="false">A144+1</f>
        <v>46163</v>
      </c>
      <c r="B145" s="27" t="str">
        <f aca="false">TEXT(A145,"ddd")</f>
        <v>Thu</v>
      </c>
      <c r="C145" s="27" t="n">
        <f aca="false">INT((A145-StartDate)/7)+1</f>
        <v>21</v>
      </c>
      <c r="D145" s="27" t="str">
        <f aca="false">TEXT(A145,"mmm")</f>
        <v>May</v>
      </c>
      <c r="E145" s="28"/>
      <c r="F145" s="29"/>
      <c r="G145" s="29"/>
      <c r="H145" s="30"/>
      <c r="I145" s="29"/>
      <c r="J145" s="28"/>
      <c r="K145" s="28"/>
      <c r="L145" s="31"/>
      <c r="M145" s="28"/>
      <c r="N145" s="31"/>
      <c r="O145" s="31"/>
      <c r="P145" s="31"/>
      <c r="Q145" s="31"/>
      <c r="R145" s="31"/>
      <c r="S145" s="32"/>
      <c r="T145" s="33" t="str">
        <f aca="false">IF(E145="","",E145/StepGoal)</f>
        <v/>
      </c>
      <c r="U145" s="33" t="str">
        <f aca="false">IF(F145="","",F145/SleepGoal)</f>
        <v/>
      </c>
      <c r="V145" s="33" t="str">
        <f aca="false">IF(I145="","",I145/WaterGoal)</f>
        <v/>
      </c>
      <c r="W145" s="33" t="str">
        <f aca="false">IF(COUNT(E145,F145,I145)=0,"",(IF(N(T145)&gt;=1,1,0)+IF(N(U145)&gt;=1,1,0)+IF(N(V145)&gt;=1,1,0))/3)</f>
        <v/>
      </c>
      <c r="X145" s="27" t="n">
        <f aca="false">IF(AND(L145&lt;&gt;"",L145&lt;&gt;"Rest Day"),1,0)</f>
        <v>0</v>
      </c>
      <c r="Y145" s="34" t="n">
        <f aca="false">IF(X145=1,Y144+1,0)</f>
        <v>0</v>
      </c>
      <c r="Z145" s="34" t="n">
        <f aca="false">IF(N(T145)&gt;=1,Z144+1,0)</f>
        <v>0</v>
      </c>
      <c r="AA145" s="34" t="n">
        <f aca="false">IF(N(U145)&gt;=1,AA144+1,0)</f>
        <v>0</v>
      </c>
      <c r="AB145" s="34" t="n">
        <f aca="false">IF(N(V145)&gt;=1,AB144+1,0)</f>
        <v>0</v>
      </c>
      <c r="AC145" s="34" t="str">
        <f aca="false">IF(COUNT(E145,F145,I145,J145)=0,"",ROUND((MIN(IFERROR(E145/StepGoal,0),1)*100)*0.2+(MIN(IFERROR(F145/SleepGoal,0),1)*100)*0.2+(IF(L145="",0,IF(L145="Rest Day",100,MIN(IFERROR(M145/60,0),1)*100)))*0.25+(IFERROR(INDEX('Recovery Tracker'!$E$5:$E$369,MATCH(A145,'Recovery Tracker'!$A$5:$A$369,0))+0,70))*0.15+(MIN(IFERROR(I145/WaterGoal,0),1)*100)*0.1+(IF(J145="",0,MAX(0,100-MIN(ABS(J145-CalorieGoal)/CalorieGoal,1)*100)))*0.1,0))</f>
        <v/>
      </c>
    </row>
    <row r="146" customFormat="false" ht="15" hidden="false" customHeight="false" outlineLevel="0" collapsed="false">
      <c r="A146" s="35" t="n">
        <f aca="false">A145+1</f>
        <v>46164</v>
      </c>
      <c r="B146" s="36" t="str">
        <f aca="false">TEXT(A146,"ddd")</f>
        <v>Fri</v>
      </c>
      <c r="C146" s="36" t="n">
        <f aca="false">INT((A146-StartDate)/7)+1</f>
        <v>21</v>
      </c>
      <c r="D146" s="36" t="str">
        <f aca="false">TEXT(A146,"mmm")</f>
        <v>May</v>
      </c>
      <c r="E146" s="28"/>
      <c r="F146" s="29"/>
      <c r="G146" s="29"/>
      <c r="H146" s="30"/>
      <c r="I146" s="29"/>
      <c r="J146" s="28"/>
      <c r="K146" s="28"/>
      <c r="L146" s="31"/>
      <c r="M146" s="28"/>
      <c r="N146" s="31"/>
      <c r="O146" s="31"/>
      <c r="P146" s="31"/>
      <c r="Q146" s="31"/>
      <c r="R146" s="31"/>
      <c r="S146" s="32"/>
      <c r="T146" s="37" t="str">
        <f aca="false">IF(E146="","",E146/StepGoal)</f>
        <v/>
      </c>
      <c r="U146" s="37" t="str">
        <f aca="false">IF(F146="","",F146/SleepGoal)</f>
        <v/>
      </c>
      <c r="V146" s="37" t="str">
        <f aca="false">IF(I146="","",I146/WaterGoal)</f>
        <v/>
      </c>
      <c r="W146" s="37" t="str">
        <f aca="false">IF(COUNT(E146,F146,I146)=0,"",(IF(N(T146)&gt;=1,1,0)+IF(N(U146)&gt;=1,1,0)+IF(N(V146)&gt;=1,1,0))/3)</f>
        <v/>
      </c>
      <c r="X146" s="36" t="n">
        <f aca="false">IF(AND(L146&lt;&gt;"",L146&lt;&gt;"Rest Day"),1,0)</f>
        <v>0</v>
      </c>
      <c r="Y146" s="38" t="n">
        <f aca="false">IF(X146=1,Y145+1,0)</f>
        <v>0</v>
      </c>
      <c r="Z146" s="38" t="n">
        <f aca="false">IF(N(T146)&gt;=1,Z145+1,0)</f>
        <v>0</v>
      </c>
      <c r="AA146" s="38" t="n">
        <f aca="false">IF(N(U146)&gt;=1,AA145+1,0)</f>
        <v>0</v>
      </c>
      <c r="AB146" s="38" t="n">
        <f aca="false">IF(N(V146)&gt;=1,AB145+1,0)</f>
        <v>0</v>
      </c>
      <c r="AC146" s="38" t="str">
        <f aca="false">IF(COUNT(E146,F146,I146,J146)=0,"",ROUND((MIN(IFERROR(E146/StepGoal,0),1)*100)*0.2+(MIN(IFERROR(F146/SleepGoal,0),1)*100)*0.2+(IF(L146="",0,IF(L146="Rest Day",100,MIN(IFERROR(M146/60,0),1)*100)))*0.25+(IFERROR(INDEX('Recovery Tracker'!$E$5:$E$369,MATCH(A146,'Recovery Tracker'!$A$5:$A$369,0))+0,70))*0.15+(MIN(IFERROR(I146/WaterGoal,0),1)*100)*0.1+(IF(J146="",0,MAX(0,100-MIN(ABS(J146-CalorieGoal)/CalorieGoal,1)*100)))*0.1,0))</f>
        <v/>
      </c>
    </row>
    <row r="147" customFormat="false" ht="15" hidden="false" customHeight="false" outlineLevel="0" collapsed="false">
      <c r="A147" s="26" t="n">
        <f aca="false">A146+1</f>
        <v>46165</v>
      </c>
      <c r="B147" s="27" t="str">
        <f aca="false">TEXT(A147,"ddd")</f>
        <v>Sat</v>
      </c>
      <c r="C147" s="27" t="n">
        <f aca="false">INT((A147-StartDate)/7)+1</f>
        <v>21</v>
      </c>
      <c r="D147" s="27" t="str">
        <f aca="false">TEXT(A147,"mmm")</f>
        <v>May</v>
      </c>
      <c r="E147" s="28"/>
      <c r="F147" s="29"/>
      <c r="G147" s="29"/>
      <c r="H147" s="30"/>
      <c r="I147" s="29"/>
      <c r="J147" s="28"/>
      <c r="K147" s="28"/>
      <c r="L147" s="31"/>
      <c r="M147" s="28"/>
      <c r="N147" s="31"/>
      <c r="O147" s="31"/>
      <c r="P147" s="31"/>
      <c r="Q147" s="31"/>
      <c r="R147" s="31"/>
      <c r="S147" s="32"/>
      <c r="T147" s="33" t="str">
        <f aca="false">IF(E147="","",E147/StepGoal)</f>
        <v/>
      </c>
      <c r="U147" s="33" t="str">
        <f aca="false">IF(F147="","",F147/SleepGoal)</f>
        <v/>
      </c>
      <c r="V147" s="33" t="str">
        <f aca="false">IF(I147="","",I147/WaterGoal)</f>
        <v/>
      </c>
      <c r="W147" s="33" t="str">
        <f aca="false">IF(COUNT(E147,F147,I147)=0,"",(IF(N(T147)&gt;=1,1,0)+IF(N(U147)&gt;=1,1,0)+IF(N(V147)&gt;=1,1,0))/3)</f>
        <v/>
      </c>
      <c r="X147" s="27" t="n">
        <f aca="false">IF(AND(L147&lt;&gt;"",L147&lt;&gt;"Rest Day"),1,0)</f>
        <v>0</v>
      </c>
      <c r="Y147" s="34" t="n">
        <f aca="false">IF(X147=1,Y146+1,0)</f>
        <v>0</v>
      </c>
      <c r="Z147" s="34" t="n">
        <f aca="false">IF(N(T147)&gt;=1,Z146+1,0)</f>
        <v>0</v>
      </c>
      <c r="AA147" s="34" t="n">
        <f aca="false">IF(N(U147)&gt;=1,AA146+1,0)</f>
        <v>0</v>
      </c>
      <c r="AB147" s="34" t="n">
        <f aca="false">IF(N(V147)&gt;=1,AB146+1,0)</f>
        <v>0</v>
      </c>
      <c r="AC147" s="34" t="str">
        <f aca="false">IF(COUNT(E147,F147,I147,J147)=0,"",ROUND((MIN(IFERROR(E147/StepGoal,0),1)*100)*0.2+(MIN(IFERROR(F147/SleepGoal,0),1)*100)*0.2+(IF(L147="",0,IF(L147="Rest Day",100,MIN(IFERROR(M147/60,0),1)*100)))*0.25+(IFERROR(INDEX('Recovery Tracker'!$E$5:$E$369,MATCH(A147,'Recovery Tracker'!$A$5:$A$369,0))+0,70))*0.15+(MIN(IFERROR(I147/WaterGoal,0),1)*100)*0.1+(IF(J147="",0,MAX(0,100-MIN(ABS(J147-CalorieGoal)/CalorieGoal,1)*100)))*0.1,0))</f>
        <v/>
      </c>
    </row>
    <row r="148" customFormat="false" ht="15" hidden="false" customHeight="false" outlineLevel="0" collapsed="false">
      <c r="A148" s="35" t="n">
        <f aca="false">A147+1</f>
        <v>46166</v>
      </c>
      <c r="B148" s="36" t="str">
        <f aca="false">TEXT(A148,"ddd")</f>
        <v>Sun</v>
      </c>
      <c r="C148" s="36" t="n">
        <f aca="false">INT((A148-StartDate)/7)+1</f>
        <v>21</v>
      </c>
      <c r="D148" s="36" t="str">
        <f aca="false">TEXT(A148,"mmm")</f>
        <v>May</v>
      </c>
      <c r="E148" s="28"/>
      <c r="F148" s="29"/>
      <c r="G148" s="29"/>
      <c r="H148" s="30"/>
      <c r="I148" s="29"/>
      <c r="J148" s="28"/>
      <c r="K148" s="28"/>
      <c r="L148" s="31"/>
      <c r="M148" s="28"/>
      <c r="N148" s="31"/>
      <c r="O148" s="31"/>
      <c r="P148" s="31"/>
      <c r="Q148" s="31"/>
      <c r="R148" s="31"/>
      <c r="S148" s="32"/>
      <c r="T148" s="37" t="str">
        <f aca="false">IF(E148="","",E148/StepGoal)</f>
        <v/>
      </c>
      <c r="U148" s="37" t="str">
        <f aca="false">IF(F148="","",F148/SleepGoal)</f>
        <v/>
      </c>
      <c r="V148" s="37" t="str">
        <f aca="false">IF(I148="","",I148/WaterGoal)</f>
        <v/>
      </c>
      <c r="W148" s="37" t="str">
        <f aca="false">IF(COUNT(E148,F148,I148)=0,"",(IF(N(T148)&gt;=1,1,0)+IF(N(U148)&gt;=1,1,0)+IF(N(V148)&gt;=1,1,0))/3)</f>
        <v/>
      </c>
      <c r="X148" s="36" t="n">
        <f aca="false">IF(AND(L148&lt;&gt;"",L148&lt;&gt;"Rest Day"),1,0)</f>
        <v>0</v>
      </c>
      <c r="Y148" s="38" t="n">
        <f aca="false">IF(X148=1,Y147+1,0)</f>
        <v>0</v>
      </c>
      <c r="Z148" s="38" t="n">
        <f aca="false">IF(N(T148)&gt;=1,Z147+1,0)</f>
        <v>0</v>
      </c>
      <c r="AA148" s="38" t="n">
        <f aca="false">IF(N(U148)&gt;=1,AA147+1,0)</f>
        <v>0</v>
      </c>
      <c r="AB148" s="38" t="n">
        <f aca="false">IF(N(V148)&gt;=1,AB147+1,0)</f>
        <v>0</v>
      </c>
      <c r="AC148" s="38" t="str">
        <f aca="false">IF(COUNT(E148,F148,I148,J148)=0,"",ROUND((MIN(IFERROR(E148/StepGoal,0),1)*100)*0.2+(MIN(IFERROR(F148/SleepGoal,0),1)*100)*0.2+(IF(L148="",0,IF(L148="Rest Day",100,MIN(IFERROR(M148/60,0),1)*100)))*0.25+(IFERROR(INDEX('Recovery Tracker'!$E$5:$E$369,MATCH(A148,'Recovery Tracker'!$A$5:$A$369,0))+0,70))*0.15+(MIN(IFERROR(I148/WaterGoal,0),1)*100)*0.1+(IF(J148="",0,MAX(0,100-MIN(ABS(J148-CalorieGoal)/CalorieGoal,1)*100)))*0.1,0))</f>
        <v/>
      </c>
    </row>
    <row r="149" customFormat="false" ht="15" hidden="false" customHeight="false" outlineLevel="0" collapsed="false">
      <c r="A149" s="26" t="n">
        <f aca="false">A148+1</f>
        <v>46167</v>
      </c>
      <c r="B149" s="27" t="str">
        <f aca="false">TEXT(A149,"ddd")</f>
        <v>Mon</v>
      </c>
      <c r="C149" s="27" t="n">
        <f aca="false">INT((A149-StartDate)/7)+1</f>
        <v>21</v>
      </c>
      <c r="D149" s="27" t="str">
        <f aca="false">TEXT(A149,"mmm")</f>
        <v>May</v>
      </c>
      <c r="E149" s="28"/>
      <c r="F149" s="29"/>
      <c r="G149" s="29"/>
      <c r="H149" s="30"/>
      <c r="I149" s="29"/>
      <c r="J149" s="28"/>
      <c r="K149" s="28"/>
      <c r="L149" s="31"/>
      <c r="M149" s="28"/>
      <c r="N149" s="31"/>
      <c r="O149" s="31"/>
      <c r="P149" s="31"/>
      <c r="Q149" s="31"/>
      <c r="R149" s="31"/>
      <c r="S149" s="32"/>
      <c r="T149" s="33" t="str">
        <f aca="false">IF(E149="","",E149/StepGoal)</f>
        <v/>
      </c>
      <c r="U149" s="33" t="str">
        <f aca="false">IF(F149="","",F149/SleepGoal)</f>
        <v/>
      </c>
      <c r="V149" s="33" t="str">
        <f aca="false">IF(I149="","",I149/WaterGoal)</f>
        <v/>
      </c>
      <c r="W149" s="33" t="str">
        <f aca="false">IF(COUNT(E149,F149,I149)=0,"",(IF(N(T149)&gt;=1,1,0)+IF(N(U149)&gt;=1,1,0)+IF(N(V149)&gt;=1,1,0))/3)</f>
        <v/>
      </c>
      <c r="X149" s="27" t="n">
        <f aca="false">IF(AND(L149&lt;&gt;"",L149&lt;&gt;"Rest Day"),1,0)</f>
        <v>0</v>
      </c>
      <c r="Y149" s="34" t="n">
        <f aca="false">IF(X149=1,Y148+1,0)</f>
        <v>0</v>
      </c>
      <c r="Z149" s="34" t="n">
        <f aca="false">IF(N(T149)&gt;=1,Z148+1,0)</f>
        <v>0</v>
      </c>
      <c r="AA149" s="34" t="n">
        <f aca="false">IF(N(U149)&gt;=1,AA148+1,0)</f>
        <v>0</v>
      </c>
      <c r="AB149" s="34" t="n">
        <f aca="false">IF(N(V149)&gt;=1,AB148+1,0)</f>
        <v>0</v>
      </c>
      <c r="AC149" s="34" t="str">
        <f aca="false">IF(COUNT(E149,F149,I149,J149)=0,"",ROUND((MIN(IFERROR(E149/StepGoal,0),1)*100)*0.2+(MIN(IFERROR(F149/SleepGoal,0),1)*100)*0.2+(IF(L149="",0,IF(L149="Rest Day",100,MIN(IFERROR(M149/60,0),1)*100)))*0.25+(IFERROR(INDEX('Recovery Tracker'!$E$5:$E$369,MATCH(A149,'Recovery Tracker'!$A$5:$A$369,0))+0,70))*0.15+(MIN(IFERROR(I149/WaterGoal,0),1)*100)*0.1+(IF(J149="",0,MAX(0,100-MIN(ABS(J149-CalorieGoal)/CalorieGoal,1)*100)))*0.1,0))</f>
        <v/>
      </c>
    </row>
    <row r="150" customFormat="false" ht="15" hidden="false" customHeight="false" outlineLevel="0" collapsed="false">
      <c r="A150" s="35" t="n">
        <f aca="false">A149+1</f>
        <v>46168</v>
      </c>
      <c r="B150" s="36" t="str">
        <f aca="false">TEXT(A150,"ddd")</f>
        <v>Tue</v>
      </c>
      <c r="C150" s="36" t="n">
        <f aca="false">INT((A150-StartDate)/7)+1</f>
        <v>21</v>
      </c>
      <c r="D150" s="36" t="str">
        <f aca="false">TEXT(A150,"mmm")</f>
        <v>May</v>
      </c>
      <c r="E150" s="28"/>
      <c r="F150" s="29"/>
      <c r="G150" s="29"/>
      <c r="H150" s="30"/>
      <c r="I150" s="29"/>
      <c r="J150" s="28"/>
      <c r="K150" s="28"/>
      <c r="L150" s="31"/>
      <c r="M150" s="28"/>
      <c r="N150" s="31"/>
      <c r="O150" s="31"/>
      <c r="P150" s="31"/>
      <c r="Q150" s="31"/>
      <c r="R150" s="31"/>
      <c r="S150" s="32"/>
      <c r="T150" s="37" t="str">
        <f aca="false">IF(E150="","",E150/StepGoal)</f>
        <v/>
      </c>
      <c r="U150" s="37" t="str">
        <f aca="false">IF(F150="","",F150/SleepGoal)</f>
        <v/>
      </c>
      <c r="V150" s="37" t="str">
        <f aca="false">IF(I150="","",I150/WaterGoal)</f>
        <v/>
      </c>
      <c r="W150" s="37" t="str">
        <f aca="false">IF(COUNT(E150,F150,I150)=0,"",(IF(N(T150)&gt;=1,1,0)+IF(N(U150)&gt;=1,1,0)+IF(N(V150)&gt;=1,1,0))/3)</f>
        <v/>
      </c>
      <c r="X150" s="36" t="n">
        <f aca="false">IF(AND(L150&lt;&gt;"",L150&lt;&gt;"Rest Day"),1,0)</f>
        <v>0</v>
      </c>
      <c r="Y150" s="38" t="n">
        <f aca="false">IF(X150=1,Y149+1,0)</f>
        <v>0</v>
      </c>
      <c r="Z150" s="38" t="n">
        <f aca="false">IF(N(T150)&gt;=1,Z149+1,0)</f>
        <v>0</v>
      </c>
      <c r="AA150" s="38" t="n">
        <f aca="false">IF(N(U150)&gt;=1,AA149+1,0)</f>
        <v>0</v>
      </c>
      <c r="AB150" s="38" t="n">
        <f aca="false">IF(N(V150)&gt;=1,AB149+1,0)</f>
        <v>0</v>
      </c>
      <c r="AC150" s="38" t="str">
        <f aca="false">IF(COUNT(E150,F150,I150,J150)=0,"",ROUND((MIN(IFERROR(E150/StepGoal,0),1)*100)*0.2+(MIN(IFERROR(F150/SleepGoal,0),1)*100)*0.2+(IF(L150="",0,IF(L150="Rest Day",100,MIN(IFERROR(M150/60,0),1)*100)))*0.25+(IFERROR(INDEX('Recovery Tracker'!$E$5:$E$369,MATCH(A150,'Recovery Tracker'!$A$5:$A$369,0))+0,70))*0.15+(MIN(IFERROR(I150/WaterGoal,0),1)*100)*0.1+(IF(J150="",0,MAX(0,100-MIN(ABS(J150-CalorieGoal)/CalorieGoal,1)*100)))*0.1,0))</f>
        <v/>
      </c>
    </row>
    <row r="151" customFormat="false" ht="15" hidden="false" customHeight="false" outlineLevel="0" collapsed="false">
      <c r="A151" s="26" t="n">
        <f aca="false">A150+1</f>
        <v>46169</v>
      </c>
      <c r="B151" s="27" t="str">
        <f aca="false">TEXT(A151,"ddd")</f>
        <v>Wed</v>
      </c>
      <c r="C151" s="27" t="n">
        <f aca="false">INT((A151-StartDate)/7)+1</f>
        <v>21</v>
      </c>
      <c r="D151" s="27" t="str">
        <f aca="false">TEXT(A151,"mmm")</f>
        <v>May</v>
      </c>
      <c r="E151" s="28"/>
      <c r="F151" s="29"/>
      <c r="G151" s="29"/>
      <c r="H151" s="30"/>
      <c r="I151" s="29"/>
      <c r="J151" s="28"/>
      <c r="K151" s="28"/>
      <c r="L151" s="31"/>
      <c r="M151" s="28"/>
      <c r="N151" s="31"/>
      <c r="O151" s="31"/>
      <c r="P151" s="31"/>
      <c r="Q151" s="31"/>
      <c r="R151" s="31"/>
      <c r="S151" s="32"/>
      <c r="T151" s="33" t="str">
        <f aca="false">IF(E151="","",E151/StepGoal)</f>
        <v/>
      </c>
      <c r="U151" s="33" t="str">
        <f aca="false">IF(F151="","",F151/SleepGoal)</f>
        <v/>
      </c>
      <c r="V151" s="33" t="str">
        <f aca="false">IF(I151="","",I151/WaterGoal)</f>
        <v/>
      </c>
      <c r="W151" s="33" t="str">
        <f aca="false">IF(COUNT(E151,F151,I151)=0,"",(IF(N(T151)&gt;=1,1,0)+IF(N(U151)&gt;=1,1,0)+IF(N(V151)&gt;=1,1,0))/3)</f>
        <v/>
      </c>
      <c r="X151" s="27" t="n">
        <f aca="false">IF(AND(L151&lt;&gt;"",L151&lt;&gt;"Rest Day"),1,0)</f>
        <v>0</v>
      </c>
      <c r="Y151" s="34" t="n">
        <f aca="false">IF(X151=1,Y150+1,0)</f>
        <v>0</v>
      </c>
      <c r="Z151" s="34" t="n">
        <f aca="false">IF(N(T151)&gt;=1,Z150+1,0)</f>
        <v>0</v>
      </c>
      <c r="AA151" s="34" t="n">
        <f aca="false">IF(N(U151)&gt;=1,AA150+1,0)</f>
        <v>0</v>
      </c>
      <c r="AB151" s="34" t="n">
        <f aca="false">IF(N(V151)&gt;=1,AB150+1,0)</f>
        <v>0</v>
      </c>
      <c r="AC151" s="34" t="str">
        <f aca="false">IF(COUNT(E151,F151,I151,J151)=0,"",ROUND((MIN(IFERROR(E151/StepGoal,0),1)*100)*0.2+(MIN(IFERROR(F151/SleepGoal,0),1)*100)*0.2+(IF(L151="",0,IF(L151="Rest Day",100,MIN(IFERROR(M151/60,0),1)*100)))*0.25+(IFERROR(INDEX('Recovery Tracker'!$E$5:$E$369,MATCH(A151,'Recovery Tracker'!$A$5:$A$369,0))+0,70))*0.15+(MIN(IFERROR(I151/WaterGoal,0),1)*100)*0.1+(IF(J151="",0,MAX(0,100-MIN(ABS(J151-CalorieGoal)/CalorieGoal,1)*100)))*0.1,0))</f>
        <v/>
      </c>
    </row>
    <row r="152" customFormat="false" ht="15" hidden="false" customHeight="false" outlineLevel="0" collapsed="false">
      <c r="A152" s="35" t="n">
        <f aca="false">A151+1</f>
        <v>46170</v>
      </c>
      <c r="B152" s="36" t="str">
        <f aca="false">TEXT(A152,"ddd")</f>
        <v>Thu</v>
      </c>
      <c r="C152" s="36" t="n">
        <f aca="false">INT((A152-StartDate)/7)+1</f>
        <v>22</v>
      </c>
      <c r="D152" s="36" t="str">
        <f aca="false">TEXT(A152,"mmm")</f>
        <v>May</v>
      </c>
      <c r="E152" s="28"/>
      <c r="F152" s="29"/>
      <c r="G152" s="29"/>
      <c r="H152" s="30"/>
      <c r="I152" s="29"/>
      <c r="J152" s="28"/>
      <c r="K152" s="28"/>
      <c r="L152" s="31"/>
      <c r="M152" s="28"/>
      <c r="N152" s="31"/>
      <c r="O152" s="31"/>
      <c r="P152" s="31"/>
      <c r="Q152" s="31"/>
      <c r="R152" s="31"/>
      <c r="S152" s="32"/>
      <c r="T152" s="37" t="str">
        <f aca="false">IF(E152="","",E152/StepGoal)</f>
        <v/>
      </c>
      <c r="U152" s="37" t="str">
        <f aca="false">IF(F152="","",F152/SleepGoal)</f>
        <v/>
      </c>
      <c r="V152" s="37" t="str">
        <f aca="false">IF(I152="","",I152/WaterGoal)</f>
        <v/>
      </c>
      <c r="W152" s="37" t="str">
        <f aca="false">IF(COUNT(E152,F152,I152)=0,"",(IF(N(T152)&gt;=1,1,0)+IF(N(U152)&gt;=1,1,0)+IF(N(V152)&gt;=1,1,0))/3)</f>
        <v/>
      </c>
      <c r="X152" s="36" t="n">
        <f aca="false">IF(AND(L152&lt;&gt;"",L152&lt;&gt;"Rest Day"),1,0)</f>
        <v>0</v>
      </c>
      <c r="Y152" s="38" t="n">
        <f aca="false">IF(X152=1,Y151+1,0)</f>
        <v>0</v>
      </c>
      <c r="Z152" s="38" t="n">
        <f aca="false">IF(N(T152)&gt;=1,Z151+1,0)</f>
        <v>0</v>
      </c>
      <c r="AA152" s="38" t="n">
        <f aca="false">IF(N(U152)&gt;=1,AA151+1,0)</f>
        <v>0</v>
      </c>
      <c r="AB152" s="38" t="n">
        <f aca="false">IF(N(V152)&gt;=1,AB151+1,0)</f>
        <v>0</v>
      </c>
      <c r="AC152" s="38" t="str">
        <f aca="false">IF(COUNT(E152,F152,I152,J152)=0,"",ROUND((MIN(IFERROR(E152/StepGoal,0),1)*100)*0.2+(MIN(IFERROR(F152/SleepGoal,0),1)*100)*0.2+(IF(L152="",0,IF(L152="Rest Day",100,MIN(IFERROR(M152/60,0),1)*100)))*0.25+(IFERROR(INDEX('Recovery Tracker'!$E$5:$E$369,MATCH(A152,'Recovery Tracker'!$A$5:$A$369,0))+0,70))*0.15+(MIN(IFERROR(I152/WaterGoal,0),1)*100)*0.1+(IF(J152="",0,MAX(0,100-MIN(ABS(J152-CalorieGoal)/CalorieGoal,1)*100)))*0.1,0))</f>
        <v/>
      </c>
    </row>
    <row r="153" customFormat="false" ht="15" hidden="false" customHeight="false" outlineLevel="0" collapsed="false">
      <c r="A153" s="26" t="n">
        <f aca="false">A152+1</f>
        <v>46171</v>
      </c>
      <c r="B153" s="27" t="str">
        <f aca="false">TEXT(A153,"ddd")</f>
        <v>Fri</v>
      </c>
      <c r="C153" s="27" t="n">
        <f aca="false">INT((A153-StartDate)/7)+1</f>
        <v>22</v>
      </c>
      <c r="D153" s="27" t="str">
        <f aca="false">TEXT(A153,"mmm")</f>
        <v>May</v>
      </c>
      <c r="E153" s="28"/>
      <c r="F153" s="29"/>
      <c r="G153" s="29"/>
      <c r="H153" s="30"/>
      <c r="I153" s="29"/>
      <c r="J153" s="28"/>
      <c r="K153" s="28"/>
      <c r="L153" s="31"/>
      <c r="M153" s="28"/>
      <c r="N153" s="31"/>
      <c r="O153" s="31"/>
      <c r="P153" s="31"/>
      <c r="Q153" s="31"/>
      <c r="R153" s="31"/>
      <c r="S153" s="32"/>
      <c r="T153" s="33" t="str">
        <f aca="false">IF(E153="","",E153/StepGoal)</f>
        <v/>
      </c>
      <c r="U153" s="33" t="str">
        <f aca="false">IF(F153="","",F153/SleepGoal)</f>
        <v/>
      </c>
      <c r="V153" s="33" t="str">
        <f aca="false">IF(I153="","",I153/WaterGoal)</f>
        <v/>
      </c>
      <c r="W153" s="33" t="str">
        <f aca="false">IF(COUNT(E153,F153,I153)=0,"",(IF(N(T153)&gt;=1,1,0)+IF(N(U153)&gt;=1,1,0)+IF(N(V153)&gt;=1,1,0))/3)</f>
        <v/>
      </c>
      <c r="X153" s="27" t="n">
        <f aca="false">IF(AND(L153&lt;&gt;"",L153&lt;&gt;"Rest Day"),1,0)</f>
        <v>0</v>
      </c>
      <c r="Y153" s="34" t="n">
        <f aca="false">IF(X153=1,Y152+1,0)</f>
        <v>0</v>
      </c>
      <c r="Z153" s="34" t="n">
        <f aca="false">IF(N(T153)&gt;=1,Z152+1,0)</f>
        <v>0</v>
      </c>
      <c r="AA153" s="34" t="n">
        <f aca="false">IF(N(U153)&gt;=1,AA152+1,0)</f>
        <v>0</v>
      </c>
      <c r="AB153" s="34" t="n">
        <f aca="false">IF(N(V153)&gt;=1,AB152+1,0)</f>
        <v>0</v>
      </c>
      <c r="AC153" s="34" t="str">
        <f aca="false">IF(COUNT(E153,F153,I153,J153)=0,"",ROUND((MIN(IFERROR(E153/StepGoal,0),1)*100)*0.2+(MIN(IFERROR(F153/SleepGoal,0),1)*100)*0.2+(IF(L153="",0,IF(L153="Rest Day",100,MIN(IFERROR(M153/60,0),1)*100)))*0.25+(IFERROR(INDEX('Recovery Tracker'!$E$5:$E$369,MATCH(A153,'Recovery Tracker'!$A$5:$A$369,0))+0,70))*0.15+(MIN(IFERROR(I153/WaterGoal,0),1)*100)*0.1+(IF(J153="",0,MAX(0,100-MIN(ABS(J153-CalorieGoal)/CalorieGoal,1)*100)))*0.1,0))</f>
        <v/>
      </c>
    </row>
    <row r="154" customFormat="false" ht="15" hidden="false" customHeight="false" outlineLevel="0" collapsed="false">
      <c r="A154" s="35" t="n">
        <f aca="false">A153+1</f>
        <v>46172</v>
      </c>
      <c r="B154" s="36" t="str">
        <f aca="false">TEXT(A154,"ddd")</f>
        <v>Sat</v>
      </c>
      <c r="C154" s="36" t="n">
        <f aca="false">INT((A154-StartDate)/7)+1</f>
        <v>22</v>
      </c>
      <c r="D154" s="36" t="str">
        <f aca="false">TEXT(A154,"mmm")</f>
        <v>May</v>
      </c>
      <c r="E154" s="28"/>
      <c r="F154" s="29"/>
      <c r="G154" s="29"/>
      <c r="H154" s="30"/>
      <c r="I154" s="29"/>
      <c r="J154" s="28"/>
      <c r="K154" s="28"/>
      <c r="L154" s="31"/>
      <c r="M154" s="28"/>
      <c r="N154" s="31"/>
      <c r="O154" s="31"/>
      <c r="P154" s="31"/>
      <c r="Q154" s="31"/>
      <c r="R154" s="31"/>
      <c r="S154" s="32"/>
      <c r="T154" s="37" t="str">
        <f aca="false">IF(E154="","",E154/StepGoal)</f>
        <v/>
      </c>
      <c r="U154" s="37" t="str">
        <f aca="false">IF(F154="","",F154/SleepGoal)</f>
        <v/>
      </c>
      <c r="V154" s="37" t="str">
        <f aca="false">IF(I154="","",I154/WaterGoal)</f>
        <v/>
      </c>
      <c r="W154" s="37" t="str">
        <f aca="false">IF(COUNT(E154,F154,I154)=0,"",(IF(N(T154)&gt;=1,1,0)+IF(N(U154)&gt;=1,1,0)+IF(N(V154)&gt;=1,1,0))/3)</f>
        <v/>
      </c>
      <c r="X154" s="36" t="n">
        <f aca="false">IF(AND(L154&lt;&gt;"",L154&lt;&gt;"Rest Day"),1,0)</f>
        <v>0</v>
      </c>
      <c r="Y154" s="38" t="n">
        <f aca="false">IF(X154=1,Y153+1,0)</f>
        <v>0</v>
      </c>
      <c r="Z154" s="38" t="n">
        <f aca="false">IF(N(T154)&gt;=1,Z153+1,0)</f>
        <v>0</v>
      </c>
      <c r="AA154" s="38" t="n">
        <f aca="false">IF(N(U154)&gt;=1,AA153+1,0)</f>
        <v>0</v>
      </c>
      <c r="AB154" s="38" t="n">
        <f aca="false">IF(N(V154)&gt;=1,AB153+1,0)</f>
        <v>0</v>
      </c>
      <c r="AC154" s="38" t="str">
        <f aca="false">IF(COUNT(E154,F154,I154,J154)=0,"",ROUND((MIN(IFERROR(E154/StepGoal,0),1)*100)*0.2+(MIN(IFERROR(F154/SleepGoal,0),1)*100)*0.2+(IF(L154="",0,IF(L154="Rest Day",100,MIN(IFERROR(M154/60,0),1)*100)))*0.25+(IFERROR(INDEX('Recovery Tracker'!$E$5:$E$369,MATCH(A154,'Recovery Tracker'!$A$5:$A$369,0))+0,70))*0.15+(MIN(IFERROR(I154/WaterGoal,0),1)*100)*0.1+(IF(J154="",0,MAX(0,100-MIN(ABS(J154-CalorieGoal)/CalorieGoal,1)*100)))*0.1,0))</f>
        <v/>
      </c>
    </row>
    <row r="155" customFormat="false" ht="15" hidden="false" customHeight="false" outlineLevel="0" collapsed="false">
      <c r="A155" s="26" t="n">
        <f aca="false">A154+1</f>
        <v>46173</v>
      </c>
      <c r="B155" s="27" t="str">
        <f aca="false">TEXT(A155,"ddd")</f>
        <v>Sun</v>
      </c>
      <c r="C155" s="27" t="n">
        <f aca="false">INT((A155-StartDate)/7)+1</f>
        <v>22</v>
      </c>
      <c r="D155" s="27" t="str">
        <f aca="false">TEXT(A155,"mmm")</f>
        <v>May</v>
      </c>
      <c r="E155" s="28"/>
      <c r="F155" s="29"/>
      <c r="G155" s="29"/>
      <c r="H155" s="30"/>
      <c r="I155" s="29"/>
      <c r="J155" s="28"/>
      <c r="K155" s="28"/>
      <c r="L155" s="31"/>
      <c r="M155" s="28"/>
      <c r="N155" s="31"/>
      <c r="O155" s="31"/>
      <c r="P155" s="31"/>
      <c r="Q155" s="31"/>
      <c r="R155" s="31"/>
      <c r="S155" s="32"/>
      <c r="T155" s="33" t="str">
        <f aca="false">IF(E155="","",E155/StepGoal)</f>
        <v/>
      </c>
      <c r="U155" s="33" t="str">
        <f aca="false">IF(F155="","",F155/SleepGoal)</f>
        <v/>
      </c>
      <c r="V155" s="33" t="str">
        <f aca="false">IF(I155="","",I155/WaterGoal)</f>
        <v/>
      </c>
      <c r="W155" s="33" t="str">
        <f aca="false">IF(COUNT(E155,F155,I155)=0,"",(IF(N(T155)&gt;=1,1,0)+IF(N(U155)&gt;=1,1,0)+IF(N(V155)&gt;=1,1,0))/3)</f>
        <v/>
      </c>
      <c r="X155" s="27" t="n">
        <f aca="false">IF(AND(L155&lt;&gt;"",L155&lt;&gt;"Rest Day"),1,0)</f>
        <v>0</v>
      </c>
      <c r="Y155" s="34" t="n">
        <f aca="false">IF(X155=1,Y154+1,0)</f>
        <v>0</v>
      </c>
      <c r="Z155" s="34" t="n">
        <f aca="false">IF(N(T155)&gt;=1,Z154+1,0)</f>
        <v>0</v>
      </c>
      <c r="AA155" s="34" t="n">
        <f aca="false">IF(N(U155)&gt;=1,AA154+1,0)</f>
        <v>0</v>
      </c>
      <c r="AB155" s="34" t="n">
        <f aca="false">IF(N(V155)&gt;=1,AB154+1,0)</f>
        <v>0</v>
      </c>
      <c r="AC155" s="34" t="str">
        <f aca="false">IF(COUNT(E155,F155,I155,J155)=0,"",ROUND((MIN(IFERROR(E155/StepGoal,0),1)*100)*0.2+(MIN(IFERROR(F155/SleepGoal,0),1)*100)*0.2+(IF(L155="",0,IF(L155="Rest Day",100,MIN(IFERROR(M155/60,0),1)*100)))*0.25+(IFERROR(INDEX('Recovery Tracker'!$E$5:$E$369,MATCH(A155,'Recovery Tracker'!$A$5:$A$369,0))+0,70))*0.15+(MIN(IFERROR(I155/WaterGoal,0),1)*100)*0.1+(IF(J155="",0,MAX(0,100-MIN(ABS(J155-CalorieGoal)/CalorieGoal,1)*100)))*0.1,0))</f>
        <v/>
      </c>
    </row>
    <row r="156" customFormat="false" ht="15" hidden="false" customHeight="false" outlineLevel="0" collapsed="false">
      <c r="A156" s="35" t="n">
        <f aca="false">A155+1</f>
        <v>46174</v>
      </c>
      <c r="B156" s="36" t="str">
        <f aca="false">TEXT(A156,"ddd")</f>
        <v>Mon</v>
      </c>
      <c r="C156" s="36" t="n">
        <f aca="false">INT((A156-StartDate)/7)+1</f>
        <v>22</v>
      </c>
      <c r="D156" s="36" t="str">
        <f aca="false">TEXT(A156,"mmm")</f>
        <v>Jun</v>
      </c>
      <c r="E156" s="28"/>
      <c r="F156" s="29"/>
      <c r="G156" s="29"/>
      <c r="H156" s="30"/>
      <c r="I156" s="29"/>
      <c r="J156" s="28"/>
      <c r="K156" s="28"/>
      <c r="L156" s="31"/>
      <c r="M156" s="28"/>
      <c r="N156" s="31"/>
      <c r="O156" s="31"/>
      <c r="P156" s="31"/>
      <c r="Q156" s="31"/>
      <c r="R156" s="31"/>
      <c r="S156" s="32"/>
      <c r="T156" s="37" t="str">
        <f aca="false">IF(E156="","",E156/StepGoal)</f>
        <v/>
      </c>
      <c r="U156" s="37" t="str">
        <f aca="false">IF(F156="","",F156/SleepGoal)</f>
        <v/>
      </c>
      <c r="V156" s="37" t="str">
        <f aca="false">IF(I156="","",I156/WaterGoal)</f>
        <v/>
      </c>
      <c r="W156" s="37" t="str">
        <f aca="false">IF(COUNT(E156,F156,I156)=0,"",(IF(N(T156)&gt;=1,1,0)+IF(N(U156)&gt;=1,1,0)+IF(N(V156)&gt;=1,1,0))/3)</f>
        <v/>
      </c>
      <c r="X156" s="36" t="n">
        <f aca="false">IF(AND(L156&lt;&gt;"",L156&lt;&gt;"Rest Day"),1,0)</f>
        <v>0</v>
      </c>
      <c r="Y156" s="38" t="n">
        <f aca="false">IF(X156=1,Y155+1,0)</f>
        <v>0</v>
      </c>
      <c r="Z156" s="38" t="n">
        <f aca="false">IF(N(T156)&gt;=1,Z155+1,0)</f>
        <v>0</v>
      </c>
      <c r="AA156" s="38" t="n">
        <f aca="false">IF(N(U156)&gt;=1,AA155+1,0)</f>
        <v>0</v>
      </c>
      <c r="AB156" s="38" t="n">
        <f aca="false">IF(N(V156)&gt;=1,AB155+1,0)</f>
        <v>0</v>
      </c>
      <c r="AC156" s="38" t="str">
        <f aca="false">IF(COUNT(E156,F156,I156,J156)=0,"",ROUND((MIN(IFERROR(E156/StepGoal,0),1)*100)*0.2+(MIN(IFERROR(F156/SleepGoal,0),1)*100)*0.2+(IF(L156="",0,IF(L156="Rest Day",100,MIN(IFERROR(M156/60,0),1)*100)))*0.25+(IFERROR(INDEX('Recovery Tracker'!$E$5:$E$369,MATCH(A156,'Recovery Tracker'!$A$5:$A$369,0))+0,70))*0.15+(MIN(IFERROR(I156/WaterGoal,0),1)*100)*0.1+(IF(J156="",0,MAX(0,100-MIN(ABS(J156-CalorieGoal)/CalorieGoal,1)*100)))*0.1,0))</f>
        <v/>
      </c>
    </row>
    <row r="157" customFormat="false" ht="15" hidden="false" customHeight="false" outlineLevel="0" collapsed="false">
      <c r="A157" s="26" t="n">
        <f aca="false">A156+1</f>
        <v>46175</v>
      </c>
      <c r="B157" s="27" t="str">
        <f aca="false">TEXT(A157,"ddd")</f>
        <v>Tue</v>
      </c>
      <c r="C157" s="27" t="n">
        <f aca="false">INT((A157-StartDate)/7)+1</f>
        <v>22</v>
      </c>
      <c r="D157" s="27" t="str">
        <f aca="false">TEXT(A157,"mmm")</f>
        <v>Jun</v>
      </c>
      <c r="E157" s="28"/>
      <c r="F157" s="29"/>
      <c r="G157" s="29"/>
      <c r="H157" s="30"/>
      <c r="I157" s="29"/>
      <c r="J157" s="28"/>
      <c r="K157" s="28"/>
      <c r="L157" s="31"/>
      <c r="M157" s="28"/>
      <c r="N157" s="31"/>
      <c r="O157" s="31"/>
      <c r="P157" s="31"/>
      <c r="Q157" s="31"/>
      <c r="R157" s="31"/>
      <c r="S157" s="32"/>
      <c r="T157" s="33" t="str">
        <f aca="false">IF(E157="","",E157/StepGoal)</f>
        <v/>
      </c>
      <c r="U157" s="33" t="str">
        <f aca="false">IF(F157="","",F157/SleepGoal)</f>
        <v/>
      </c>
      <c r="V157" s="33" t="str">
        <f aca="false">IF(I157="","",I157/WaterGoal)</f>
        <v/>
      </c>
      <c r="W157" s="33" t="str">
        <f aca="false">IF(COUNT(E157,F157,I157)=0,"",(IF(N(T157)&gt;=1,1,0)+IF(N(U157)&gt;=1,1,0)+IF(N(V157)&gt;=1,1,0))/3)</f>
        <v/>
      </c>
      <c r="X157" s="27" t="n">
        <f aca="false">IF(AND(L157&lt;&gt;"",L157&lt;&gt;"Rest Day"),1,0)</f>
        <v>0</v>
      </c>
      <c r="Y157" s="34" t="n">
        <f aca="false">IF(X157=1,Y156+1,0)</f>
        <v>0</v>
      </c>
      <c r="Z157" s="34" t="n">
        <f aca="false">IF(N(T157)&gt;=1,Z156+1,0)</f>
        <v>0</v>
      </c>
      <c r="AA157" s="34" t="n">
        <f aca="false">IF(N(U157)&gt;=1,AA156+1,0)</f>
        <v>0</v>
      </c>
      <c r="AB157" s="34" t="n">
        <f aca="false">IF(N(V157)&gt;=1,AB156+1,0)</f>
        <v>0</v>
      </c>
      <c r="AC157" s="34" t="str">
        <f aca="false">IF(COUNT(E157,F157,I157,J157)=0,"",ROUND((MIN(IFERROR(E157/StepGoal,0),1)*100)*0.2+(MIN(IFERROR(F157/SleepGoal,0),1)*100)*0.2+(IF(L157="",0,IF(L157="Rest Day",100,MIN(IFERROR(M157/60,0),1)*100)))*0.25+(IFERROR(INDEX('Recovery Tracker'!$E$5:$E$369,MATCH(A157,'Recovery Tracker'!$A$5:$A$369,0))+0,70))*0.15+(MIN(IFERROR(I157/WaterGoal,0),1)*100)*0.1+(IF(J157="",0,MAX(0,100-MIN(ABS(J157-CalorieGoal)/CalorieGoal,1)*100)))*0.1,0))</f>
        <v/>
      </c>
    </row>
    <row r="158" customFormat="false" ht="15" hidden="false" customHeight="false" outlineLevel="0" collapsed="false">
      <c r="A158" s="35" t="n">
        <f aca="false">A157+1</f>
        <v>46176</v>
      </c>
      <c r="B158" s="36" t="str">
        <f aca="false">TEXT(A158,"ddd")</f>
        <v>Wed</v>
      </c>
      <c r="C158" s="36" t="n">
        <f aca="false">INT((A158-StartDate)/7)+1</f>
        <v>22</v>
      </c>
      <c r="D158" s="36" t="str">
        <f aca="false">TEXT(A158,"mmm")</f>
        <v>Jun</v>
      </c>
      <c r="E158" s="28"/>
      <c r="F158" s="29"/>
      <c r="G158" s="29"/>
      <c r="H158" s="30"/>
      <c r="I158" s="29"/>
      <c r="J158" s="28"/>
      <c r="K158" s="28"/>
      <c r="L158" s="31"/>
      <c r="M158" s="28"/>
      <c r="N158" s="31"/>
      <c r="O158" s="31"/>
      <c r="P158" s="31"/>
      <c r="Q158" s="31"/>
      <c r="R158" s="31"/>
      <c r="S158" s="32"/>
      <c r="T158" s="37" t="str">
        <f aca="false">IF(E158="","",E158/StepGoal)</f>
        <v/>
      </c>
      <c r="U158" s="37" t="str">
        <f aca="false">IF(F158="","",F158/SleepGoal)</f>
        <v/>
      </c>
      <c r="V158" s="37" t="str">
        <f aca="false">IF(I158="","",I158/WaterGoal)</f>
        <v/>
      </c>
      <c r="W158" s="37" t="str">
        <f aca="false">IF(COUNT(E158,F158,I158)=0,"",(IF(N(T158)&gt;=1,1,0)+IF(N(U158)&gt;=1,1,0)+IF(N(V158)&gt;=1,1,0))/3)</f>
        <v/>
      </c>
      <c r="X158" s="36" t="n">
        <f aca="false">IF(AND(L158&lt;&gt;"",L158&lt;&gt;"Rest Day"),1,0)</f>
        <v>0</v>
      </c>
      <c r="Y158" s="38" t="n">
        <f aca="false">IF(X158=1,Y157+1,0)</f>
        <v>0</v>
      </c>
      <c r="Z158" s="38" t="n">
        <f aca="false">IF(N(T158)&gt;=1,Z157+1,0)</f>
        <v>0</v>
      </c>
      <c r="AA158" s="38" t="n">
        <f aca="false">IF(N(U158)&gt;=1,AA157+1,0)</f>
        <v>0</v>
      </c>
      <c r="AB158" s="38" t="n">
        <f aca="false">IF(N(V158)&gt;=1,AB157+1,0)</f>
        <v>0</v>
      </c>
      <c r="AC158" s="38" t="str">
        <f aca="false">IF(COUNT(E158,F158,I158,J158)=0,"",ROUND((MIN(IFERROR(E158/StepGoal,0),1)*100)*0.2+(MIN(IFERROR(F158/SleepGoal,0),1)*100)*0.2+(IF(L158="",0,IF(L158="Rest Day",100,MIN(IFERROR(M158/60,0),1)*100)))*0.25+(IFERROR(INDEX('Recovery Tracker'!$E$5:$E$369,MATCH(A158,'Recovery Tracker'!$A$5:$A$369,0))+0,70))*0.15+(MIN(IFERROR(I158/WaterGoal,0),1)*100)*0.1+(IF(J158="",0,MAX(0,100-MIN(ABS(J158-CalorieGoal)/CalorieGoal,1)*100)))*0.1,0))</f>
        <v/>
      </c>
    </row>
    <row r="159" customFormat="false" ht="15" hidden="false" customHeight="false" outlineLevel="0" collapsed="false">
      <c r="A159" s="26" t="n">
        <f aca="false">A158+1</f>
        <v>46177</v>
      </c>
      <c r="B159" s="27" t="str">
        <f aca="false">TEXT(A159,"ddd")</f>
        <v>Thu</v>
      </c>
      <c r="C159" s="27" t="n">
        <f aca="false">INT((A159-StartDate)/7)+1</f>
        <v>23</v>
      </c>
      <c r="D159" s="27" t="str">
        <f aca="false">TEXT(A159,"mmm")</f>
        <v>Jun</v>
      </c>
      <c r="E159" s="28"/>
      <c r="F159" s="29"/>
      <c r="G159" s="29"/>
      <c r="H159" s="30"/>
      <c r="I159" s="29"/>
      <c r="J159" s="28"/>
      <c r="K159" s="28"/>
      <c r="L159" s="31"/>
      <c r="M159" s="28"/>
      <c r="N159" s="31"/>
      <c r="O159" s="31"/>
      <c r="P159" s="31"/>
      <c r="Q159" s="31"/>
      <c r="R159" s="31"/>
      <c r="S159" s="32"/>
      <c r="T159" s="33" t="str">
        <f aca="false">IF(E159="","",E159/StepGoal)</f>
        <v/>
      </c>
      <c r="U159" s="33" t="str">
        <f aca="false">IF(F159="","",F159/SleepGoal)</f>
        <v/>
      </c>
      <c r="V159" s="33" t="str">
        <f aca="false">IF(I159="","",I159/WaterGoal)</f>
        <v/>
      </c>
      <c r="W159" s="33" t="str">
        <f aca="false">IF(COUNT(E159,F159,I159)=0,"",(IF(N(T159)&gt;=1,1,0)+IF(N(U159)&gt;=1,1,0)+IF(N(V159)&gt;=1,1,0))/3)</f>
        <v/>
      </c>
      <c r="X159" s="27" t="n">
        <f aca="false">IF(AND(L159&lt;&gt;"",L159&lt;&gt;"Rest Day"),1,0)</f>
        <v>0</v>
      </c>
      <c r="Y159" s="34" t="n">
        <f aca="false">IF(X159=1,Y158+1,0)</f>
        <v>0</v>
      </c>
      <c r="Z159" s="34" t="n">
        <f aca="false">IF(N(T159)&gt;=1,Z158+1,0)</f>
        <v>0</v>
      </c>
      <c r="AA159" s="34" t="n">
        <f aca="false">IF(N(U159)&gt;=1,AA158+1,0)</f>
        <v>0</v>
      </c>
      <c r="AB159" s="34" t="n">
        <f aca="false">IF(N(V159)&gt;=1,AB158+1,0)</f>
        <v>0</v>
      </c>
      <c r="AC159" s="34" t="str">
        <f aca="false">IF(COUNT(E159,F159,I159,J159)=0,"",ROUND((MIN(IFERROR(E159/StepGoal,0),1)*100)*0.2+(MIN(IFERROR(F159/SleepGoal,0),1)*100)*0.2+(IF(L159="",0,IF(L159="Rest Day",100,MIN(IFERROR(M159/60,0),1)*100)))*0.25+(IFERROR(INDEX('Recovery Tracker'!$E$5:$E$369,MATCH(A159,'Recovery Tracker'!$A$5:$A$369,0))+0,70))*0.15+(MIN(IFERROR(I159/WaterGoal,0),1)*100)*0.1+(IF(J159="",0,MAX(0,100-MIN(ABS(J159-CalorieGoal)/CalorieGoal,1)*100)))*0.1,0))</f>
        <v/>
      </c>
    </row>
    <row r="160" customFormat="false" ht="15" hidden="false" customHeight="false" outlineLevel="0" collapsed="false">
      <c r="A160" s="35" t="n">
        <f aca="false">A159+1</f>
        <v>46178</v>
      </c>
      <c r="B160" s="36" t="str">
        <f aca="false">TEXT(A160,"ddd")</f>
        <v>Fri</v>
      </c>
      <c r="C160" s="36" t="n">
        <f aca="false">INT((A160-StartDate)/7)+1</f>
        <v>23</v>
      </c>
      <c r="D160" s="36" t="str">
        <f aca="false">TEXT(A160,"mmm")</f>
        <v>Jun</v>
      </c>
      <c r="E160" s="28"/>
      <c r="F160" s="29"/>
      <c r="G160" s="29"/>
      <c r="H160" s="30"/>
      <c r="I160" s="29"/>
      <c r="J160" s="28"/>
      <c r="K160" s="28"/>
      <c r="L160" s="31"/>
      <c r="M160" s="28"/>
      <c r="N160" s="31"/>
      <c r="O160" s="31"/>
      <c r="P160" s="31"/>
      <c r="Q160" s="31"/>
      <c r="R160" s="31"/>
      <c r="S160" s="32"/>
      <c r="T160" s="37" t="str">
        <f aca="false">IF(E160="","",E160/StepGoal)</f>
        <v/>
      </c>
      <c r="U160" s="37" t="str">
        <f aca="false">IF(F160="","",F160/SleepGoal)</f>
        <v/>
      </c>
      <c r="V160" s="37" t="str">
        <f aca="false">IF(I160="","",I160/WaterGoal)</f>
        <v/>
      </c>
      <c r="W160" s="37" t="str">
        <f aca="false">IF(COUNT(E160,F160,I160)=0,"",(IF(N(T160)&gt;=1,1,0)+IF(N(U160)&gt;=1,1,0)+IF(N(V160)&gt;=1,1,0))/3)</f>
        <v/>
      </c>
      <c r="X160" s="36" t="n">
        <f aca="false">IF(AND(L160&lt;&gt;"",L160&lt;&gt;"Rest Day"),1,0)</f>
        <v>0</v>
      </c>
      <c r="Y160" s="38" t="n">
        <f aca="false">IF(X160=1,Y159+1,0)</f>
        <v>0</v>
      </c>
      <c r="Z160" s="38" t="n">
        <f aca="false">IF(N(T160)&gt;=1,Z159+1,0)</f>
        <v>0</v>
      </c>
      <c r="AA160" s="38" t="n">
        <f aca="false">IF(N(U160)&gt;=1,AA159+1,0)</f>
        <v>0</v>
      </c>
      <c r="AB160" s="38" t="n">
        <f aca="false">IF(N(V160)&gt;=1,AB159+1,0)</f>
        <v>0</v>
      </c>
      <c r="AC160" s="38" t="str">
        <f aca="false">IF(COUNT(E160,F160,I160,J160)=0,"",ROUND((MIN(IFERROR(E160/StepGoal,0),1)*100)*0.2+(MIN(IFERROR(F160/SleepGoal,0),1)*100)*0.2+(IF(L160="",0,IF(L160="Rest Day",100,MIN(IFERROR(M160/60,0),1)*100)))*0.25+(IFERROR(INDEX('Recovery Tracker'!$E$5:$E$369,MATCH(A160,'Recovery Tracker'!$A$5:$A$369,0))+0,70))*0.15+(MIN(IFERROR(I160/WaterGoal,0),1)*100)*0.1+(IF(J160="",0,MAX(0,100-MIN(ABS(J160-CalorieGoal)/CalorieGoal,1)*100)))*0.1,0))</f>
        <v/>
      </c>
    </row>
    <row r="161" customFormat="false" ht="15" hidden="false" customHeight="false" outlineLevel="0" collapsed="false">
      <c r="A161" s="26" t="n">
        <f aca="false">A160+1</f>
        <v>46179</v>
      </c>
      <c r="B161" s="27" t="str">
        <f aca="false">TEXT(A161,"ddd")</f>
        <v>Sat</v>
      </c>
      <c r="C161" s="27" t="n">
        <f aca="false">INT((A161-StartDate)/7)+1</f>
        <v>23</v>
      </c>
      <c r="D161" s="27" t="str">
        <f aca="false">TEXT(A161,"mmm")</f>
        <v>Jun</v>
      </c>
      <c r="E161" s="28"/>
      <c r="F161" s="29"/>
      <c r="G161" s="29"/>
      <c r="H161" s="30"/>
      <c r="I161" s="29"/>
      <c r="J161" s="28"/>
      <c r="K161" s="28"/>
      <c r="L161" s="31"/>
      <c r="M161" s="28"/>
      <c r="N161" s="31"/>
      <c r="O161" s="31"/>
      <c r="P161" s="31"/>
      <c r="Q161" s="31"/>
      <c r="R161" s="31"/>
      <c r="S161" s="32"/>
      <c r="T161" s="33" t="str">
        <f aca="false">IF(E161="","",E161/StepGoal)</f>
        <v/>
      </c>
      <c r="U161" s="33" t="str">
        <f aca="false">IF(F161="","",F161/SleepGoal)</f>
        <v/>
      </c>
      <c r="V161" s="33" t="str">
        <f aca="false">IF(I161="","",I161/WaterGoal)</f>
        <v/>
      </c>
      <c r="W161" s="33" t="str">
        <f aca="false">IF(COUNT(E161,F161,I161)=0,"",(IF(N(T161)&gt;=1,1,0)+IF(N(U161)&gt;=1,1,0)+IF(N(V161)&gt;=1,1,0))/3)</f>
        <v/>
      </c>
      <c r="X161" s="27" t="n">
        <f aca="false">IF(AND(L161&lt;&gt;"",L161&lt;&gt;"Rest Day"),1,0)</f>
        <v>0</v>
      </c>
      <c r="Y161" s="34" t="n">
        <f aca="false">IF(X161=1,Y160+1,0)</f>
        <v>0</v>
      </c>
      <c r="Z161" s="34" t="n">
        <f aca="false">IF(N(T161)&gt;=1,Z160+1,0)</f>
        <v>0</v>
      </c>
      <c r="AA161" s="34" t="n">
        <f aca="false">IF(N(U161)&gt;=1,AA160+1,0)</f>
        <v>0</v>
      </c>
      <c r="AB161" s="34" t="n">
        <f aca="false">IF(N(V161)&gt;=1,AB160+1,0)</f>
        <v>0</v>
      </c>
      <c r="AC161" s="34" t="str">
        <f aca="false">IF(COUNT(E161,F161,I161,J161)=0,"",ROUND((MIN(IFERROR(E161/StepGoal,0),1)*100)*0.2+(MIN(IFERROR(F161/SleepGoal,0),1)*100)*0.2+(IF(L161="",0,IF(L161="Rest Day",100,MIN(IFERROR(M161/60,0),1)*100)))*0.25+(IFERROR(INDEX('Recovery Tracker'!$E$5:$E$369,MATCH(A161,'Recovery Tracker'!$A$5:$A$369,0))+0,70))*0.15+(MIN(IFERROR(I161/WaterGoal,0),1)*100)*0.1+(IF(J161="",0,MAX(0,100-MIN(ABS(J161-CalorieGoal)/CalorieGoal,1)*100)))*0.1,0))</f>
        <v/>
      </c>
    </row>
    <row r="162" customFormat="false" ht="15" hidden="false" customHeight="false" outlineLevel="0" collapsed="false">
      <c r="A162" s="35" t="n">
        <f aca="false">A161+1</f>
        <v>46180</v>
      </c>
      <c r="B162" s="36" t="str">
        <f aca="false">TEXT(A162,"ddd")</f>
        <v>Sun</v>
      </c>
      <c r="C162" s="36" t="n">
        <f aca="false">INT((A162-StartDate)/7)+1</f>
        <v>23</v>
      </c>
      <c r="D162" s="36" t="str">
        <f aca="false">TEXT(A162,"mmm")</f>
        <v>Jun</v>
      </c>
      <c r="E162" s="28"/>
      <c r="F162" s="29"/>
      <c r="G162" s="29"/>
      <c r="H162" s="30"/>
      <c r="I162" s="29"/>
      <c r="J162" s="28"/>
      <c r="K162" s="28"/>
      <c r="L162" s="31"/>
      <c r="M162" s="28"/>
      <c r="N162" s="31"/>
      <c r="O162" s="31"/>
      <c r="P162" s="31"/>
      <c r="Q162" s="31"/>
      <c r="R162" s="31"/>
      <c r="S162" s="32"/>
      <c r="T162" s="37" t="str">
        <f aca="false">IF(E162="","",E162/StepGoal)</f>
        <v/>
      </c>
      <c r="U162" s="37" t="str">
        <f aca="false">IF(F162="","",F162/SleepGoal)</f>
        <v/>
      </c>
      <c r="V162" s="37" t="str">
        <f aca="false">IF(I162="","",I162/WaterGoal)</f>
        <v/>
      </c>
      <c r="W162" s="37" t="str">
        <f aca="false">IF(COUNT(E162,F162,I162)=0,"",(IF(N(T162)&gt;=1,1,0)+IF(N(U162)&gt;=1,1,0)+IF(N(V162)&gt;=1,1,0))/3)</f>
        <v/>
      </c>
      <c r="X162" s="36" t="n">
        <f aca="false">IF(AND(L162&lt;&gt;"",L162&lt;&gt;"Rest Day"),1,0)</f>
        <v>0</v>
      </c>
      <c r="Y162" s="38" t="n">
        <f aca="false">IF(X162=1,Y161+1,0)</f>
        <v>0</v>
      </c>
      <c r="Z162" s="38" t="n">
        <f aca="false">IF(N(T162)&gt;=1,Z161+1,0)</f>
        <v>0</v>
      </c>
      <c r="AA162" s="38" t="n">
        <f aca="false">IF(N(U162)&gt;=1,AA161+1,0)</f>
        <v>0</v>
      </c>
      <c r="AB162" s="38" t="n">
        <f aca="false">IF(N(V162)&gt;=1,AB161+1,0)</f>
        <v>0</v>
      </c>
      <c r="AC162" s="38" t="str">
        <f aca="false">IF(COUNT(E162,F162,I162,J162)=0,"",ROUND((MIN(IFERROR(E162/StepGoal,0),1)*100)*0.2+(MIN(IFERROR(F162/SleepGoal,0),1)*100)*0.2+(IF(L162="",0,IF(L162="Rest Day",100,MIN(IFERROR(M162/60,0),1)*100)))*0.25+(IFERROR(INDEX('Recovery Tracker'!$E$5:$E$369,MATCH(A162,'Recovery Tracker'!$A$5:$A$369,0))+0,70))*0.15+(MIN(IFERROR(I162/WaterGoal,0),1)*100)*0.1+(IF(J162="",0,MAX(0,100-MIN(ABS(J162-CalorieGoal)/CalorieGoal,1)*100)))*0.1,0))</f>
        <v/>
      </c>
    </row>
    <row r="163" customFormat="false" ht="15" hidden="false" customHeight="false" outlineLevel="0" collapsed="false">
      <c r="A163" s="26" t="n">
        <f aca="false">A162+1</f>
        <v>46181</v>
      </c>
      <c r="B163" s="27" t="str">
        <f aca="false">TEXT(A163,"ddd")</f>
        <v>Mon</v>
      </c>
      <c r="C163" s="27" t="n">
        <f aca="false">INT((A163-StartDate)/7)+1</f>
        <v>23</v>
      </c>
      <c r="D163" s="27" t="str">
        <f aca="false">TEXT(A163,"mmm")</f>
        <v>Jun</v>
      </c>
      <c r="E163" s="28"/>
      <c r="F163" s="29"/>
      <c r="G163" s="29"/>
      <c r="H163" s="30"/>
      <c r="I163" s="29"/>
      <c r="J163" s="28"/>
      <c r="K163" s="28"/>
      <c r="L163" s="31"/>
      <c r="M163" s="28"/>
      <c r="N163" s="31"/>
      <c r="O163" s="31"/>
      <c r="P163" s="31"/>
      <c r="Q163" s="31"/>
      <c r="R163" s="31"/>
      <c r="S163" s="32"/>
      <c r="T163" s="33" t="str">
        <f aca="false">IF(E163="","",E163/StepGoal)</f>
        <v/>
      </c>
      <c r="U163" s="33" t="str">
        <f aca="false">IF(F163="","",F163/SleepGoal)</f>
        <v/>
      </c>
      <c r="V163" s="33" t="str">
        <f aca="false">IF(I163="","",I163/WaterGoal)</f>
        <v/>
      </c>
      <c r="W163" s="33" t="str">
        <f aca="false">IF(COUNT(E163,F163,I163)=0,"",(IF(N(T163)&gt;=1,1,0)+IF(N(U163)&gt;=1,1,0)+IF(N(V163)&gt;=1,1,0))/3)</f>
        <v/>
      </c>
      <c r="X163" s="27" t="n">
        <f aca="false">IF(AND(L163&lt;&gt;"",L163&lt;&gt;"Rest Day"),1,0)</f>
        <v>0</v>
      </c>
      <c r="Y163" s="34" t="n">
        <f aca="false">IF(X163=1,Y162+1,0)</f>
        <v>0</v>
      </c>
      <c r="Z163" s="34" t="n">
        <f aca="false">IF(N(T163)&gt;=1,Z162+1,0)</f>
        <v>0</v>
      </c>
      <c r="AA163" s="34" t="n">
        <f aca="false">IF(N(U163)&gt;=1,AA162+1,0)</f>
        <v>0</v>
      </c>
      <c r="AB163" s="34" t="n">
        <f aca="false">IF(N(V163)&gt;=1,AB162+1,0)</f>
        <v>0</v>
      </c>
      <c r="AC163" s="34" t="str">
        <f aca="false">IF(COUNT(E163,F163,I163,J163)=0,"",ROUND((MIN(IFERROR(E163/StepGoal,0),1)*100)*0.2+(MIN(IFERROR(F163/SleepGoal,0),1)*100)*0.2+(IF(L163="",0,IF(L163="Rest Day",100,MIN(IFERROR(M163/60,0),1)*100)))*0.25+(IFERROR(INDEX('Recovery Tracker'!$E$5:$E$369,MATCH(A163,'Recovery Tracker'!$A$5:$A$369,0))+0,70))*0.15+(MIN(IFERROR(I163/WaterGoal,0),1)*100)*0.1+(IF(J163="",0,MAX(0,100-MIN(ABS(J163-CalorieGoal)/CalorieGoal,1)*100)))*0.1,0))</f>
        <v/>
      </c>
    </row>
    <row r="164" customFormat="false" ht="15" hidden="false" customHeight="false" outlineLevel="0" collapsed="false">
      <c r="A164" s="35" t="n">
        <f aca="false">A163+1</f>
        <v>46182</v>
      </c>
      <c r="B164" s="36" t="str">
        <f aca="false">TEXT(A164,"ddd")</f>
        <v>Tue</v>
      </c>
      <c r="C164" s="36" t="n">
        <f aca="false">INT((A164-StartDate)/7)+1</f>
        <v>23</v>
      </c>
      <c r="D164" s="36" t="str">
        <f aca="false">TEXT(A164,"mmm")</f>
        <v>Jun</v>
      </c>
      <c r="E164" s="28"/>
      <c r="F164" s="29"/>
      <c r="G164" s="29"/>
      <c r="H164" s="30"/>
      <c r="I164" s="29"/>
      <c r="J164" s="28"/>
      <c r="K164" s="28"/>
      <c r="L164" s="31"/>
      <c r="M164" s="28"/>
      <c r="N164" s="31"/>
      <c r="O164" s="31"/>
      <c r="P164" s="31"/>
      <c r="Q164" s="31"/>
      <c r="R164" s="31"/>
      <c r="S164" s="32"/>
      <c r="T164" s="37" t="str">
        <f aca="false">IF(E164="","",E164/StepGoal)</f>
        <v/>
      </c>
      <c r="U164" s="37" t="str">
        <f aca="false">IF(F164="","",F164/SleepGoal)</f>
        <v/>
      </c>
      <c r="V164" s="37" t="str">
        <f aca="false">IF(I164="","",I164/WaterGoal)</f>
        <v/>
      </c>
      <c r="W164" s="37" t="str">
        <f aca="false">IF(COUNT(E164,F164,I164)=0,"",(IF(N(T164)&gt;=1,1,0)+IF(N(U164)&gt;=1,1,0)+IF(N(V164)&gt;=1,1,0))/3)</f>
        <v/>
      </c>
      <c r="X164" s="36" t="n">
        <f aca="false">IF(AND(L164&lt;&gt;"",L164&lt;&gt;"Rest Day"),1,0)</f>
        <v>0</v>
      </c>
      <c r="Y164" s="38" t="n">
        <f aca="false">IF(X164=1,Y163+1,0)</f>
        <v>0</v>
      </c>
      <c r="Z164" s="38" t="n">
        <f aca="false">IF(N(T164)&gt;=1,Z163+1,0)</f>
        <v>0</v>
      </c>
      <c r="AA164" s="38" t="n">
        <f aca="false">IF(N(U164)&gt;=1,AA163+1,0)</f>
        <v>0</v>
      </c>
      <c r="AB164" s="38" t="n">
        <f aca="false">IF(N(V164)&gt;=1,AB163+1,0)</f>
        <v>0</v>
      </c>
      <c r="AC164" s="38" t="str">
        <f aca="false">IF(COUNT(E164,F164,I164,J164)=0,"",ROUND((MIN(IFERROR(E164/StepGoal,0),1)*100)*0.2+(MIN(IFERROR(F164/SleepGoal,0),1)*100)*0.2+(IF(L164="",0,IF(L164="Rest Day",100,MIN(IFERROR(M164/60,0),1)*100)))*0.25+(IFERROR(INDEX('Recovery Tracker'!$E$5:$E$369,MATCH(A164,'Recovery Tracker'!$A$5:$A$369,0))+0,70))*0.15+(MIN(IFERROR(I164/WaterGoal,0),1)*100)*0.1+(IF(J164="",0,MAX(0,100-MIN(ABS(J164-CalorieGoal)/CalorieGoal,1)*100)))*0.1,0))</f>
        <v/>
      </c>
    </row>
    <row r="165" customFormat="false" ht="15" hidden="false" customHeight="false" outlineLevel="0" collapsed="false">
      <c r="A165" s="26" t="n">
        <f aca="false">A164+1</f>
        <v>46183</v>
      </c>
      <c r="B165" s="27" t="str">
        <f aca="false">TEXT(A165,"ddd")</f>
        <v>Wed</v>
      </c>
      <c r="C165" s="27" t="n">
        <f aca="false">INT((A165-StartDate)/7)+1</f>
        <v>23</v>
      </c>
      <c r="D165" s="27" t="str">
        <f aca="false">TEXT(A165,"mmm")</f>
        <v>Jun</v>
      </c>
      <c r="E165" s="28"/>
      <c r="F165" s="29"/>
      <c r="G165" s="29"/>
      <c r="H165" s="30"/>
      <c r="I165" s="29"/>
      <c r="J165" s="28"/>
      <c r="K165" s="28"/>
      <c r="L165" s="31"/>
      <c r="M165" s="28"/>
      <c r="N165" s="31"/>
      <c r="O165" s="31"/>
      <c r="P165" s="31"/>
      <c r="Q165" s="31"/>
      <c r="R165" s="31"/>
      <c r="S165" s="32"/>
      <c r="T165" s="33" t="str">
        <f aca="false">IF(E165="","",E165/StepGoal)</f>
        <v/>
      </c>
      <c r="U165" s="33" t="str">
        <f aca="false">IF(F165="","",F165/SleepGoal)</f>
        <v/>
      </c>
      <c r="V165" s="33" t="str">
        <f aca="false">IF(I165="","",I165/WaterGoal)</f>
        <v/>
      </c>
      <c r="W165" s="33" t="str">
        <f aca="false">IF(COUNT(E165,F165,I165)=0,"",(IF(N(T165)&gt;=1,1,0)+IF(N(U165)&gt;=1,1,0)+IF(N(V165)&gt;=1,1,0))/3)</f>
        <v/>
      </c>
      <c r="X165" s="27" t="n">
        <f aca="false">IF(AND(L165&lt;&gt;"",L165&lt;&gt;"Rest Day"),1,0)</f>
        <v>0</v>
      </c>
      <c r="Y165" s="34" t="n">
        <f aca="false">IF(X165=1,Y164+1,0)</f>
        <v>0</v>
      </c>
      <c r="Z165" s="34" t="n">
        <f aca="false">IF(N(T165)&gt;=1,Z164+1,0)</f>
        <v>0</v>
      </c>
      <c r="AA165" s="34" t="n">
        <f aca="false">IF(N(U165)&gt;=1,AA164+1,0)</f>
        <v>0</v>
      </c>
      <c r="AB165" s="34" t="n">
        <f aca="false">IF(N(V165)&gt;=1,AB164+1,0)</f>
        <v>0</v>
      </c>
      <c r="AC165" s="34" t="str">
        <f aca="false">IF(COUNT(E165,F165,I165,J165)=0,"",ROUND((MIN(IFERROR(E165/StepGoal,0),1)*100)*0.2+(MIN(IFERROR(F165/SleepGoal,0),1)*100)*0.2+(IF(L165="",0,IF(L165="Rest Day",100,MIN(IFERROR(M165/60,0),1)*100)))*0.25+(IFERROR(INDEX('Recovery Tracker'!$E$5:$E$369,MATCH(A165,'Recovery Tracker'!$A$5:$A$369,0))+0,70))*0.15+(MIN(IFERROR(I165/WaterGoal,0),1)*100)*0.1+(IF(J165="",0,MAX(0,100-MIN(ABS(J165-CalorieGoal)/CalorieGoal,1)*100)))*0.1,0))</f>
        <v/>
      </c>
    </row>
    <row r="166" customFormat="false" ht="15" hidden="false" customHeight="false" outlineLevel="0" collapsed="false">
      <c r="A166" s="35" t="n">
        <f aca="false">A165+1</f>
        <v>46184</v>
      </c>
      <c r="B166" s="36" t="str">
        <f aca="false">TEXT(A166,"ddd")</f>
        <v>Thu</v>
      </c>
      <c r="C166" s="36" t="n">
        <f aca="false">INT((A166-StartDate)/7)+1</f>
        <v>24</v>
      </c>
      <c r="D166" s="36" t="str">
        <f aca="false">TEXT(A166,"mmm")</f>
        <v>Jun</v>
      </c>
      <c r="E166" s="28"/>
      <c r="F166" s="29"/>
      <c r="G166" s="29"/>
      <c r="H166" s="30"/>
      <c r="I166" s="29"/>
      <c r="J166" s="28"/>
      <c r="K166" s="28"/>
      <c r="L166" s="31"/>
      <c r="M166" s="28"/>
      <c r="N166" s="31"/>
      <c r="O166" s="31"/>
      <c r="P166" s="31"/>
      <c r="Q166" s="31"/>
      <c r="R166" s="31"/>
      <c r="S166" s="32"/>
      <c r="T166" s="37" t="str">
        <f aca="false">IF(E166="","",E166/StepGoal)</f>
        <v/>
      </c>
      <c r="U166" s="37" t="str">
        <f aca="false">IF(F166="","",F166/SleepGoal)</f>
        <v/>
      </c>
      <c r="V166" s="37" t="str">
        <f aca="false">IF(I166="","",I166/WaterGoal)</f>
        <v/>
      </c>
      <c r="W166" s="37" t="str">
        <f aca="false">IF(COUNT(E166,F166,I166)=0,"",(IF(N(T166)&gt;=1,1,0)+IF(N(U166)&gt;=1,1,0)+IF(N(V166)&gt;=1,1,0))/3)</f>
        <v/>
      </c>
      <c r="X166" s="36" t="n">
        <f aca="false">IF(AND(L166&lt;&gt;"",L166&lt;&gt;"Rest Day"),1,0)</f>
        <v>0</v>
      </c>
      <c r="Y166" s="38" t="n">
        <f aca="false">IF(X166=1,Y165+1,0)</f>
        <v>0</v>
      </c>
      <c r="Z166" s="38" t="n">
        <f aca="false">IF(N(T166)&gt;=1,Z165+1,0)</f>
        <v>0</v>
      </c>
      <c r="AA166" s="38" t="n">
        <f aca="false">IF(N(U166)&gt;=1,AA165+1,0)</f>
        <v>0</v>
      </c>
      <c r="AB166" s="38" t="n">
        <f aca="false">IF(N(V166)&gt;=1,AB165+1,0)</f>
        <v>0</v>
      </c>
      <c r="AC166" s="38" t="str">
        <f aca="false">IF(COUNT(E166,F166,I166,J166)=0,"",ROUND((MIN(IFERROR(E166/StepGoal,0),1)*100)*0.2+(MIN(IFERROR(F166/SleepGoal,0),1)*100)*0.2+(IF(L166="",0,IF(L166="Rest Day",100,MIN(IFERROR(M166/60,0),1)*100)))*0.25+(IFERROR(INDEX('Recovery Tracker'!$E$5:$E$369,MATCH(A166,'Recovery Tracker'!$A$5:$A$369,0))+0,70))*0.15+(MIN(IFERROR(I166/WaterGoal,0),1)*100)*0.1+(IF(J166="",0,MAX(0,100-MIN(ABS(J166-CalorieGoal)/CalorieGoal,1)*100)))*0.1,0))</f>
        <v/>
      </c>
    </row>
    <row r="167" customFormat="false" ht="15" hidden="false" customHeight="false" outlineLevel="0" collapsed="false">
      <c r="A167" s="26" t="n">
        <f aca="false">A166+1</f>
        <v>46185</v>
      </c>
      <c r="B167" s="27" t="str">
        <f aca="false">TEXT(A167,"ddd")</f>
        <v>Fri</v>
      </c>
      <c r="C167" s="27" t="n">
        <f aca="false">INT((A167-StartDate)/7)+1</f>
        <v>24</v>
      </c>
      <c r="D167" s="27" t="str">
        <f aca="false">TEXT(A167,"mmm")</f>
        <v>Jun</v>
      </c>
      <c r="E167" s="28"/>
      <c r="F167" s="29"/>
      <c r="G167" s="29"/>
      <c r="H167" s="30"/>
      <c r="I167" s="29"/>
      <c r="J167" s="28"/>
      <c r="K167" s="28"/>
      <c r="L167" s="31"/>
      <c r="M167" s="28"/>
      <c r="N167" s="31"/>
      <c r="O167" s="31"/>
      <c r="P167" s="31"/>
      <c r="Q167" s="31"/>
      <c r="R167" s="31"/>
      <c r="S167" s="32"/>
      <c r="T167" s="33" t="str">
        <f aca="false">IF(E167="","",E167/StepGoal)</f>
        <v/>
      </c>
      <c r="U167" s="33" t="str">
        <f aca="false">IF(F167="","",F167/SleepGoal)</f>
        <v/>
      </c>
      <c r="V167" s="33" t="str">
        <f aca="false">IF(I167="","",I167/WaterGoal)</f>
        <v/>
      </c>
      <c r="W167" s="33" t="str">
        <f aca="false">IF(COUNT(E167,F167,I167)=0,"",(IF(N(T167)&gt;=1,1,0)+IF(N(U167)&gt;=1,1,0)+IF(N(V167)&gt;=1,1,0))/3)</f>
        <v/>
      </c>
      <c r="X167" s="27" t="n">
        <f aca="false">IF(AND(L167&lt;&gt;"",L167&lt;&gt;"Rest Day"),1,0)</f>
        <v>0</v>
      </c>
      <c r="Y167" s="34" t="n">
        <f aca="false">IF(X167=1,Y166+1,0)</f>
        <v>0</v>
      </c>
      <c r="Z167" s="34" t="n">
        <f aca="false">IF(N(T167)&gt;=1,Z166+1,0)</f>
        <v>0</v>
      </c>
      <c r="AA167" s="34" t="n">
        <f aca="false">IF(N(U167)&gt;=1,AA166+1,0)</f>
        <v>0</v>
      </c>
      <c r="AB167" s="34" t="n">
        <f aca="false">IF(N(V167)&gt;=1,AB166+1,0)</f>
        <v>0</v>
      </c>
      <c r="AC167" s="34" t="str">
        <f aca="false">IF(COUNT(E167,F167,I167,J167)=0,"",ROUND((MIN(IFERROR(E167/StepGoal,0),1)*100)*0.2+(MIN(IFERROR(F167/SleepGoal,0),1)*100)*0.2+(IF(L167="",0,IF(L167="Rest Day",100,MIN(IFERROR(M167/60,0),1)*100)))*0.25+(IFERROR(INDEX('Recovery Tracker'!$E$5:$E$369,MATCH(A167,'Recovery Tracker'!$A$5:$A$369,0))+0,70))*0.15+(MIN(IFERROR(I167/WaterGoal,0),1)*100)*0.1+(IF(J167="",0,MAX(0,100-MIN(ABS(J167-CalorieGoal)/CalorieGoal,1)*100)))*0.1,0))</f>
        <v/>
      </c>
    </row>
    <row r="168" customFormat="false" ht="15" hidden="false" customHeight="false" outlineLevel="0" collapsed="false">
      <c r="A168" s="35" t="n">
        <f aca="false">A167+1</f>
        <v>46186</v>
      </c>
      <c r="B168" s="36" t="str">
        <f aca="false">TEXT(A168,"ddd")</f>
        <v>Sat</v>
      </c>
      <c r="C168" s="36" t="n">
        <f aca="false">INT((A168-StartDate)/7)+1</f>
        <v>24</v>
      </c>
      <c r="D168" s="36" t="str">
        <f aca="false">TEXT(A168,"mmm")</f>
        <v>Jun</v>
      </c>
      <c r="E168" s="28"/>
      <c r="F168" s="29"/>
      <c r="G168" s="29"/>
      <c r="H168" s="30"/>
      <c r="I168" s="29"/>
      <c r="J168" s="28"/>
      <c r="K168" s="28"/>
      <c r="L168" s="31"/>
      <c r="M168" s="28"/>
      <c r="N168" s="31"/>
      <c r="O168" s="31"/>
      <c r="P168" s="31"/>
      <c r="Q168" s="31"/>
      <c r="R168" s="31"/>
      <c r="S168" s="32"/>
      <c r="T168" s="37" t="str">
        <f aca="false">IF(E168="","",E168/StepGoal)</f>
        <v/>
      </c>
      <c r="U168" s="37" t="str">
        <f aca="false">IF(F168="","",F168/SleepGoal)</f>
        <v/>
      </c>
      <c r="V168" s="37" t="str">
        <f aca="false">IF(I168="","",I168/WaterGoal)</f>
        <v/>
      </c>
      <c r="W168" s="37" t="str">
        <f aca="false">IF(COUNT(E168,F168,I168)=0,"",(IF(N(T168)&gt;=1,1,0)+IF(N(U168)&gt;=1,1,0)+IF(N(V168)&gt;=1,1,0))/3)</f>
        <v/>
      </c>
      <c r="X168" s="36" t="n">
        <f aca="false">IF(AND(L168&lt;&gt;"",L168&lt;&gt;"Rest Day"),1,0)</f>
        <v>0</v>
      </c>
      <c r="Y168" s="38" t="n">
        <f aca="false">IF(X168=1,Y167+1,0)</f>
        <v>0</v>
      </c>
      <c r="Z168" s="38" t="n">
        <f aca="false">IF(N(T168)&gt;=1,Z167+1,0)</f>
        <v>0</v>
      </c>
      <c r="AA168" s="38" t="n">
        <f aca="false">IF(N(U168)&gt;=1,AA167+1,0)</f>
        <v>0</v>
      </c>
      <c r="AB168" s="38" t="n">
        <f aca="false">IF(N(V168)&gt;=1,AB167+1,0)</f>
        <v>0</v>
      </c>
      <c r="AC168" s="38" t="str">
        <f aca="false">IF(COUNT(E168,F168,I168,J168)=0,"",ROUND((MIN(IFERROR(E168/StepGoal,0),1)*100)*0.2+(MIN(IFERROR(F168/SleepGoal,0),1)*100)*0.2+(IF(L168="",0,IF(L168="Rest Day",100,MIN(IFERROR(M168/60,0),1)*100)))*0.25+(IFERROR(INDEX('Recovery Tracker'!$E$5:$E$369,MATCH(A168,'Recovery Tracker'!$A$5:$A$369,0))+0,70))*0.15+(MIN(IFERROR(I168/WaterGoal,0),1)*100)*0.1+(IF(J168="",0,MAX(0,100-MIN(ABS(J168-CalorieGoal)/CalorieGoal,1)*100)))*0.1,0))</f>
        <v/>
      </c>
    </row>
    <row r="169" customFormat="false" ht="15" hidden="false" customHeight="false" outlineLevel="0" collapsed="false">
      <c r="A169" s="26" t="n">
        <f aca="false">A168+1</f>
        <v>46187</v>
      </c>
      <c r="B169" s="27" t="str">
        <f aca="false">TEXT(A169,"ddd")</f>
        <v>Sun</v>
      </c>
      <c r="C169" s="27" t="n">
        <f aca="false">INT((A169-StartDate)/7)+1</f>
        <v>24</v>
      </c>
      <c r="D169" s="27" t="str">
        <f aca="false">TEXT(A169,"mmm")</f>
        <v>Jun</v>
      </c>
      <c r="E169" s="28"/>
      <c r="F169" s="29"/>
      <c r="G169" s="29"/>
      <c r="H169" s="30"/>
      <c r="I169" s="29"/>
      <c r="J169" s="28"/>
      <c r="K169" s="28"/>
      <c r="L169" s="31"/>
      <c r="M169" s="28"/>
      <c r="N169" s="31"/>
      <c r="O169" s="31"/>
      <c r="P169" s="31"/>
      <c r="Q169" s="31"/>
      <c r="R169" s="31"/>
      <c r="S169" s="32"/>
      <c r="T169" s="33" t="str">
        <f aca="false">IF(E169="","",E169/StepGoal)</f>
        <v/>
      </c>
      <c r="U169" s="33" t="str">
        <f aca="false">IF(F169="","",F169/SleepGoal)</f>
        <v/>
      </c>
      <c r="V169" s="33" t="str">
        <f aca="false">IF(I169="","",I169/WaterGoal)</f>
        <v/>
      </c>
      <c r="W169" s="33" t="str">
        <f aca="false">IF(COUNT(E169,F169,I169)=0,"",(IF(N(T169)&gt;=1,1,0)+IF(N(U169)&gt;=1,1,0)+IF(N(V169)&gt;=1,1,0))/3)</f>
        <v/>
      </c>
      <c r="X169" s="27" t="n">
        <f aca="false">IF(AND(L169&lt;&gt;"",L169&lt;&gt;"Rest Day"),1,0)</f>
        <v>0</v>
      </c>
      <c r="Y169" s="34" t="n">
        <f aca="false">IF(X169=1,Y168+1,0)</f>
        <v>0</v>
      </c>
      <c r="Z169" s="34" t="n">
        <f aca="false">IF(N(T169)&gt;=1,Z168+1,0)</f>
        <v>0</v>
      </c>
      <c r="AA169" s="34" t="n">
        <f aca="false">IF(N(U169)&gt;=1,AA168+1,0)</f>
        <v>0</v>
      </c>
      <c r="AB169" s="34" t="n">
        <f aca="false">IF(N(V169)&gt;=1,AB168+1,0)</f>
        <v>0</v>
      </c>
      <c r="AC169" s="34" t="str">
        <f aca="false">IF(COUNT(E169,F169,I169,J169)=0,"",ROUND((MIN(IFERROR(E169/StepGoal,0),1)*100)*0.2+(MIN(IFERROR(F169/SleepGoal,0),1)*100)*0.2+(IF(L169="",0,IF(L169="Rest Day",100,MIN(IFERROR(M169/60,0),1)*100)))*0.25+(IFERROR(INDEX('Recovery Tracker'!$E$5:$E$369,MATCH(A169,'Recovery Tracker'!$A$5:$A$369,0))+0,70))*0.15+(MIN(IFERROR(I169/WaterGoal,0),1)*100)*0.1+(IF(J169="",0,MAX(0,100-MIN(ABS(J169-CalorieGoal)/CalorieGoal,1)*100)))*0.1,0))</f>
        <v/>
      </c>
    </row>
    <row r="170" customFormat="false" ht="15" hidden="false" customHeight="false" outlineLevel="0" collapsed="false">
      <c r="A170" s="35" t="n">
        <f aca="false">A169+1</f>
        <v>46188</v>
      </c>
      <c r="B170" s="36" t="str">
        <f aca="false">TEXT(A170,"ddd")</f>
        <v>Mon</v>
      </c>
      <c r="C170" s="36" t="n">
        <f aca="false">INT((A170-StartDate)/7)+1</f>
        <v>24</v>
      </c>
      <c r="D170" s="36" t="str">
        <f aca="false">TEXT(A170,"mmm")</f>
        <v>Jun</v>
      </c>
      <c r="E170" s="28"/>
      <c r="F170" s="29"/>
      <c r="G170" s="29"/>
      <c r="H170" s="30"/>
      <c r="I170" s="29"/>
      <c r="J170" s="28"/>
      <c r="K170" s="28"/>
      <c r="L170" s="31"/>
      <c r="M170" s="28"/>
      <c r="N170" s="31"/>
      <c r="O170" s="31"/>
      <c r="P170" s="31"/>
      <c r="Q170" s="31"/>
      <c r="R170" s="31"/>
      <c r="S170" s="32"/>
      <c r="T170" s="37" t="str">
        <f aca="false">IF(E170="","",E170/StepGoal)</f>
        <v/>
      </c>
      <c r="U170" s="37" t="str">
        <f aca="false">IF(F170="","",F170/SleepGoal)</f>
        <v/>
      </c>
      <c r="V170" s="37" t="str">
        <f aca="false">IF(I170="","",I170/WaterGoal)</f>
        <v/>
      </c>
      <c r="W170" s="37" t="str">
        <f aca="false">IF(COUNT(E170,F170,I170)=0,"",(IF(N(T170)&gt;=1,1,0)+IF(N(U170)&gt;=1,1,0)+IF(N(V170)&gt;=1,1,0))/3)</f>
        <v/>
      </c>
      <c r="X170" s="36" t="n">
        <f aca="false">IF(AND(L170&lt;&gt;"",L170&lt;&gt;"Rest Day"),1,0)</f>
        <v>0</v>
      </c>
      <c r="Y170" s="38" t="n">
        <f aca="false">IF(X170=1,Y169+1,0)</f>
        <v>0</v>
      </c>
      <c r="Z170" s="38" t="n">
        <f aca="false">IF(N(T170)&gt;=1,Z169+1,0)</f>
        <v>0</v>
      </c>
      <c r="AA170" s="38" t="n">
        <f aca="false">IF(N(U170)&gt;=1,AA169+1,0)</f>
        <v>0</v>
      </c>
      <c r="AB170" s="38" t="n">
        <f aca="false">IF(N(V170)&gt;=1,AB169+1,0)</f>
        <v>0</v>
      </c>
      <c r="AC170" s="38" t="str">
        <f aca="false">IF(COUNT(E170,F170,I170,J170)=0,"",ROUND((MIN(IFERROR(E170/StepGoal,0),1)*100)*0.2+(MIN(IFERROR(F170/SleepGoal,0),1)*100)*0.2+(IF(L170="",0,IF(L170="Rest Day",100,MIN(IFERROR(M170/60,0),1)*100)))*0.25+(IFERROR(INDEX('Recovery Tracker'!$E$5:$E$369,MATCH(A170,'Recovery Tracker'!$A$5:$A$369,0))+0,70))*0.15+(MIN(IFERROR(I170/WaterGoal,0),1)*100)*0.1+(IF(J170="",0,MAX(0,100-MIN(ABS(J170-CalorieGoal)/CalorieGoal,1)*100)))*0.1,0))</f>
        <v/>
      </c>
    </row>
    <row r="171" customFormat="false" ht="15" hidden="false" customHeight="false" outlineLevel="0" collapsed="false">
      <c r="A171" s="26" t="n">
        <f aca="false">A170+1</f>
        <v>46189</v>
      </c>
      <c r="B171" s="27" t="str">
        <f aca="false">TEXT(A171,"ddd")</f>
        <v>Tue</v>
      </c>
      <c r="C171" s="27" t="n">
        <f aca="false">INT((A171-StartDate)/7)+1</f>
        <v>24</v>
      </c>
      <c r="D171" s="27" t="str">
        <f aca="false">TEXT(A171,"mmm")</f>
        <v>Jun</v>
      </c>
      <c r="E171" s="28"/>
      <c r="F171" s="29"/>
      <c r="G171" s="29"/>
      <c r="H171" s="30"/>
      <c r="I171" s="29"/>
      <c r="J171" s="28"/>
      <c r="K171" s="28"/>
      <c r="L171" s="31"/>
      <c r="M171" s="28"/>
      <c r="N171" s="31"/>
      <c r="O171" s="31"/>
      <c r="P171" s="31"/>
      <c r="Q171" s="31"/>
      <c r="R171" s="31"/>
      <c r="S171" s="32"/>
      <c r="T171" s="33" t="str">
        <f aca="false">IF(E171="","",E171/StepGoal)</f>
        <v/>
      </c>
      <c r="U171" s="33" t="str">
        <f aca="false">IF(F171="","",F171/SleepGoal)</f>
        <v/>
      </c>
      <c r="V171" s="33" t="str">
        <f aca="false">IF(I171="","",I171/WaterGoal)</f>
        <v/>
      </c>
      <c r="W171" s="33" t="str">
        <f aca="false">IF(COUNT(E171,F171,I171)=0,"",(IF(N(T171)&gt;=1,1,0)+IF(N(U171)&gt;=1,1,0)+IF(N(V171)&gt;=1,1,0))/3)</f>
        <v/>
      </c>
      <c r="X171" s="27" t="n">
        <f aca="false">IF(AND(L171&lt;&gt;"",L171&lt;&gt;"Rest Day"),1,0)</f>
        <v>0</v>
      </c>
      <c r="Y171" s="34" t="n">
        <f aca="false">IF(X171=1,Y170+1,0)</f>
        <v>0</v>
      </c>
      <c r="Z171" s="34" t="n">
        <f aca="false">IF(N(T171)&gt;=1,Z170+1,0)</f>
        <v>0</v>
      </c>
      <c r="AA171" s="34" t="n">
        <f aca="false">IF(N(U171)&gt;=1,AA170+1,0)</f>
        <v>0</v>
      </c>
      <c r="AB171" s="34" t="n">
        <f aca="false">IF(N(V171)&gt;=1,AB170+1,0)</f>
        <v>0</v>
      </c>
      <c r="AC171" s="34" t="str">
        <f aca="false">IF(COUNT(E171,F171,I171,J171)=0,"",ROUND((MIN(IFERROR(E171/StepGoal,0),1)*100)*0.2+(MIN(IFERROR(F171/SleepGoal,0),1)*100)*0.2+(IF(L171="",0,IF(L171="Rest Day",100,MIN(IFERROR(M171/60,0),1)*100)))*0.25+(IFERROR(INDEX('Recovery Tracker'!$E$5:$E$369,MATCH(A171,'Recovery Tracker'!$A$5:$A$369,0))+0,70))*0.15+(MIN(IFERROR(I171/WaterGoal,0),1)*100)*0.1+(IF(J171="",0,MAX(0,100-MIN(ABS(J171-CalorieGoal)/CalorieGoal,1)*100)))*0.1,0))</f>
        <v/>
      </c>
    </row>
    <row r="172" customFormat="false" ht="15" hidden="false" customHeight="false" outlineLevel="0" collapsed="false">
      <c r="A172" s="35" t="n">
        <f aca="false">A171+1</f>
        <v>46190</v>
      </c>
      <c r="B172" s="36" t="str">
        <f aca="false">TEXT(A172,"ddd")</f>
        <v>Wed</v>
      </c>
      <c r="C172" s="36" t="n">
        <f aca="false">INT((A172-StartDate)/7)+1</f>
        <v>24</v>
      </c>
      <c r="D172" s="36" t="str">
        <f aca="false">TEXT(A172,"mmm")</f>
        <v>Jun</v>
      </c>
      <c r="E172" s="28"/>
      <c r="F172" s="29"/>
      <c r="G172" s="29"/>
      <c r="H172" s="30"/>
      <c r="I172" s="29"/>
      <c r="J172" s="28"/>
      <c r="K172" s="28"/>
      <c r="L172" s="31"/>
      <c r="M172" s="28"/>
      <c r="N172" s="31"/>
      <c r="O172" s="31"/>
      <c r="P172" s="31"/>
      <c r="Q172" s="31"/>
      <c r="R172" s="31"/>
      <c r="S172" s="32"/>
      <c r="T172" s="37" t="str">
        <f aca="false">IF(E172="","",E172/StepGoal)</f>
        <v/>
      </c>
      <c r="U172" s="37" t="str">
        <f aca="false">IF(F172="","",F172/SleepGoal)</f>
        <v/>
      </c>
      <c r="V172" s="37" t="str">
        <f aca="false">IF(I172="","",I172/WaterGoal)</f>
        <v/>
      </c>
      <c r="W172" s="37" t="str">
        <f aca="false">IF(COUNT(E172,F172,I172)=0,"",(IF(N(T172)&gt;=1,1,0)+IF(N(U172)&gt;=1,1,0)+IF(N(V172)&gt;=1,1,0))/3)</f>
        <v/>
      </c>
      <c r="X172" s="36" t="n">
        <f aca="false">IF(AND(L172&lt;&gt;"",L172&lt;&gt;"Rest Day"),1,0)</f>
        <v>0</v>
      </c>
      <c r="Y172" s="38" t="n">
        <f aca="false">IF(X172=1,Y171+1,0)</f>
        <v>0</v>
      </c>
      <c r="Z172" s="38" t="n">
        <f aca="false">IF(N(T172)&gt;=1,Z171+1,0)</f>
        <v>0</v>
      </c>
      <c r="AA172" s="38" t="n">
        <f aca="false">IF(N(U172)&gt;=1,AA171+1,0)</f>
        <v>0</v>
      </c>
      <c r="AB172" s="38" t="n">
        <f aca="false">IF(N(V172)&gt;=1,AB171+1,0)</f>
        <v>0</v>
      </c>
      <c r="AC172" s="38" t="str">
        <f aca="false">IF(COUNT(E172,F172,I172,J172)=0,"",ROUND((MIN(IFERROR(E172/StepGoal,0),1)*100)*0.2+(MIN(IFERROR(F172/SleepGoal,0),1)*100)*0.2+(IF(L172="",0,IF(L172="Rest Day",100,MIN(IFERROR(M172/60,0),1)*100)))*0.25+(IFERROR(INDEX('Recovery Tracker'!$E$5:$E$369,MATCH(A172,'Recovery Tracker'!$A$5:$A$369,0))+0,70))*0.15+(MIN(IFERROR(I172/WaterGoal,0),1)*100)*0.1+(IF(J172="",0,MAX(0,100-MIN(ABS(J172-CalorieGoal)/CalorieGoal,1)*100)))*0.1,0))</f>
        <v/>
      </c>
    </row>
    <row r="173" customFormat="false" ht="15" hidden="false" customHeight="false" outlineLevel="0" collapsed="false">
      <c r="A173" s="26" t="n">
        <f aca="false">A172+1</f>
        <v>46191</v>
      </c>
      <c r="B173" s="27" t="str">
        <f aca="false">TEXT(A173,"ddd")</f>
        <v>Thu</v>
      </c>
      <c r="C173" s="27" t="n">
        <f aca="false">INT((A173-StartDate)/7)+1</f>
        <v>25</v>
      </c>
      <c r="D173" s="27" t="str">
        <f aca="false">TEXT(A173,"mmm")</f>
        <v>Jun</v>
      </c>
      <c r="E173" s="28"/>
      <c r="F173" s="29"/>
      <c r="G173" s="29"/>
      <c r="H173" s="30"/>
      <c r="I173" s="29"/>
      <c r="J173" s="28"/>
      <c r="K173" s="28"/>
      <c r="L173" s="31"/>
      <c r="M173" s="28"/>
      <c r="N173" s="31"/>
      <c r="O173" s="31"/>
      <c r="P173" s="31"/>
      <c r="Q173" s="31"/>
      <c r="R173" s="31"/>
      <c r="S173" s="32"/>
      <c r="T173" s="33" t="str">
        <f aca="false">IF(E173="","",E173/StepGoal)</f>
        <v/>
      </c>
      <c r="U173" s="33" t="str">
        <f aca="false">IF(F173="","",F173/SleepGoal)</f>
        <v/>
      </c>
      <c r="V173" s="33" t="str">
        <f aca="false">IF(I173="","",I173/WaterGoal)</f>
        <v/>
      </c>
      <c r="W173" s="33" t="str">
        <f aca="false">IF(COUNT(E173,F173,I173)=0,"",(IF(N(T173)&gt;=1,1,0)+IF(N(U173)&gt;=1,1,0)+IF(N(V173)&gt;=1,1,0))/3)</f>
        <v/>
      </c>
      <c r="X173" s="27" t="n">
        <f aca="false">IF(AND(L173&lt;&gt;"",L173&lt;&gt;"Rest Day"),1,0)</f>
        <v>0</v>
      </c>
      <c r="Y173" s="34" t="n">
        <f aca="false">IF(X173=1,Y172+1,0)</f>
        <v>0</v>
      </c>
      <c r="Z173" s="34" t="n">
        <f aca="false">IF(N(T173)&gt;=1,Z172+1,0)</f>
        <v>0</v>
      </c>
      <c r="AA173" s="34" t="n">
        <f aca="false">IF(N(U173)&gt;=1,AA172+1,0)</f>
        <v>0</v>
      </c>
      <c r="AB173" s="34" t="n">
        <f aca="false">IF(N(V173)&gt;=1,AB172+1,0)</f>
        <v>0</v>
      </c>
      <c r="AC173" s="34" t="str">
        <f aca="false">IF(COUNT(E173,F173,I173,J173)=0,"",ROUND((MIN(IFERROR(E173/StepGoal,0),1)*100)*0.2+(MIN(IFERROR(F173/SleepGoal,0),1)*100)*0.2+(IF(L173="",0,IF(L173="Rest Day",100,MIN(IFERROR(M173/60,0),1)*100)))*0.25+(IFERROR(INDEX('Recovery Tracker'!$E$5:$E$369,MATCH(A173,'Recovery Tracker'!$A$5:$A$369,0))+0,70))*0.15+(MIN(IFERROR(I173/WaterGoal,0),1)*100)*0.1+(IF(J173="",0,MAX(0,100-MIN(ABS(J173-CalorieGoal)/CalorieGoal,1)*100)))*0.1,0))</f>
        <v/>
      </c>
    </row>
    <row r="174" customFormat="false" ht="15" hidden="false" customHeight="false" outlineLevel="0" collapsed="false">
      <c r="A174" s="35" t="n">
        <f aca="false">A173+1</f>
        <v>46192</v>
      </c>
      <c r="B174" s="36" t="str">
        <f aca="false">TEXT(A174,"ddd")</f>
        <v>Fri</v>
      </c>
      <c r="C174" s="36" t="n">
        <f aca="false">INT((A174-StartDate)/7)+1</f>
        <v>25</v>
      </c>
      <c r="D174" s="36" t="str">
        <f aca="false">TEXT(A174,"mmm")</f>
        <v>Jun</v>
      </c>
      <c r="E174" s="28"/>
      <c r="F174" s="29"/>
      <c r="G174" s="29"/>
      <c r="H174" s="30"/>
      <c r="I174" s="29"/>
      <c r="J174" s="28"/>
      <c r="K174" s="28"/>
      <c r="L174" s="31"/>
      <c r="M174" s="28"/>
      <c r="N174" s="31"/>
      <c r="O174" s="31"/>
      <c r="P174" s="31"/>
      <c r="Q174" s="31"/>
      <c r="R174" s="31"/>
      <c r="S174" s="32"/>
      <c r="T174" s="37" t="str">
        <f aca="false">IF(E174="","",E174/StepGoal)</f>
        <v/>
      </c>
      <c r="U174" s="37" t="str">
        <f aca="false">IF(F174="","",F174/SleepGoal)</f>
        <v/>
      </c>
      <c r="V174" s="37" t="str">
        <f aca="false">IF(I174="","",I174/WaterGoal)</f>
        <v/>
      </c>
      <c r="W174" s="37" t="str">
        <f aca="false">IF(COUNT(E174,F174,I174)=0,"",(IF(N(T174)&gt;=1,1,0)+IF(N(U174)&gt;=1,1,0)+IF(N(V174)&gt;=1,1,0))/3)</f>
        <v/>
      </c>
      <c r="X174" s="36" t="n">
        <f aca="false">IF(AND(L174&lt;&gt;"",L174&lt;&gt;"Rest Day"),1,0)</f>
        <v>0</v>
      </c>
      <c r="Y174" s="38" t="n">
        <f aca="false">IF(X174=1,Y173+1,0)</f>
        <v>0</v>
      </c>
      <c r="Z174" s="38" t="n">
        <f aca="false">IF(N(T174)&gt;=1,Z173+1,0)</f>
        <v>0</v>
      </c>
      <c r="AA174" s="38" t="n">
        <f aca="false">IF(N(U174)&gt;=1,AA173+1,0)</f>
        <v>0</v>
      </c>
      <c r="AB174" s="38" t="n">
        <f aca="false">IF(N(V174)&gt;=1,AB173+1,0)</f>
        <v>0</v>
      </c>
      <c r="AC174" s="38" t="str">
        <f aca="false">IF(COUNT(E174,F174,I174,J174)=0,"",ROUND((MIN(IFERROR(E174/StepGoal,0),1)*100)*0.2+(MIN(IFERROR(F174/SleepGoal,0),1)*100)*0.2+(IF(L174="",0,IF(L174="Rest Day",100,MIN(IFERROR(M174/60,0),1)*100)))*0.25+(IFERROR(INDEX('Recovery Tracker'!$E$5:$E$369,MATCH(A174,'Recovery Tracker'!$A$5:$A$369,0))+0,70))*0.15+(MIN(IFERROR(I174/WaterGoal,0),1)*100)*0.1+(IF(J174="",0,MAX(0,100-MIN(ABS(J174-CalorieGoal)/CalorieGoal,1)*100)))*0.1,0))</f>
        <v/>
      </c>
    </row>
    <row r="175" customFormat="false" ht="15" hidden="false" customHeight="false" outlineLevel="0" collapsed="false">
      <c r="A175" s="26" t="n">
        <f aca="false">A174+1</f>
        <v>46193</v>
      </c>
      <c r="B175" s="27" t="str">
        <f aca="false">TEXT(A175,"ddd")</f>
        <v>Sat</v>
      </c>
      <c r="C175" s="27" t="n">
        <f aca="false">INT((A175-StartDate)/7)+1</f>
        <v>25</v>
      </c>
      <c r="D175" s="27" t="str">
        <f aca="false">TEXT(A175,"mmm")</f>
        <v>Jun</v>
      </c>
      <c r="E175" s="28"/>
      <c r="F175" s="29"/>
      <c r="G175" s="29"/>
      <c r="H175" s="30"/>
      <c r="I175" s="29"/>
      <c r="J175" s="28"/>
      <c r="K175" s="28"/>
      <c r="L175" s="31"/>
      <c r="M175" s="28"/>
      <c r="N175" s="31"/>
      <c r="O175" s="31"/>
      <c r="P175" s="31"/>
      <c r="Q175" s="31"/>
      <c r="R175" s="31"/>
      <c r="S175" s="32"/>
      <c r="T175" s="33" t="str">
        <f aca="false">IF(E175="","",E175/StepGoal)</f>
        <v/>
      </c>
      <c r="U175" s="33" t="str">
        <f aca="false">IF(F175="","",F175/SleepGoal)</f>
        <v/>
      </c>
      <c r="V175" s="33" t="str">
        <f aca="false">IF(I175="","",I175/WaterGoal)</f>
        <v/>
      </c>
      <c r="W175" s="33" t="str">
        <f aca="false">IF(COUNT(E175,F175,I175)=0,"",(IF(N(T175)&gt;=1,1,0)+IF(N(U175)&gt;=1,1,0)+IF(N(V175)&gt;=1,1,0))/3)</f>
        <v/>
      </c>
      <c r="X175" s="27" t="n">
        <f aca="false">IF(AND(L175&lt;&gt;"",L175&lt;&gt;"Rest Day"),1,0)</f>
        <v>0</v>
      </c>
      <c r="Y175" s="34" t="n">
        <f aca="false">IF(X175=1,Y174+1,0)</f>
        <v>0</v>
      </c>
      <c r="Z175" s="34" t="n">
        <f aca="false">IF(N(T175)&gt;=1,Z174+1,0)</f>
        <v>0</v>
      </c>
      <c r="AA175" s="34" t="n">
        <f aca="false">IF(N(U175)&gt;=1,AA174+1,0)</f>
        <v>0</v>
      </c>
      <c r="AB175" s="34" t="n">
        <f aca="false">IF(N(V175)&gt;=1,AB174+1,0)</f>
        <v>0</v>
      </c>
      <c r="AC175" s="34" t="str">
        <f aca="false">IF(COUNT(E175,F175,I175,J175)=0,"",ROUND((MIN(IFERROR(E175/StepGoal,0),1)*100)*0.2+(MIN(IFERROR(F175/SleepGoal,0),1)*100)*0.2+(IF(L175="",0,IF(L175="Rest Day",100,MIN(IFERROR(M175/60,0),1)*100)))*0.25+(IFERROR(INDEX('Recovery Tracker'!$E$5:$E$369,MATCH(A175,'Recovery Tracker'!$A$5:$A$369,0))+0,70))*0.15+(MIN(IFERROR(I175/WaterGoal,0),1)*100)*0.1+(IF(J175="",0,MAX(0,100-MIN(ABS(J175-CalorieGoal)/CalorieGoal,1)*100)))*0.1,0))</f>
        <v/>
      </c>
    </row>
    <row r="176" customFormat="false" ht="15" hidden="false" customHeight="false" outlineLevel="0" collapsed="false">
      <c r="A176" s="35" t="n">
        <f aca="false">A175+1</f>
        <v>46194</v>
      </c>
      <c r="B176" s="36" t="str">
        <f aca="false">TEXT(A176,"ddd")</f>
        <v>Sun</v>
      </c>
      <c r="C176" s="36" t="n">
        <f aca="false">INT((A176-StartDate)/7)+1</f>
        <v>25</v>
      </c>
      <c r="D176" s="36" t="str">
        <f aca="false">TEXT(A176,"mmm")</f>
        <v>Jun</v>
      </c>
      <c r="E176" s="28"/>
      <c r="F176" s="29"/>
      <c r="G176" s="29"/>
      <c r="H176" s="30"/>
      <c r="I176" s="29"/>
      <c r="J176" s="28"/>
      <c r="K176" s="28"/>
      <c r="L176" s="31"/>
      <c r="M176" s="28"/>
      <c r="N176" s="31"/>
      <c r="O176" s="31"/>
      <c r="P176" s="31"/>
      <c r="Q176" s="31"/>
      <c r="R176" s="31"/>
      <c r="S176" s="32"/>
      <c r="T176" s="37" t="str">
        <f aca="false">IF(E176="","",E176/StepGoal)</f>
        <v/>
      </c>
      <c r="U176" s="37" t="str">
        <f aca="false">IF(F176="","",F176/SleepGoal)</f>
        <v/>
      </c>
      <c r="V176" s="37" t="str">
        <f aca="false">IF(I176="","",I176/WaterGoal)</f>
        <v/>
      </c>
      <c r="W176" s="37" t="str">
        <f aca="false">IF(COUNT(E176,F176,I176)=0,"",(IF(N(T176)&gt;=1,1,0)+IF(N(U176)&gt;=1,1,0)+IF(N(V176)&gt;=1,1,0))/3)</f>
        <v/>
      </c>
      <c r="X176" s="36" t="n">
        <f aca="false">IF(AND(L176&lt;&gt;"",L176&lt;&gt;"Rest Day"),1,0)</f>
        <v>0</v>
      </c>
      <c r="Y176" s="38" t="n">
        <f aca="false">IF(X176=1,Y175+1,0)</f>
        <v>0</v>
      </c>
      <c r="Z176" s="38" t="n">
        <f aca="false">IF(N(T176)&gt;=1,Z175+1,0)</f>
        <v>0</v>
      </c>
      <c r="AA176" s="38" t="n">
        <f aca="false">IF(N(U176)&gt;=1,AA175+1,0)</f>
        <v>0</v>
      </c>
      <c r="AB176" s="38" t="n">
        <f aca="false">IF(N(V176)&gt;=1,AB175+1,0)</f>
        <v>0</v>
      </c>
      <c r="AC176" s="38" t="str">
        <f aca="false">IF(COUNT(E176,F176,I176,J176)=0,"",ROUND((MIN(IFERROR(E176/StepGoal,0),1)*100)*0.2+(MIN(IFERROR(F176/SleepGoal,0),1)*100)*0.2+(IF(L176="",0,IF(L176="Rest Day",100,MIN(IFERROR(M176/60,0),1)*100)))*0.25+(IFERROR(INDEX('Recovery Tracker'!$E$5:$E$369,MATCH(A176,'Recovery Tracker'!$A$5:$A$369,0))+0,70))*0.15+(MIN(IFERROR(I176/WaterGoal,0),1)*100)*0.1+(IF(J176="",0,MAX(0,100-MIN(ABS(J176-CalorieGoal)/CalorieGoal,1)*100)))*0.1,0))</f>
        <v/>
      </c>
    </row>
    <row r="177" customFormat="false" ht="15" hidden="false" customHeight="false" outlineLevel="0" collapsed="false">
      <c r="A177" s="26" t="n">
        <f aca="false">A176+1</f>
        <v>46195</v>
      </c>
      <c r="B177" s="27" t="str">
        <f aca="false">TEXT(A177,"ddd")</f>
        <v>Mon</v>
      </c>
      <c r="C177" s="27" t="n">
        <f aca="false">INT((A177-StartDate)/7)+1</f>
        <v>25</v>
      </c>
      <c r="D177" s="27" t="str">
        <f aca="false">TEXT(A177,"mmm")</f>
        <v>Jun</v>
      </c>
      <c r="E177" s="28"/>
      <c r="F177" s="29"/>
      <c r="G177" s="29"/>
      <c r="H177" s="30"/>
      <c r="I177" s="29"/>
      <c r="J177" s="28"/>
      <c r="K177" s="28"/>
      <c r="L177" s="31"/>
      <c r="M177" s="28"/>
      <c r="N177" s="31"/>
      <c r="O177" s="31"/>
      <c r="P177" s="31"/>
      <c r="Q177" s="31"/>
      <c r="R177" s="31"/>
      <c r="S177" s="32"/>
      <c r="T177" s="33" t="str">
        <f aca="false">IF(E177="","",E177/StepGoal)</f>
        <v/>
      </c>
      <c r="U177" s="33" t="str">
        <f aca="false">IF(F177="","",F177/SleepGoal)</f>
        <v/>
      </c>
      <c r="V177" s="33" t="str">
        <f aca="false">IF(I177="","",I177/WaterGoal)</f>
        <v/>
      </c>
      <c r="W177" s="33" t="str">
        <f aca="false">IF(COUNT(E177,F177,I177)=0,"",(IF(N(T177)&gt;=1,1,0)+IF(N(U177)&gt;=1,1,0)+IF(N(V177)&gt;=1,1,0))/3)</f>
        <v/>
      </c>
      <c r="X177" s="27" t="n">
        <f aca="false">IF(AND(L177&lt;&gt;"",L177&lt;&gt;"Rest Day"),1,0)</f>
        <v>0</v>
      </c>
      <c r="Y177" s="34" t="n">
        <f aca="false">IF(X177=1,Y176+1,0)</f>
        <v>0</v>
      </c>
      <c r="Z177" s="34" t="n">
        <f aca="false">IF(N(T177)&gt;=1,Z176+1,0)</f>
        <v>0</v>
      </c>
      <c r="AA177" s="34" t="n">
        <f aca="false">IF(N(U177)&gt;=1,AA176+1,0)</f>
        <v>0</v>
      </c>
      <c r="AB177" s="34" t="n">
        <f aca="false">IF(N(V177)&gt;=1,AB176+1,0)</f>
        <v>0</v>
      </c>
      <c r="AC177" s="34" t="str">
        <f aca="false">IF(COUNT(E177,F177,I177,J177)=0,"",ROUND((MIN(IFERROR(E177/StepGoal,0),1)*100)*0.2+(MIN(IFERROR(F177/SleepGoal,0),1)*100)*0.2+(IF(L177="",0,IF(L177="Rest Day",100,MIN(IFERROR(M177/60,0),1)*100)))*0.25+(IFERROR(INDEX('Recovery Tracker'!$E$5:$E$369,MATCH(A177,'Recovery Tracker'!$A$5:$A$369,0))+0,70))*0.15+(MIN(IFERROR(I177/WaterGoal,0),1)*100)*0.1+(IF(J177="",0,MAX(0,100-MIN(ABS(J177-CalorieGoal)/CalorieGoal,1)*100)))*0.1,0))</f>
        <v/>
      </c>
    </row>
    <row r="178" customFormat="false" ht="15" hidden="false" customHeight="false" outlineLevel="0" collapsed="false">
      <c r="A178" s="35" t="n">
        <f aca="false">A177+1</f>
        <v>46196</v>
      </c>
      <c r="B178" s="36" t="str">
        <f aca="false">TEXT(A178,"ddd")</f>
        <v>Tue</v>
      </c>
      <c r="C178" s="36" t="n">
        <f aca="false">INT((A178-StartDate)/7)+1</f>
        <v>25</v>
      </c>
      <c r="D178" s="36" t="str">
        <f aca="false">TEXT(A178,"mmm")</f>
        <v>Jun</v>
      </c>
      <c r="E178" s="28"/>
      <c r="F178" s="29"/>
      <c r="G178" s="29"/>
      <c r="H178" s="30"/>
      <c r="I178" s="29"/>
      <c r="J178" s="28"/>
      <c r="K178" s="28"/>
      <c r="L178" s="31"/>
      <c r="M178" s="28"/>
      <c r="N178" s="31"/>
      <c r="O178" s="31"/>
      <c r="P178" s="31"/>
      <c r="Q178" s="31"/>
      <c r="R178" s="31"/>
      <c r="S178" s="32"/>
      <c r="T178" s="37" t="str">
        <f aca="false">IF(E178="","",E178/StepGoal)</f>
        <v/>
      </c>
      <c r="U178" s="37" t="str">
        <f aca="false">IF(F178="","",F178/SleepGoal)</f>
        <v/>
      </c>
      <c r="V178" s="37" t="str">
        <f aca="false">IF(I178="","",I178/WaterGoal)</f>
        <v/>
      </c>
      <c r="W178" s="37" t="str">
        <f aca="false">IF(COUNT(E178,F178,I178)=0,"",(IF(N(T178)&gt;=1,1,0)+IF(N(U178)&gt;=1,1,0)+IF(N(V178)&gt;=1,1,0))/3)</f>
        <v/>
      </c>
      <c r="X178" s="36" t="n">
        <f aca="false">IF(AND(L178&lt;&gt;"",L178&lt;&gt;"Rest Day"),1,0)</f>
        <v>0</v>
      </c>
      <c r="Y178" s="38" t="n">
        <f aca="false">IF(X178=1,Y177+1,0)</f>
        <v>0</v>
      </c>
      <c r="Z178" s="38" t="n">
        <f aca="false">IF(N(T178)&gt;=1,Z177+1,0)</f>
        <v>0</v>
      </c>
      <c r="AA178" s="38" t="n">
        <f aca="false">IF(N(U178)&gt;=1,AA177+1,0)</f>
        <v>0</v>
      </c>
      <c r="AB178" s="38" t="n">
        <f aca="false">IF(N(V178)&gt;=1,AB177+1,0)</f>
        <v>0</v>
      </c>
      <c r="AC178" s="38" t="str">
        <f aca="false">IF(COUNT(E178,F178,I178,J178)=0,"",ROUND((MIN(IFERROR(E178/StepGoal,0),1)*100)*0.2+(MIN(IFERROR(F178/SleepGoal,0),1)*100)*0.2+(IF(L178="",0,IF(L178="Rest Day",100,MIN(IFERROR(M178/60,0),1)*100)))*0.25+(IFERROR(INDEX('Recovery Tracker'!$E$5:$E$369,MATCH(A178,'Recovery Tracker'!$A$5:$A$369,0))+0,70))*0.15+(MIN(IFERROR(I178/WaterGoal,0),1)*100)*0.1+(IF(J178="",0,MAX(0,100-MIN(ABS(J178-CalorieGoal)/CalorieGoal,1)*100)))*0.1,0))</f>
        <v/>
      </c>
    </row>
    <row r="179" customFormat="false" ht="15" hidden="false" customHeight="false" outlineLevel="0" collapsed="false">
      <c r="A179" s="26" t="n">
        <f aca="false">A178+1</f>
        <v>46197</v>
      </c>
      <c r="B179" s="27" t="str">
        <f aca="false">TEXT(A179,"ddd")</f>
        <v>Wed</v>
      </c>
      <c r="C179" s="27" t="n">
        <f aca="false">INT((A179-StartDate)/7)+1</f>
        <v>25</v>
      </c>
      <c r="D179" s="27" t="str">
        <f aca="false">TEXT(A179,"mmm")</f>
        <v>Jun</v>
      </c>
      <c r="E179" s="28"/>
      <c r="F179" s="29"/>
      <c r="G179" s="29"/>
      <c r="H179" s="30"/>
      <c r="I179" s="29"/>
      <c r="J179" s="28"/>
      <c r="K179" s="28"/>
      <c r="L179" s="31"/>
      <c r="M179" s="28"/>
      <c r="N179" s="31"/>
      <c r="O179" s="31"/>
      <c r="P179" s="31"/>
      <c r="Q179" s="31"/>
      <c r="R179" s="31"/>
      <c r="S179" s="32"/>
      <c r="T179" s="33" t="str">
        <f aca="false">IF(E179="","",E179/StepGoal)</f>
        <v/>
      </c>
      <c r="U179" s="33" t="str">
        <f aca="false">IF(F179="","",F179/SleepGoal)</f>
        <v/>
      </c>
      <c r="V179" s="33" t="str">
        <f aca="false">IF(I179="","",I179/WaterGoal)</f>
        <v/>
      </c>
      <c r="W179" s="33" t="str">
        <f aca="false">IF(COUNT(E179,F179,I179)=0,"",(IF(N(T179)&gt;=1,1,0)+IF(N(U179)&gt;=1,1,0)+IF(N(V179)&gt;=1,1,0))/3)</f>
        <v/>
      </c>
      <c r="X179" s="27" t="n">
        <f aca="false">IF(AND(L179&lt;&gt;"",L179&lt;&gt;"Rest Day"),1,0)</f>
        <v>0</v>
      </c>
      <c r="Y179" s="34" t="n">
        <f aca="false">IF(X179=1,Y178+1,0)</f>
        <v>0</v>
      </c>
      <c r="Z179" s="34" t="n">
        <f aca="false">IF(N(T179)&gt;=1,Z178+1,0)</f>
        <v>0</v>
      </c>
      <c r="AA179" s="34" t="n">
        <f aca="false">IF(N(U179)&gt;=1,AA178+1,0)</f>
        <v>0</v>
      </c>
      <c r="AB179" s="34" t="n">
        <f aca="false">IF(N(V179)&gt;=1,AB178+1,0)</f>
        <v>0</v>
      </c>
      <c r="AC179" s="34" t="str">
        <f aca="false">IF(COUNT(E179,F179,I179,J179)=0,"",ROUND((MIN(IFERROR(E179/StepGoal,0),1)*100)*0.2+(MIN(IFERROR(F179/SleepGoal,0),1)*100)*0.2+(IF(L179="",0,IF(L179="Rest Day",100,MIN(IFERROR(M179/60,0),1)*100)))*0.25+(IFERROR(INDEX('Recovery Tracker'!$E$5:$E$369,MATCH(A179,'Recovery Tracker'!$A$5:$A$369,0))+0,70))*0.15+(MIN(IFERROR(I179/WaterGoal,0),1)*100)*0.1+(IF(J179="",0,MAX(0,100-MIN(ABS(J179-CalorieGoal)/CalorieGoal,1)*100)))*0.1,0))</f>
        <v/>
      </c>
    </row>
    <row r="180" customFormat="false" ht="15" hidden="false" customHeight="false" outlineLevel="0" collapsed="false">
      <c r="A180" s="35" t="n">
        <f aca="false">A179+1</f>
        <v>46198</v>
      </c>
      <c r="B180" s="36" t="str">
        <f aca="false">TEXT(A180,"ddd")</f>
        <v>Thu</v>
      </c>
      <c r="C180" s="36" t="n">
        <f aca="false">INT((A180-StartDate)/7)+1</f>
        <v>26</v>
      </c>
      <c r="D180" s="36" t="str">
        <f aca="false">TEXT(A180,"mmm")</f>
        <v>Jun</v>
      </c>
      <c r="E180" s="28"/>
      <c r="F180" s="29"/>
      <c r="G180" s="29"/>
      <c r="H180" s="30"/>
      <c r="I180" s="29"/>
      <c r="J180" s="28"/>
      <c r="K180" s="28"/>
      <c r="L180" s="31"/>
      <c r="M180" s="28"/>
      <c r="N180" s="31"/>
      <c r="O180" s="31"/>
      <c r="P180" s="31"/>
      <c r="Q180" s="31"/>
      <c r="R180" s="31"/>
      <c r="S180" s="32"/>
      <c r="T180" s="37" t="str">
        <f aca="false">IF(E180="","",E180/StepGoal)</f>
        <v/>
      </c>
      <c r="U180" s="37" t="str">
        <f aca="false">IF(F180="","",F180/SleepGoal)</f>
        <v/>
      </c>
      <c r="V180" s="37" t="str">
        <f aca="false">IF(I180="","",I180/WaterGoal)</f>
        <v/>
      </c>
      <c r="W180" s="37" t="str">
        <f aca="false">IF(COUNT(E180,F180,I180)=0,"",(IF(N(T180)&gt;=1,1,0)+IF(N(U180)&gt;=1,1,0)+IF(N(V180)&gt;=1,1,0))/3)</f>
        <v/>
      </c>
      <c r="X180" s="36" t="n">
        <f aca="false">IF(AND(L180&lt;&gt;"",L180&lt;&gt;"Rest Day"),1,0)</f>
        <v>0</v>
      </c>
      <c r="Y180" s="38" t="n">
        <f aca="false">IF(X180=1,Y179+1,0)</f>
        <v>0</v>
      </c>
      <c r="Z180" s="38" t="n">
        <f aca="false">IF(N(T180)&gt;=1,Z179+1,0)</f>
        <v>0</v>
      </c>
      <c r="AA180" s="38" t="n">
        <f aca="false">IF(N(U180)&gt;=1,AA179+1,0)</f>
        <v>0</v>
      </c>
      <c r="AB180" s="38" t="n">
        <f aca="false">IF(N(V180)&gt;=1,AB179+1,0)</f>
        <v>0</v>
      </c>
      <c r="AC180" s="38" t="str">
        <f aca="false">IF(COUNT(E180,F180,I180,J180)=0,"",ROUND((MIN(IFERROR(E180/StepGoal,0),1)*100)*0.2+(MIN(IFERROR(F180/SleepGoal,0),1)*100)*0.2+(IF(L180="",0,IF(L180="Rest Day",100,MIN(IFERROR(M180/60,0),1)*100)))*0.25+(IFERROR(INDEX('Recovery Tracker'!$E$5:$E$369,MATCH(A180,'Recovery Tracker'!$A$5:$A$369,0))+0,70))*0.15+(MIN(IFERROR(I180/WaterGoal,0),1)*100)*0.1+(IF(J180="",0,MAX(0,100-MIN(ABS(J180-CalorieGoal)/CalorieGoal,1)*100)))*0.1,0))</f>
        <v/>
      </c>
    </row>
    <row r="181" customFormat="false" ht="15" hidden="false" customHeight="false" outlineLevel="0" collapsed="false">
      <c r="A181" s="26" t="n">
        <f aca="false">A180+1</f>
        <v>46199</v>
      </c>
      <c r="B181" s="27" t="str">
        <f aca="false">TEXT(A181,"ddd")</f>
        <v>Fri</v>
      </c>
      <c r="C181" s="27" t="n">
        <f aca="false">INT((A181-StartDate)/7)+1</f>
        <v>26</v>
      </c>
      <c r="D181" s="27" t="str">
        <f aca="false">TEXT(A181,"mmm")</f>
        <v>Jun</v>
      </c>
      <c r="E181" s="28"/>
      <c r="F181" s="29"/>
      <c r="G181" s="29"/>
      <c r="H181" s="30"/>
      <c r="I181" s="29"/>
      <c r="J181" s="28"/>
      <c r="K181" s="28"/>
      <c r="L181" s="31"/>
      <c r="M181" s="28"/>
      <c r="N181" s="31"/>
      <c r="O181" s="31"/>
      <c r="P181" s="31"/>
      <c r="Q181" s="31"/>
      <c r="R181" s="31"/>
      <c r="S181" s="32"/>
      <c r="T181" s="33" t="str">
        <f aca="false">IF(E181="","",E181/StepGoal)</f>
        <v/>
      </c>
      <c r="U181" s="33" t="str">
        <f aca="false">IF(F181="","",F181/SleepGoal)</f>
        <v/>
      </c>
      <c r="V181" s="33" t="str">
        <f aca="false">IF(I181="","",I181/WaterGoal)</f>
        <v/>
      </c>
      <c r="W181" s="33" t="str">
        <f aca="false">IF(COUNT(E181,F181,I181)=0,"",(IF(N(T181)&gt;=1,1,0)+IF(N(U181)&gt;=1,1,0)+IF(N(V181)&gt;=1,1,0))/3)</f>
        <v/>
      </c>
      <c r="X181" s="27" t="n">
        <f aca="false">IF(AND(L181&lt;&gt;"",L181&lt;&gt;"Rest Day"),1,0)</f>
        <v>0</v>
      </c>
      <c r="Y181" s="34" t="n">
        <f aca="false">IF(X181=1,Y180+1,0)</f>
        <v>0</v>
      </c>
      <c r="Z181" s="34" t="n">
        <f aca="false">IF(N(T181)&gt;=1,Z180+1,0)</f>
        <v>0</v>
      </c>
      <c r="AA181" s="34" t="n">
        <f aca="false">IF(N(U181)&gt;=1,AA180+1,0)</f>
        <v>0</v>
      </c>
      <c r="AB181" s="34" t="n">
        <f aca="false">IF(N(V181)&gt;=1,AB180+1,0)</f>
        <v>0</v>
      </c>
      <c r="AC181" s="34" t="str">
        <f aca="false">IF(COUNT(E181,F181,I181,J181)=0,"",ROUND((MIN(IFERROR(E181/StepGoal,0),1)*100)*0.2+(MIN(IFERROR(F181/SleepGoal,0),1)*100)*0.2+(IF(L181="",0,IF(L181="Rest Day",100,MIN(IFERROR(M181/60,0),1)*100)))*0.25+(IFERROR(INDEX('Recovery Tracker'!$E$5:$E$369,MATCH(A181,'Recovery Tracker'!$A$5:$A$369,0))+0,70))*0.15+(MIN(IFERROR(I181/WaterGoal,0),1)*100)*0.1+(IF(J181="",0,MAX(0,100-MIN(ABS(J181-CalorieGoal)/CalorieGoal,1)*100)))*0.1,0))</f>
        <v/>
      </c>
    </row>
    <row r="182" customFormat="false" ht="15" hidden="false" customHeight="false" outlineLevel="0" collapsed="false">
      <c r="A182" s="35" t="n">
        <f aca="false">A181+1</f>
        <v>46200</v>
      </c>
      <c r="B182" s="36" t="str">
        <f aca="false">TEXT(A182,"ddd")</f>
        <v>Sat</v>
      </c>
      <c r="C182" s="36" t="n">
        <f aca="false">INT((A182-StartDate)/7)+1</f>
        <v>26</v>
      </c>
      <c r="D182" s="36" t="str">
        <f aca="false">TEXT(A182,"mmm")</f>
        <v>Jun</v>
      </c>
      <c r="E182" s="28"/>
      <c r="F182" s="29"/>
      <c r="G182" s="29"/>
      <c r="H182" s="30"/>
      <c r="I182" s="29"/>
      <c r="J182" s="28"/>
      <c r="K182" s="28"/>
      <c r="L182" s="31"/>
      <c r="M182" s="28"/>
      <c r="N182" s="31"/>
      <c r="O182" s="31"/>
      <c r="P182" s="31"/>
      <c r="Q182" s="31"/>
      <c r="R182" s="31"/>
      <c r="S182" s="32"/>
      <c r="T182" s="37" t="str">
        <f aca="false">IF(E182="","",E182/StepGoal)</f>
        <v/>
      </c>
      <c r="U182" s="37" t="str">
        <f aca="false">IF(F182="","",F182/SleepGoal)</f>
        <v/>
      </c>
      <c r="V182" s="37" t="str">
        <f aca="false">IF(I182="","",I182/WaterGoal)</f>
        <v/>
      </c>
      <c r="W182" s="37" t="str">
        <f aca="false">IF(COUNT(E182,F182,I182)=0,"",(IF(N(T182)&gt;=1,1,0)+IF(N(U182)&gt;=1,1,0)+IF(N(V182)&gt;=1,1,0))/3)</f>
        <v/>
      </c>
      <c r="X182" s="36" t="n">
        <f aca="false">IF(AND(L182&lt;&gt;"",L182&lt;&gt;"Rest Day"),1,0)</f>
        <v>0</v>
      </c>
      <c r="Y182" s="38" t="n">
        <f aca="false">IF(X182=1,Y181+1,0)</f>
        <v>0</v>
      </c>
      <c r="Z182" s="38" t="n">
        <f aca="false">IF(N(T182)&gt;=1,Z181+1,0)</f>
        <v>0</v>
      </c>
      <c r="AA182" s="38" t="n">
        <f aca="false">IF(N(U182)&gt;=1,AA181+1,0)</f>
        <v>0</v>
      </c>
      <c r="AB182" s="38" t="n">
        <f aca="false">IF(N(V182)&gt;=1,AB181+1,0)</f>
        <v>0</v>
      </c>
      <c r="AC182" s="38" t="str">
        <f aca="false">IF(COUNT(E182,F182,I182,J182)=0,"",ROUND((MIN(IFERROR(E182/StepGoal,0),1)*100)*0.2+(MIN(IFERROR(F182/SleepGoal,0),1)*100)*0.2+(IF(L182="",0,IF(L182="Rest Day",100,MIN(IFERROR(M182/60,0),1)*100)))*0.25+(IFERROR(INDEX('Recovery Tracker'!$E$5:$E$369,MATCH(A182,'Recovery Tracker'!$A$5:$A$369,0))+0,70))*0.15+(MIN(IFERROR(I182/WaterGoal,0),1)*100)*0.1+(IF(J182="",0,MAX(0,100-MIN(ABS(J182-CalorieGoal)/CalorieGoal,1)*100)))*0.1,0))</f>
        <v/>
      </c>
    </row>
    <row r="183" customFormat="false" ht="15" hidden="false" customHeight="false" outlineLevel="0" collapsed="false">
      <c r="A183" s="26" t="n">
        <f aca="false">A182+1</f>
        <v>46201</v>
      </c>
      <c r="B183" s="27" t="str">
        <f aca="false">TEXT(A183,"ddd")</f>
        <v>Sun</v>
      </c>
      <c r="C183" s="27" t="n">
        <f aca="false">INT((A183-StartDate)/7)+1</f>
        <v>26</v>
      </c>
      <c r="D183" s="27" t="str">
        <f aca="false">TEXT(A183,"mmm")</f>
        <v>Jun</v>
      </c>
      <c r="E183" s="28"/>
      <c r="F183" s="29"/>
      <c r="G183" s="29"/>
      <c r="H183" s="30"/>
      <c r="I183" s="29"/>
      <c r="J183" s="28"/>
      <c r="K183" s="28"/>
      <c r="L183" s="31"/>
      <c r="M183" s="28"/>
      <c r="N183" s="31"/>
      <c r="O183" s="31"/>
      <c r="P183" s="31"/>
      <c r="Q183" s="31"/>
      <c r="R183" s="31"/>
      <c r="S183" s="32"/>
      <c r="T183" s="33" t="str">
        <f aca="false">IF(E183="","",E183/StepGoal)</f>
        <v/>
      </c>
      <c r="U183" s="33" t="str">
        <f aca="false">IF(F183="","",F183/SleepGoal)</f>
        <v/>
      </c>
      <c r="V183" s="33" t="str">
        <f aca="false">IF(I183="","",I183/WaterGoal)</f>
        <v/>
      </c>
      <c r="W183" s="33" t="str">
        <f aca="false">IF(COUNT(E183,F183,I183)=0,"",(IF(N(T183)&gt;=1,1,0)+IF(N(U183)&gt;=1,1,0)+IF(N(V183)&gt;=1,1,0))/3)</f>
        <v/>
      </c>
      <c r="X183" s="27" t="n">
        <f aca="false">IF(AND(L183&lt;&gt;"",L183&lt;&gt;"Rest Day"),1,0)</f>
        <v>0</v>
      </c>
      <c r="Y183" s="34" t="n">
        <f aca="false">IF(X183=1,Y182+1,0)</f>
        <v>0</v>
      </c>
      <c r="Z183" s="34" t="n">
        <f aca="false">IF(N(T183)&gt;=1,Z182+1,0)</f>
        <v>0</v>
      </c>
      <c r="AA183" s="34" t="n">
        <f aca="false">IF(N(U183)&gt;=1,AA182+1,0)</f>
        <v>0</v>
      </c>
      <c r="AB183" s="34" t="n">
        <f aca="false">IF(N(V183)&gt;=1,AB182+1,0)</f>
        <v>0</v>
      </c>
      <c r="AC183" s="34" t="str">
        <f aca="false">IF(COUNT(E183,F183,I183,J183)=0,"",ROUND((MIN(IFERROR(E183/StepGoal,0),1)*100)*0.2+(MIN(IFERROR(F183/SleepGoal,0),1)*100)*0.2+(IF(L183="",0,IF(L183="Rest Day",100,MIN(IFERROR(M183/60,0),1)*100)))*0.25+(IFERROR(INDEX('Recovery Tracker'!$E$5:$E$369,MATCH(A183,'Recovery Tracker'!$A$5:$A$369,0))+0,70))*0.15+(MIN(IFERROR(I183/WaterGoal,0),1)*100)*0.1+(IF(J183="",0,MAX(0,100-MIN(ABS(J183-CalorieGoal)/CalorieGoal,1)*100)))*0.1,0))</f>
        <v/>
      </c>
    </row>
    <row r="184" customFormat="false" ht="15" hidden="false" customHeight="false" outlineLevel="0" collapsed="false">
      <c r="A184" s="35" t="n">
        <f aca="false">A183+1</f>
        <v>46202</v>
      </c>
      <c r="B184" s="36" t="str">
        <f aca="false">TEXT(A184,"ddd")</f>
        <v>Mon</v>
      </c>
      <c r="C184" s="36" t="n">
        <f aca="false">INT((A184-StartDate)/7)+1</f>
        <v>26</v>
      </c>
      <c r="D184" s="36" t="str">
        <f aca="false">TEXT(A184,"mmm")</f>
        <v>Jun</v>
      </c>
      <c r="E184" s="28"/>
      <c r="F184" s="29"/>
      <c r="G184" s="29"/>
      <c r="H184" s="30"/>
      <c r="I184" s="29"/>
      <c r="J184" s="28"/>
      <c r="K184" s="28"/>
      <c r="L184" s="31"/>
      <c r="M184" s="28"/>
      <c r="N184" s="31"/>
      <c r="O184" s="31"/>
      <c r="P184" s="31"/>
      <c r="Q184" s="31"/>
      <c r="R184" s="31"/>
      <c r="S184" s="32"/>
      <c r="T184" s="37" t="str">
        <f aca="false">IF(E184="","",E184/StepGoal)</f>
        <v/>
      </c>
      <c r="U184" s="37" t="str">
        <f aca="false">IF(F184="","",F184/SleepGoal)</f>
        <v/>
      </c>
      <c r="V184" s="37" t="str">
        <f aca="false">IF(I184="","",I184/WaterGoal)</f>
        <v/>
      </c>
      <c r="W184" s="37" t="str">
        <f aca="false">IF(COUNT(E184,F184,I184)=0,"",(IF(N(T184)&gt;=1,1,0)+IF(N(U184)&gt;=1,1,0)+IF(N(V184)&gt;=1,1,0))/3)</f>
        <v/>
      </c>
      <c r="X184" s="36" t="n">
        <f aca="false">IF(AND(L184&lt;&gt;"",L184&lt;&gt;"Rest Day"),1,0)</f>
        <v>0</v>
      </c>
      <c r="Y184" s="38" t="n">
        <f aca="false">IF(X184=1,Y183+1,0)</f>
        <v>0</v>
      </c>
      <c r="Z184" s="38" t="n">
        <f aca="false">IF(N(T184)&gt;=1,Z183+1,0)</f>
        <v>0</v>
      </c>
      <c r="AA184" s="38" t="n">
        <f aca="false">IF(N(U184)&gt;=1,AA183+1,0)</f>
        <v>0</v>
      </c>
      <c r="AB184" s="38" t="n">
        <f aca="false">IF(N(V184)&gt;=1,AB183+1,0)</f>
        <v>0</v>
      </c>
      <c r="AC184" s="38" t="str">
        <f aca="false">IF(COUNT(E184,F184,I184,J184)=0,"",ROUND((MIN(IFERROR(E184/StepGoal,0),1)*100)*0.2+(MIN(IFERROR(F184/SleepGoal,0),1)*100)*0.2+(IF(L184="",0,IF(L184="Rest Day",100,MIN(IFERROR(M184/60,0),1)*100)))*0.25+(IFERROR(INDEX('Recovery Tracker'!$E$5:$E$369,MATCH(A184,'Recovery Tracker'!$A$5:$A$369,0))+0,70))*0.15+(MIN(IFERROR(I184/WaterGoal,0),1)*100)*0.1+(IF(J184="",0,MAX(0,100-MIN(ABS(J184-CalorieGoal)/CalorieGoal,1)*100)))*0.1,0))</f>
        <v/>
      </c>
    </row>
    <row r="185" customFormat="false" ht="15" hidden="false" customHeight="false" outlineLevel="0" collapsed="false">
      <c r="A185" s="26" t="n">
        <f aca="false">A184+1</f>
        <v>46203</v>
      </c>
      <c r="B185" s="27" t="str">
        <f aca="false">TEXT(A185,"ddd")</f>
        <v>Tue</v>
      </c>
      <c r="C185" s="27" t="n">
        <f aca="false">INT((A185-StartDate)/7)+1</f>
        <v>26</v>
      </c>
      <c r="D185" s="27" t="str">
        <f aca="false">TEXT(A185,"mmm")</f>
        <v>Jun</v>
      </c>
      <c r="E185" s="28"/>
      <c r="F185" s="29"/>
      <c r="G185" s="29"/>
      <c r="H185" s="30"/>
      <c r="I185" s="29"/>
      <c r="J185" s="28"/>
      <c r="K185" s="28"/>
      <c r="L185" s="31"/>
      <c r="M185" s="28"/>
      <c r="N185" s="31"/>
      <c r="O185" s="31"/>
      <c r="P185" s="31"/>
      <c r="Q185" s="31"/>
      <c r="R185" s="31"/>
      <c r="S185" s="32"/>
      <c r="T185" s="33" t="str">
        <f aca="false">IF(E185="","",E185/StepGoal)</f>
        <v/>
      </c>
      <c r="U185" s="33" t="str">
        <f aca="false">IF(F185="","",F185/SleepGoal)</f>
        <v/>
      </c>
      <c r="V185" s="33" t="str">
        <f aca="false">IF(I185="","",I185/WaterGoal)</f>
        <v/>
      </c>
      <c r="W185" s="33" t="str">
        <f aca="false">IF(COUNT(E185,F185,I185)=0,"",(IF(N(T185)&gt;=1,1,0)+IF(N(U185)&gt;=1,1,0)+IF(N(V185)&gt;=1,1,0))/3)</f>
        <v/>
      </c>
      <c r="X185" s="27" t="n">
        <f aca="false">IF(AND(L185&lt;&gt;"",L185&lt;&gt;"Rest Day"),1,0)</f>
        <v>0</v>
      </c>
      <c r="Y185" s="34" t="n">
        <f aca="false">IF(X185=1,Y184+1,0)</f>
        <v>0</v>
      </c>
      <c r="Z185" s="34" t="n">
        <f aca="false">IF(N(T185)&gt;=1,Z184+1,0)</f>
        <v>0</v>
      </c>
      <c r="AA185" s="34" t="n">
        <f aca="false">IF(N(U185)&gt;=1,AA184+1,0)</f>
        <v>0</v>
      </c>
      <c r="AB185" s="34" t="n">
        <f aca="false">IF(N(V185)&gt;=1,AB184+1,0)</f>
        <v>0</v>
      </c>
      <c r="AC185" s="34" t="str">
        <f aca="false">IF(COUNT(E185,F185,I185,J185)=0,"",ROUND((MIN(IFERROR(E185/StepGoal,0),1)*100)*0.2+(MIN(IFERROR(F185/SleepGoal,0),1)*100)*0.2+(IF(L185="",0,IF(L185="Rest Day",100,MIN(IFERROR(M185/60,0),1)*100)))*0.25+(IFERROR(INDEX('Recovery Tracker'!$E$5:$E$369,MATCH(A185,'Recovery Tracker'!$A$5:$A$369,0))+0,70))*0.15+(MIN(IFERROR(I185/WaterGoal,0),1)*100)*0.1+(IF(J185="",0,MAX(0,100-MIN(ABS(J185-CalorieGoal)/CalorieGoal,1)*100)))*0.1,0))</f>
        <v/>
      </c>
    </row>
    <row r="186" customFormat="false" ht="15" hidden="false" customHeight="false" outlineLevel="0" collapsed="false">
      <c r="A186" s="35" t="n">
        <f aca="false">A185+1</f>
        <v>46204</v>
      </c>
      <c r="B186" s="36" t="str">
        <f aca="false">TEXT(A186,"ddd")</f>
        <v>Wed</v>
      </c>
      <c r="C186" s="36" t="n">
        <f aca="false">INT((A186-StartDate)/7)+1</f>
        <v>26</v>
      </c>
      <c r="D186" s="36" t="str">
        <f aca="false">TEXT(A186,"mmm")</f>
        <v>Jul</v>
      </c>
      <c r="E186" s="28"/>
      <c r="F186" s="29"/>
      <c r="G186" s="29"/>
      <c r="H186" s="30"/>
      <c r="I186" s="29"/>
      <c r="J186" s="28"/>
      <c r="K186" s="28"/>
      <c r="L186" s="31"/>
      <c r="M186" s="28"/>
      <c r="N186" s="31"/>
      <c r="O186" s="31"/>
      <c r="P186" s="31"/>
      <c r="Q186" s="31"/>
      <c r="R186" s="31"/>
      <c r="S186" s="32"/>
      <c r="T186" s="37" t="str">
        <f aca="false">IF(E186="","",E186/StepGoal)</f>
        <v/>
      </c>
      <c r="U186" s="37" t="str">
        <f aca="false">IF(F186="","",F186/SleepGoal)</f>
        <v/>
      </c>
      <c r="V186" s="37" t="str">
        <f aca="false">IF(I186="","",I186/WaterGoal)</f>
        <v/>
      </c>
      <c r="W186" s="37" t="str">
        <f aca="false">IF(COUNT(E186,F186,I186)=0,"",(IF(N(T186)&gt;=1,1,0)+IF(N(U186)&gt;=1,1,0)+IF(N(V186)&gt;=1,1,0))/3)</f>
        <v/>
      </c>
      <c r="X186" s="36" t="n">
        <f aca="false">IF(AND(L186&lt;&gt;"",L186&lt;&gt;"Rest Day"),1,0)</f>
        <v>0</v>
      </c>
      <c r="Y186" s="38" t="n">
        <f aca="false">IF(X186=1,Y185+1,0)</f>
        <v>0</v>
      </c>
      <c r="Z186" s="38" t="n">
        <f aca="false">IF(N(T186)&gt;=1,Z185+1,0)</f>
        <v>0</v>
      </c>
      <c r="AA186" s="38" t="n">
        <f aca="false">IF(N(U186)&gt;=1,AA185+1,0)</f>
        <v>0</v>
      </c>
      <c r="AB186" s="38" t="n">
        <f aca="false">IF(N(V186)&gt;=1,AB185+1,0)</f>
        <v>0</v>
      </c>
      <c r="AC186" s="38" t="str">
        <f aca="false">IF(COUNT(E186,F186,I186,J186)=0,"",ROUND((MIN(IFERROR(E186/StepGoal,0),1)*100)*0.2+(MIN(IFERROR(F186/SleepGoal,0),1)*100)*0.2+(IF(L186="",0,IF(L186="Rest Day",100,MIN(IFERROR(M186/60,0),1)*100)))*0.25+(IFERROR(INDEX('Recovery Tracker'!$E$5:$E$369,MATCH(A186,'Recovery Tracker'!$A$5:$A$369,0))+0,70))*0.15+(MIN(IFERROR(I186/WaterGoal,0),1)*100)*0.1+(IF(J186="",0,MAX(0,100-MIN(ABS(J186-CalorieGoal)/CalorieGoal,1)*100)))*0.1,0))</f>
        <v/>
      </c>
    </row>
    <row r="187" customFormat="false" ht="15" hidden="false" customHeight="false" outlineLevel="0" collapsed="false">
      <c r="A187" s="26" t="n">
        <f aca="false">A186+1</f>
        <v>46205</v>
      </c>
      <c r="B187" s="27" t="str">
        <f aca="false">TEXT(A187,"ddd")</f>
        <v>Thu</v>
      </c>
      <c r="C187" s="27" t="n">
        <f aca="false">INT((A187-StartDate)/7)+1</f>
        <v>27</v>
      </c>
      <c r="D187" s="27" t="str">
        <f aca="false">TEXT(A187,"mmm")</f>
        <v>Jul</v>
      </c>
      <c r="E187" s="28"/>
      <c r="F187" s="29"/>
      <c r="G187" s="29"/>
      <c r="H187" s="30"/>
      <c r="I187" s="29"/>
      <c r="J187" s="28"/>
      <c r="K187" s="28"/>
      <c r="L187" s="31"/>
      <c r="M187" s="28"/>
      <c r="N187" s="31"/>
      <c r="O187" s="31"/>
      <c r="P187" s="31"/>
      <c r="Q187" s="31"/>
      <c r="R187" s="31"/>
      <c r="S187" s="32"/>
      <c r="T187" s="33" t="str">
        <f aca="false">IF(E187="","",E187/StepGoal)</f>
        <v/>
      </c>
      <c r="U187" s="33" t="str">
        <f aca="false">IF(F187="","",F187/SleepGoal)</f>
        <v/>
      </c>
      <c r="V187" s="33" t="str">
        <f aca="false">IF(I187="","",I187/WaterGoal)</f>
        <v/>
      </c>
      <c r="W187" s="33" t="str">
        <f aca="false">IF(COUNT(E187,F187,I187)=0,"",(IF(N(T187)&gt;=1,1,0)+IF(N(U187)&gt;=1,1,0)+IF(N(V187)&gt;=1,1,0))/3)</f>
        <v/>
      </c>
      <c r="X187" s="27" t="n">
        <f aca="false">IF(AND(L187&lt;&gt;"",L187&lt;&gt;"Rest Day"),1,0)</f>
        <v>0</v>
      </c>
      <c r="Y187" s="34" t="n">
        <f aca="false">IF(X187=1,Y186+1,0)</f>
        <v>0</v>
      </c>
      <c r="Z187" s="34" t="n">
        <f aca="false">IF(N(T187)&gt;=1,Z186+1,0)</f>
        <v>0</v>
      </c>
      <c r="AA187" s="34" t="n">
        <f aca="false">IF(N(U187)&gt;=1,AA186+1,0)</f>
        <v>0</v>
      </c>
      <c r="AB187" s="34" t="n">
        <f aca="false">IF(N(V187)&gt;=1,AB186+1,0)</f>
        <v>0</v>
      </c>
      <c r="AC187" s="34" t="str">
        <f aca="false">IF(COUNT(E187,F187,I187,J187)=0,"",ROUND((MIN(IFERROR(E187/StepGoal,0),1)*100)*0.2+(MIN(IFERROR(F187/SleepGoal,0),1)*100)*0.2+(IF(L187="",0,IF(L187="Rest Day",100,MIN(IFERROR(M187/60,0),1)*100)))*0.25+(IFERROR(INDEX('Recovery Tracker'!$E$5:$E$369,MATCH(A187,'Recovery Tracker'!$A$5:$A$369,0))+0,70))*0.15+(MIN(IFERROR(I187/WaterGoal,0),1)*100)*0.1+(IF(J187="",0,MAX(0,100-MIN(ABS(J187-CalorieGoal)/CalorieGoal,1)*100)))*0.1,0))</f>
        <v/>
      </c>
    </row>
    <row r="188" customFormat="false" ht="15" hidden="false" customHeight="false" outlineLevel="0" collapsed="false">
      <c r="A188" s="35" t="n">
        <f aca="false">A187+1</f>
        <v>46206</v>
      </c>
      <c r="B188" s="36" t="str">
        <f aca="false">TEXT(A188,"ddd")</f>
        <v>Fri</v>
      </c>
      <c r="C188" s="36" t="n">
        <f aca="false">INT((A188-StartDate)/7)+1</f>
        <v>27</v>
      </c>
      <c r="D188" s="36" t="str">
        <f aca="false">TEXT(A188,"mmm")</f>
        <v>Jul</v>
      </c>
      <c r="E188" s="28"/>
      <c r="F188" s="29"/>
      <c r="G188" s="29"/>
      <c r="H188" s="30"/>
      <c r="I188" s="29"/>
      <c r="J188" s="28"/>
      <c r="K188" s="28"/>
      <c r="L188" s="31"/>
      <c r="M188" s="28"/>
      <c r="N188" s="31"/>
      <c r="O188" s="31"/>
      <c r="P188" s="31"/>
      <c r="Q188" s="31"/>
      <c r="R188" s="31"/>
      <c r="S188" s="32"/>
      <c r="T188" s="37" t="str">
        <f aca="false">IF(E188="","",E188/StepGoal)</f>
        <v/>
      </c>
      <c r="U188" s="37" t="str">
        <f aca="false">IF(F188="","",F188/SleepGoal)</f>
        <v/>
      </c>
      <c r="V188" s="37" t="str">
        <f aca="false">IF(I188="","",I188/WaterGoal)</f>
        <v/>
      </c>
      <c r="W188" s="37" t="str">
        <f aca="false">IF(COUNT(E188,F188,I188)=0,"",(IF(N(T188)&gt;=1,1,0)+IF(N(U188)&gt;=1,1,0)+IF(N(V188)&gt;=1,1,0))/3)</f>
        <v/>
      </c>
      <c r="X188" s="36" t="n">
        <f aca="false">IF(AND(L188&lt;&gt;"",L188&lt;&gt;"Rest Day"),1,0)</f>
        <v>0</v>
      </c>
      <c r="Y188" s="38" t="n">
        <f aca="false">IF(X188=1,Y187+1,0)</f>
        <v>0</v>
      </c>
      <c r="Z188" s="38" t="n">
        <f aca="false">IF(N(T188)&gt;=1,Z187+1,0)</f>
        <v>0</v>
      </c>
      <c r="AA188" s="38" t="n">
        <f aca="false">IF(N(U188)&gt;=1,AA187+1,0)</f>
        <v>0</v>
      </c>
      <c r="AB188" s="38" t="n">
        <f aca="false">IF(N(V188)&gt;=1,AB187+1,0)</f>
        <v>0</v>
      </c>
      <c r="AC188" s="38" t="str">
        <f aca="false">IF(COUNT(E188,F188,I188,J188)=0,"",ROUND((MIN(IFERROR(E188/StepGoal,0),1)*100)*0.2+(MIN(IFERROR(F188/SleepGoal,0),1)*100)*0.2+(IF(L188="",0,IF(L188="Rest Day",100,MIN(IFERROR(M188/60,0),1)*100)))*0.25+(IFERROR(INDEX('Recovery Tracker'!$E$5:$E$369,MATCH(A188,'Recovery Tracker'!$A$5:$A$369,0))+0,70))*0.15+(MIN(IFERROR(I188/WaterGoal,0),1)*100)*0.1+(IF(J188="",0,MAX(0,100-MIN(ABS(J188-CalorieGoal)/CalorieGoal,1)*100)))*0.1,0))</f>
        <v/>
      </c>
    </row>
    <row r="189" customFormat="false" ht="15" hidden="false" customHeight="false" outlineLevel="0" collapsed="false">
      <c r="A189" s="26" t="n">
        <f aca="false">A188+1</f>
        <v>46207</v>
      </c>
      <c r="B189" s="27" t="str">
        <f aca="false">TEXT(A189,"ddd")</f>
        <v>Sat</v>
      </c>
      <c r="C189" s="27" t="n">
        <f aca="false">INT((A189-StartDate)/7)+1</f>
        <v>27</v>
      </c>
      <c r="D189" s="27" t="str">
        <f aca="false">TEXT(A189,"mmm")</f>
        <v>Jul</v>
      </c>
      <c r="E189" s="28"/>
      <c r="F189" s="29"/>
      <c r="G189" s="29"/>
      <c r="H189" s="30"/>
      <c r="I189" s="29"/>
      <c r="J189" s="28"/>
      <c r="K189" s="28"/>
      <c r="L189" s="31"/>
      <c r="M189" s="28"/>
      <c r="N189" s="31"/>
      <c r="O189" s="31"/>
      <c r="P189" s="31"/>
      <c r="Q189" s="31"/>
      <c r="R189" s="31"/>
      <c r="S189" s="32"/>
      <c r="T189" s="33" t="str">
        <f aca="false">IF(E189="","",E189/StepGoal)</f>
        <v/>
      </c>
      <c r="U189" s="33" t="str">
        <f aca="false">IF(F189="","",F189/SleepGoal)</f>
        <v/>
      </c>
      <c r="V189" s="33" t="str">
        <f aca="false">IF(I189="","",I189/WaterGoal)</f>
        <v/>
      </c>
      <c r="W189" s="33" t="str">
        <f aca="false">IF(COUNT(E189,F189,I189)=0,"",(IF(N(T189)&gt;=1,1,0)+IF(N(U189)&gt;=1,1,0)+IF(N(V189)&gt;=1,1,0))/3)</f>
        <v/>
      </c>
      <c r="X189" s="27" t="n">
        <f aca="false">IF(AND(L189&lt;&gt;"",L189&lt;&gt;"Rest Day"),1,0)</f>
        <v>0</v>
      </c>
      <c r="Y189" s="34" t="n">
        <f aca="false">IF(X189=1,Y188+1,0)</f>
        <v>0</v>
      </c>
      <c r="Z189" s="34" t="n">
        <f aca="false">IF(N(T189)&gt;=1,Z188+1,0)</f>
        <v>0</v>
      </c>
      <c r="AA189" s="34" t="n">
        <f aca="false">IF(N(U189)&gt;=1,AA188+1,0)</f>
        <v>0</v>
      </c>
      <c r="AB189" s="34" t="n">
        <f aca="false">IF(N(V189)&gt;=1,AB188+1,0)</f>
        <v>0</v>
      </c>
      <c r="AC189" s="34" t="str">
        <f aca="false">IF(COUNT(E189,F189,I189,J189)=0,"",ROUND((MIN(IFERROR(E189/StepGoal,0),1)*100)*0.2+(MIN(IFERROR(F189/SleepGoal,0),1)*100)*0.2+(IF(L189="",0,IF(L189="Rest Day",100,MIN(IFERROR(M189/60,0),1)*100)))*0.25+(IFERROR(INDEX('Recovery Tracker'!$E$5:$E$369,MATCH(A189,'Recovery Tracker'!$A$5:$A$369,0))+0,70))*0.15+(MIN(IFERROR(I189/WaterGoal,0),1)*100)*0.1+(IF(J189="",0,MAX(0,100-MIN(ABS(J189-CalorieGoal)/CalorieGoal,1)*100)))*0.1,0))</f>
        <v/>
      </c>
    </row>
    <row r="190" customFormat="false" ht="15" hidden="false" customHeight="false" outlineLevel="0" collapsed="false">
      <c r="A190" s="35" t="n">
        <f aca="false">A189+1</f>
        <v>46208</v>
      </c>
      <c r="B190" s="36" t="str">
        <f aca="false">TEXT(A190,"ddd")</f>
        <v>Sun</v>
      </c>
      <c r="C190" s="36" t="n">
        <f aca="false">INT((A190-StartDate)/7)+1</f>
        <v>27</v>
      </c>
      <c r="D190" s="36" t="str">
        <f aca="false">TEXT(A190,"mmm")</f>
        <v>Jul</v>
      </c>
      <c r="E190" s="28"/>
      <c r="F190" s="29"/>
      <c r="G190" s="29"/>
      <c r="H190" s="30"/>
      <c r="I190" s="29"/>
      <c r="J190" s="28"/>
      <c r="K190" s="28"/>
      <c r="L190" s="31"/>
      <c r="M190" s="28"/>
      <c r="N190" s="31"/>
      <c r="O190" s="31"/>
      <c r="P190" s="31"/>
      <c r="Q190" s="31"/>
      <c r="R190" s="31"/>
      <c r="S190" s="32"/>
      <c r="T190" s="37" t="str">
        <f aca="false">IF(E190="","",E190/StepGoal)</f>
        <v/>
      </c>
      <c r="U190" s="37" t="str">
        <f aca="false">IF(F190="","",F190/SleepGoal)</f>
        <v/>
      </c>
      <c r="V190" s="37" t="str">
        <f aca="false">IF(I190="","",I190/WaterGoal)</f>
        <v/>
      </c>
      <c r="W190" s="37" t="str">
        <f aca="false">IF(COUNT(E190,F190,I190)=0,"",(IF(N(T190)&gt;=1,1,0)+IF(N(U190)&gt;=1,1,0)+IF(N(V190)&gt;=1,1,0))/3)</f>
        <v/>
      </c>
      <c r="X190" s="36" t="n">
        <f aca="false">IF(AND(L190&lt;&gt;"",L190&lt;&gt;"Rest Day"),1,0)</f>
        <v>0</v>
      </c>
      <c r="Y190" s="38" t="n">
        <f aca="false">IF(X190=1,Y189+1,0)</f>
        <v>0</v>
      </c>
      <c r="Z190" s="38" t="n">
        <f aca="false">IF(N(T190)&gt;=1,Z189+1,0)</f>
        <v>0</v>
      </c>
      <c r="AA190" s="38" t="n">
        <f aca="false">IF(N(U190)&gt;=1,AA189+1,0)</f>
        <v>0</v>
      </c>
      <c r="AB190" s="38" t="n">
        <f aca="false">IF(N(V190)&gt;=1,AB189+1,0)</f>
        <v>0</v>
      </c>
      <c r="AC190" s="38" t="str">
        <f aca="false">IF(COUNT(E190,F190,I190,J190)=0,"",ROUND((MIN(IFERROR(E190/StepGoal,0),1)*100)*0.2+(MIN(IFERROR(F190/SleepGoal,0),1)*100)*0.2+(IF(L190="",0,IF(L190="Rest Day",100,MIN(IFERROR(M190/60,0),1)*100)))*0.25+(IFERROR(INDEX('Recovery Tracker'!$E$5:$E$369,MATCH(A190,'Recovery Tracker'!$A$5:$A$369,0))+0,70))*0.15+(MIN(IFERROR(I190/WaterGoal,0),1)*100)*0.1+(IF(J190="",0,MAX(0,100-MIN(ABS(J190-CalorieGoal)/CalorieGoal,1)*100)))*0.1,0))</f>
        <v/>
      </c>
    </row>
    <row r="191" customFormat="false" ht="15" hidden="false" customHeight="false" outlineLevel="0" collapsed="false">
      <c r="A191" s="26" t="n">
        <f aca="false">A190+1</f>
        <v>46209</v>
      </c>
      <c r="B191" s="27" t="str">
        <f aca="false">TEXT(A191,"ddd")</f>
        <v>Mon</v>
      </c>
      <c r="C191" s="27" t="n">
        <f aca="false">INT((A191-StartDate)/7)+1</f>
        <v>27</v>
      </c>
      <c r="D191" s="27" t="str">
        <f aca="false">TEXT(A191,"mmm")</f>
        <v>Jul</v>
      </c>
      <c r="E191" s="28"/>
      <c r="F191" s="29"/>
      <c r="G191" s="29"/>
      <c r="H191" s="30"/>
      <c r="I191" s="29"/>
      <c r="J191" s="28"/>
      <c r="K191" s="28"/>
      <c r="L191" s="31"/>
      <c r="M191" s="28"/>
      <c r="N191" s="31"/>
      <c r="O191" s="31"/>
      <c r="P191" s="31"/>
      <c r="Q191" s="31"/>
      <c r="R191" s="31"/>
      <c r="S191" s="32"/>
      <c r="T191" s="33" t="str">
        <f aca="false">IF(E191="","",E191/StepGoal)</f>
        <v/>
      </c>
      <c r="U191" s="33" t="str">
        <f aca="false">IF(F191="","",F191/SleepGoal)</f>
        <v/>
      </c>
      <c r="V191" s="33" t="str">
        <f aca="false">IF(I191="","",I191/WaterGoal)</f>
        <v/>
      </c>
      <c r="W191" s="33" t="str">
        <f aca="false">IF(COUNT(E191,F191,I191)=0,"",(IF(N(T191)&gt;=1,1,0)+IF(N(U191)&gt;=1,1,0)+IF(N(V191)&gt;=1,1,0))/3)</f>
        <v/>
      </c>
      <c r="X191" s="27" t="n">
        <f aca="false">IF(AND(L191&lt;&gt;"",L191&lt;&gt;"Rest Day"),1,0)</f>
        <v>0</v>
      </c>
      <c r="Y191" s="34" t="n">
        <f aca="false">IF(X191=1,Y190+1,0)</f>
        <v>0</v>
      </c>
      <c r="Z191" s="34" t="n">
        <f aca="false">IF(N(T191)&gt;=1,Z190+1,0)</f>
        <v>0</v>
      </c>
      <c r="AA191" s="34" t="n">
        <f aca="false">IF(N(U191)&gt;=1,AA190+1,0)</f>
        <v>0</v>
      </c>
      <c r="AB191" s="34" t="n">
        <f aca="false">IF(N(V191)&gt;=1,AB190+1,0)</f>
        <v>0</v>
      </c>
      <c r="AC191" s="34" t="str">
        <f aca="false">IF(COUNT(E191,F191,I191,J191)=0,"",ROUND((MIN(IFERROR(E191/StepGoal,0),1)*100)*0.2+(MIN(IFERROR(F191/SleepGoal,0),1)*100)*0.2+(IF(L191="",0,IF(L191="Rest Day",100,MIN(IFERROR(M191/60,0),1)*100)))*0.25+(IFERROR(INDEX('Recovery Tracker'!$E$5:$E$369,MATCH(A191,'Recovery Tracker'!$A$5:$A$369,0))+0,70))*0.15+(MIN(IFERROR(I191/WaterGoal,0),1)*100)*0.1+(IF(J191="",0,MAX(0,100-MIN(ABS(J191-CalorieGoal)/CalorieGoal,1)*100)))*0.1,0))</f>
        <v/>
      </c>
    </row>
    <row r="192" customFormat="false" ht="15" hidden="false" customHeight="false" outlineLevel="0" collapsed="false">
      <c r="A192" s="35" t="n">
        <f aca="false">A191+1</f>
        <v>46210</v>
      </c>
      <c r="B192" s="36" t="str">
        <f aca="false">TEXT(A192,"ddd")</f>
        <v>Tue</v>
      </c>
      <c r="C192" s="36" t="n">
        <f aca="false">INT((A192-StartDate)/7)+1</f>
        <v>27</v>
      </c>
      <c r="D192" s="36" t="str">
        <f aca="false">TEXT(A192,"mmm")</f>
        <v>Jul</v>
      </c>
      <c r="E192" s="28"/>
      <c r="F192" s="29"/>
      <c r="G192" s="29"/>
      <c r="H192" s="30"/>
      <c r="I192" s="29"/>
      <c r="J192" s="28"/>
      <c r="K192" s="28"/>
      <c r="L192" s="31"/>
      <c r="M192" s="28"/>
      <c r="N192" s="31"/>
      <c r="O192" s="31"/>
      <c r="P192" s="31"/>
      <c r="Q192" s="31"/>
      <c r="R192" s="31"/>
      <c r="S192" s="32"/>
      <c r="T192" s="37" t="str">
        <f aca="false">IF(E192="","",E192/StepGoal)</f>
        <v/>
      </c>
      <c r="U192" s="37" t="str">
        <f aca="false">IF(F192="","",F192/SleepGoal)</f>
        <v/>
      </c>
      <c r="V192" s="37" t="str">
        <f aca="false">IF(I192="","",I192/WaterGoal)</f>
        <v/>
      </c>
      <c r="W192" s="37" t="str">
        <f aca="false">IF(COUNT(E192,F192,I192)=0,"",(IF(N(T192)&gt;=1,1,0)+IF(N(U192)&gt;=1,1,0)+IF(N(V192)&gt;=1,1,0))/3)</f>
        <v/>
      </c>
      <c r="X192" s="36" t="n">
        <f aca="false">IF(AND(L192&lt;&gt;"",L192&lt;&gt;"Rest Day"),1,0)</f>
        <v>0</v>
      </c>
      <c r="Y192" s="38" t="n">
        <f aca="false">IF(X192=1,Y191+1,0)</f>
        <v>0</v>
      </c>
      <c r="Z192" s="38" t="n">
        <f aca="false">IF(N(T192)&gt;=1,Z191+1,0)</f>
        <v>0</v>
      </c>
      <c r="AA192" s="38" t="n">
        <f aca="false">IF(N(U192)&gt;=1,AA191+1,0)</f>
        <v>0</v>
      </c>
      <c r="AB192" s="38" t="n">
        <f aca="false">IF(N(V192)&gt;=1,AB191+1,0)</f>
        <v>0</v>
      </c>
      <c r="AC192" s="38" t="str">
        <f aca="false">IF(COUNT(E192,F192,I192,J192)=0,"",ROUND((MIN(IFERROR(E192/StepGoal,0),1)*100)*0.2+(MIN(IFERROR(F192/SleepGoal,0),1)*100)*0.2+(IF(L192="",0,IF(L192="Rest Day",100,MIN(IFERROR(M192/60,0),1)*100)))*0.25+(IFERROR(INDEX('Recovery Tracker'!$E$5:$E$369,MATCH(A192,'Recovery Tracker'!$A$5:$A$369,0))+0,70))*0.15+(MIN(IFERROR(I192/WaterGoal,0),1)*100)*0.1+(IF(J192="",0,MAX(0,100-MIN(ABS(J192-CalorieGoal)/CalorieGoal,1)*100)))*0.1,0))</f>
        <v/>
      </c>
    </row>
    <row r="193" customFormat="false" ht="15" hidden="false" customHeight="false" outlineLevel="0" collapsed="false">
      <c r="A193" s="26" t="n">
        <f aca="false">A192+1</f>
        <v>46211</v>
      </c>
      <c r="B193" s="27" t="str">
        <f aca="false">TEXT(A193,"ddd")</f>
        <v>Wed</v>
      </c>
      <c r="C193" s="27" t="n">
        <f aca="false">INT((A193-StartDate)/7)+1</f>
        <v>27</v>
      </c>
      <c r="D193" s="27" t="str">
        <f aca="false">TEXT(A193,"mmm")</f>
        <v>Jul</v>
      </c>
      <c r="E193" s="28"/>
      <c r="F193" s="29"/>
      <c r="G193" s="29"/>
      <c r="H193" s="30"/>
      <c r="I193" s="29"/>
      <c r="J193" s="28"/>
      <c r="K193" s="28"/>
      <c r="L193" s="31"/>
      <c r="M193" s="28"/>
      <c r="N193" s="31"/>
      <c r="O193" s="31"/>
      <c r="P193" s="31"/>
      <c r="Q193" s="31"/>
      <c r="R193" s="31"/>
      <c r="S193" s="32"/>
      <c r="T193" s="33" t="str">
        <f aca="false">IF(E193="","",E193/StepGoal)</f>
        <v/>
      </c>
      <c r="U193" s="33" t="str">
        <f aca="false">IF(F193="","",F193/SleepGoal)</f>
        <v/>
      </c>
      <c r="V193" s="33" t="str">
        <f aca="false">IF(I193="","",I193/WaterGoal)</f>
        <v/>
      </c>
      <c r="W193" s="33" t="str">
        <f aca="false">IF(COUNT(E193,F193,I193)=0,"",(IF(N(T193)&gt;=1,1,0)+IF(N(U193)&gt;=1,1,0)+IF(N(V193)&gt;=1,1,0))/3)</f>
        <v/>
      </c>
      <c r="X193" s="27" t="n">
        <f aca="false">IF(AND(L193&lt;&gt;"",L193&lt;&gt;"Rest Day"),1,0)</f>
        <v>0</v>
      </c>
      <c r="Y193" s="34" t="n">
        <f aca="false">IF(X193=1,Y192+1,0)</f>
        <v>0</v>
      </c>
      <c r="Z193" s="34" t="n">
        <f aca="false">IF(N(T193)&gt;=1,Z192+1,0)</f>
        <v>0</v>
      </c>
      <c r="AA193" s="34" t="n">
        <f aca="false">IF(N(U193)&gt;=1,AA192+1,0)</f>
        <v>0</v>
      </c>
      <c r="AB193" s="34" t="n">
        <f aca="false">IF(N(V193)&gt;=1,AB192+1,0)</f>
        <v>0</v>
      </c>
      <c r="AC193" s="34" t="str">
        <f aca="false">IF(COUNT(E193,F193,I193,J193)=0,"",ROUND((MIN(IFERROR(E193/StepGoal,0),1)*100)*0.2+(MIN(IFERROR(F193/SleepGoal,0),1)*100)*0.2+(IF(L193="",0,IF(L193="Rest Day",100,MIN(IFERROR(M193/60,0),1)*100)))*0.25+(IFERROR(INDEX('Recovery Tracker'!$E$5:$E$369,MATCH(A193,'Recovery Tracker'!$A$5:$A$369,0))+0,70))*0.15+(MIN(IFERROR(I193/WaterGoal,0),1)*100)*0.1+(IF(J193="",0,MAX(0,100-MIN(ABS(J193-CalorieGoal)/CalorieGoal,1)*100)))*0.1,0))</f>
        <v/>
      </c>
    </row>
    <row r="194" customFormat="false" ht="15" hidden="false" customHeight="false" outlineLevel="0" collapsed="false">
      <c r="A194" s="35" t="n">
        <f aca="false">A193+1</f>
        <v>46212</v>
      </c>
      <c r="B194" s="36" t="str">
        <f aca="false">TEXT(A194,"ddd")</f>
        <v>Thu</v>
      </c>
      <c r="C194" s="36" t="n">
        <f aca="false">INT((A194-StartDate)/7)+1</f>
        <v>28</v>
      </c>
      <c r="D194" s="36" t="str">
        <f aca="false">TEXT(A194,"mmm")</f>
        <v>Jul</v>
      </c>
      <c r="E194" s="28"/>
      <c r="F194" s="29"/>
      <c r="G194" s="29"/>
      <c r="H194" s="30"/>
      <c r="I194" s="29"/>
      <c r="J194" s="28"/>
      <c r="K194" s="28"/>
      <c r="L194" s="31"/>
      <c r="M194" s="28"/>
      <c r="N194" s="31"/>
      <c r="O194" s="31"/>
      <c r="P194" s="31"/>
      <c r="Q194" s="31"/>
      <c r="R194" s="31"/>
      <c r="S194" s="32"/>
      <c r="T194" s="37" t="str">
        <f aca="false">IF(E194="","",E194/StepGoal)</f>
        <v/>
      </c>
      <c r="U194" s="37" t="str">
        <f aca="false">IF(F194="","",F194/SleepGoal)</f>
        <v/>
      </c>
      <c r="V194" s="37" t="str">
        <f aca="false">IF(I194="","",I194/WaterGoal)</f>
        <v/>
      </c>
      <c r="W194" s="37" t="str">
        <f aca="false">IF(COUNT(E194,F194,I194)=0,"",(IF(N(T194)&gt;=1,1,0)+IF(N(U194)&gt;=1,1,0)+IF(N(V194)&gt;=1,1,0))/3)</f>
        <v/>
      </c>
      <c r="X194" s="36" t="n">
        <f aca="false">IF(AND(L194&lt;&gt;"",L194&lt;&gt;"Rest Day"),1,0)</f>
        <v>0</v>
      </c>
      <c r="Y194" s="38" t="n">
        <f aca="false">IF(X194=1,Y193+1,0)</f>
        <v>0</v>
      </c>
      <c r="Z194" s="38" t="n">
        <f aca="false">IF(N(T194)&gt;=1,Z193+1,0)</f>
        <v>0</v>
      </c>
      <c r="AA194" s="38" t="n">
        <f aca="false">IF(N(U194)&gt;=1,AA193+1,0)</f>
        <v>0</v>
      </c>
      <c r="AB194" s="38" t="n">
        <f aca="false">IF(N(V194)&gt;=1,AB193+1,0)</f>
        <v>0</v>
      </c>
      <c r="AC194" s="38" t="str">
        <f aca="false">IF(COUNT(E194,F194,I194,J194)=0,"",ROUND((MIN(IFERROR(E194/StepGoal,0),1)*100)*0.2+(MIN(IFERROR(F194/SleepGoal,0),1)*100)*0.2+(IF(L194="",0,IF(L194="Rest Day",100,MIN(IFERROR(M194/60,0),1)*100)))*0.25+(IFERROR(INDEX('Recovery Tracker'!$E$5:$E$369,MATCH(A194,'Recovery Tracker'!$A$5:$A$369,0))+0,70))*0.15+(MIN(IFERROR(I194/WaterGoal,0),1)*100)*0.1+(IF(J194="",0,MAX(0,100-MIN(ABS(J194-CalorieGoal)/CalorieGoal,1)*100)))*0.1,0))</f>
        <v/>
      </c>
    </row>
    <row r="195" customFormat="false" ht="15" hidden="false" customHeight="false" outlineLevel="0" collapsed="false">
      <c r="A195" s="26" t="n">
        <f aca="false">A194+1</f>
        <v>46213</v>
      </c>
      <c r="B195" s="27" t="str">
        <f aca="false">TEXT(A195,"ddd")</f>
        <v>Fri</v>
      </c>
      <c r="C195" s="27" t="n">
        <f aca="false">INT((A195-StartDate)/7)+1</f>
        <v>28</v>
      </c>
      <c r="D195" s="27" t="str">
        <f aca="false">TEXT(A195,"mmm")</f>
        <v>Jul</v>
      </c>
      <c r="E195" s="28"/>
      <c r="F195" s="29"/>
      <c r="G195" s="29"/>
      <c r="H195" s="30"/>
      <c r="I195" s="29"/>
      <c r="J195" s="28"/>
      <c r="K195" s="28"/>
      <c r="L195" s="31"/>
      <c r="M195" s="28"/>
      <c r="N195" s="31"/>
      <c r="O195" s="31"/>
      <c r="P195" s="31"/>
      <c r="Q195" s="31"/>
      <c r="R195" s="31"/>
      <c r="S195" s="32"/>
      <c r="T195" s="33" t="str">
        <f aca="false">IF(E195="","",E195/StepGoal)</f>
        <v/>
      </c>
      <c r="U195" s="33" t="str">
        <f aca="false">IF(F195="","",F195/SleepGoal)</f>
        <v/>
      </c>
      <c r="V195" s="33" t="str">
        <f aca="false">IF(I195="","",I195/WaterGoal)</f>
        <v/>
      </c>
      <c r="W195" s="33" t="str">
        <f aca="false">IF(COUNT(E195,F195,I195)=0,"",(IF(N(T195)&gt;=1,1,0)+IF(N(U195)&gt;=1,1,0)+IF(N(V195)&gt;=1,1,0))/3)</f>
        <v/>
      </c>
      <c r="X195" s="27" t="n">
        <f aca="false">IF(AND(L195&lt;&gt;"",L195&lt;&gt;"Rest Day"),1,0)</f>
        <v>0</v>
      </c>
      <c r="Y195" s="34" t="n">
        <f aca="false">IF(X195=1,Y194+1,0)</f>
        <v>0</v>
      </c>
      <c r="Z195" s="34" t="n">
        <f aca="false">IF(N(T195)&gt;=1,Z194+1,0)</f>
        <v>0</v>
      </c>
      <c r="AA195" s="34" t="n">
        <f aca="false">IF(N(U195)&gt;=1,AA194+1,0)</f>
        <v>0</v>
      </c>
      <c r="AB195" s="34" t="n">
        <f aca="false">IF(N(V195)&gt;=1,AB194+1,0)</f>
        <v>0</v>
      </c>
      <c r="AC195" s="34" t="str">
        <f aca="false">IF(COUNT(E195,F195,I195,J195)=0,"",ROUND((MIN(IFERROR(E195/StepGoal,0),1)*100)*0.2+(MIN(IFERROR(F195/SleepGoal,0),1)*100)*0.2+(IF(L195="",0,IF(L195="Rest Day",100,MIN(IFERROR(M195/60,0),1)*100)))*0.25+(IFERROR(INDEX('Recovery Tracker'!$E$5:$E$369,MATCH(A195,'Recovery Tracker'!$A$5:$A$369,0))+0,70))*0.15+(MIN(IFERROR(I195/WaterGoal,0),1)*100)*0.1+(IF(J195="",0,MAX(0,100-MIN(ABS(J195-CalorieGoal)/CalorieGoal,1)*100)))*0.1,0))</f>
        <v/>
      </c>
    </row>
    <row r="196" customFormat="false" ht="15" hidden="false" customHeight="false" outlineLevel="0" collapsed="false">
      <c r="A196" s="35" t="n">
        <f aca="false">A195+1</f>
        <v>46214</v>
      </c>
      <c r="B196" s="36" t="str">
        <f aca="false">TEXT(A196,"ddd")</f>
        <v>Sat</v>
      </c>
      <c r="C196" s="36" t="n">
        <f aca="false">INT((A196-StartDate)/7)+1</f>
        <v>28</v>
      </c>
      <c r="D196" s="36" t="str">
        <f aca="false">TEXT(A196,"mmm")</f>
        <v>Jul</v>
      </c>
      <c r="E196" s="28"/>
      <c r="F196" s="29"/>
      <c r="G196" s="29"/>
      <c r="H196" s="30"/>
      <c r="I196" s="29"/>
      <c r="J196" s="28"/>
      <c r="K196" s="28"/>
      <c r="L196" s="31"/>
      <c r="M196" s="28"/>
      <c r="N196" s="31"/>
      <c r="O196" s="31"/>
      <c r="P196" s="31"/>
      <c r="Q196" s="31"/>
      <c r="R196" s="31"/>
      <c r="S196" s="32"/>
      <c r="T196" s="37" t="str">
        <f aca="false">IF(E196="","",E196/StepGoal)</f>
        <v/>
      </c>
      <c r="U196" s="37" t="str">
        <f aca="false">IF(F196="","",F196/SleepGoal)</f>
        <v/>
      </c>
      <c r="V196" s="37" t="str">
        <f aca="false">IF(I196="","",I196/WaterGoal)</f>
        <v/>
      </c>
      <c r="W196" s="37" t="str">
        <f aca="false">IF(COUNT(E196,F196,I196)=0,"",(IF(N(T196)&gt;=1,1,0)+IF(N(U196)&gt;=1,1,0)+IF(N(V196)&gt;=1,1,0))/3)</f>
        <v/>
      </c>
      <c r="X196" s="36" t="n">
        <f aca="false">IF(AND(L196&lt;&gt;"",L196&lt;&gt;"Rest Day"),1,0)</f>
        <v>0</v>
      </c>
      <c r="Y196" s="38" t="n">
        <f aca="false">IF(X196=1,Y195+1,0)</f>
        <v>0</v>
      </c>
      <c r="Z196" s="38" t="n">
        <f aca="false">IF(N(T196)&gt;=1,Z195+1,0)</f>
        <v>0</v>
      </c>
      <c r="AA196" s="38" t="n">
        <f aca="false">IF(N(U196)&gt;=1,AA195+1,0)</f>
        <v>0</v>
      </c>
      <c r="AB196" s="38" t="n">
        <f aca="false">IF(N(V196)&gt;=1,AB195+1,0)</f>
        <v>0</v>
      </c>
      <c r="AC196" s="38" t="str">
        <f aca="false">IF(COUNT(E196,F196,I196,J196)=0,"",ROUND((MIN(IFERROR(E196/StepGoal,0),1)*100)*0.2+(MIN(IFERROR(F196/SleepGoal,0),1)*100)*0.2+(IF(L196="",0,IF(L196="Rest Day",100,MIN(IFERROR(M196/60,0),1)*100)))*0.25+(IFERROR(INDEX('Recovery Tracker'!$E$5:$E$369,MATCH(A196,'Recovery Tracker'!$A$5:$A$369,0))+0,70))*0.15+(MIN(IFERROR(I196/WaterGoal,0),1)*100)*0.1+(IF(J196="",0,MAX(0,100-MIN(ABS(J196-CalorieGoal)/CalorieGoal,1)*100)))*0.1,0))</f>
        <v/>
      </c>
    </row>
    <row r="197" customFormat="false" ht="15" hidden="false" customHeight="false" outlineLevel="0" collapsed="false">
      <c r="A197" s="26" t="n">
        <f aca="false">A196+1</f>
        <v>46215</v>
      </c>
      <c r="B197" s="27" t="str">
        <f aca="false">TEXT(A197,"ddd")</f>
        <v>Sun</v>
      </c>
      <c r="C197" s="27" t="n">
        <f aca="false">INT((A197-StartDate)/7)+1</f>
        <v>28</v>
      </c>
      <c r="D197" s="27" t="str">
        <f aca="false">TEXT(A197,"mmm")</f>
        <v>Jul</v>
      </c>
      <c r="E197" s="28"/>
      <c r="F197" s="29"/>
      <c r="G197" s="29"/>
      <c r="H197" s="30"/>
      <c r="I197" s="29"/>
      <c r="J197" s="28"/>
      <c r="K197" s="28"/>
      <c r="L197" s="31"/>
      <c r="M197" s="28"/>
      <c r="N197" s="31"/>
      <c r="O197" s="31"/>
      <c r="P197" s="31"/>
      <c r="Q197" s="31"/>
      <c r="R197" s="31"/>
      <c r="S197" s="32"/>
      <c r="T197" s="33" t="str">
        <f aca="false">IF(E197="","",E197/StepGoal)</f>
        <v/>
      </c>
      <c r="U197" s="33" t="str">
        <f aca="false">IF(F197="","",F197/SleepGoal)</f>
        <v/>
      </c>
      <c r="V197" s="33" t="str">
        <f aca="false">IF(I197="","",I197/WaterGoal)</f>
        <v/>
      </c>
      <c r="W197" s="33" t="str">
        <f aca="false">IF(COUNT(E197,F197,I197)=0,"",(IF(N(T197)&gt;=1,1,0)+IF(N(U197)&gt;=1,1,0)+IF(N(V197)&gt;=1,1,0))/3)</f>
        <v/>
      </c>
      <c r="X197" s="27" t="n">
        <f aca="false">IF(AND(L197&lt;&gt;"",L197&lt;&gt;"Rest Day"),1,0)</f>
        <v>0</v>
      </c>
      <c r="Y197" s="34" t="n">
        <f aca="false">IF(X197=1,Y196+1,0)</f>
        <v>0</v>
      </c>
      <c r="Z197" s="34" t="n">
        <f aca="false">IF(N(T197)&gt;=1,Z196+1,0)</f>
        <v>0</v>
      </c>
      <c r="AA197" s="34" t="n">
        <f aca="false">IF(N(U197)&gt;=1,AA196+1,0)</f>
        <v>0</v>
      </c>
      <c r="AB197" s="34" t="n">
        <f aca="false">IF(N(V197)&gt;=1,AB196+1,0)</f>
        <v>0</v>
      </c>
      <c r="AC197" s="34" t="str">
        <f aca="false">IF(COUNT(E197,F197,I197,J197)=0,"",ROUND((MIN(IFERROR(E197/StepGoal,0),1)*100)*0.2+(MIN(IFERROR(F197/SleepGoal,0),1)*100)*0.2+(IF(L197="",0,IF(L197="Rest Day",100,MIN(IFERROR(M197/60,0),1)*100)))*0.25+(IFERROR(INDEX('Recovery Tracker'!$E$5:$E$369,MATCH(A197,'Recovery Tracker'!$A$5:$A$369,0))+0,70))*0.15+(MIN(IFERROR(I197/WaterGoal,0),1)*100)*0.1+(IF(J197="",0,MAX(0,100-MIN(ABS(J197-CalorieGoal)/CalorieGoal,1)*100)))*0.1,0))</f>
        <v/>
      </c>
    </row>
    <row r="198" customFormat="false" ht="15" hidden="false" customHeight="false" outlineLevel="0" collapsed="false">
      <c r="A198" s="35" t="n">
        <f aca="false">A197+1</f>
        <v>46216</v>
      </c>
      <c r="B198" s="36" t="str">
        <f aca="false">TEXT(A198,"ddd")</f>
        <v>Mon</v>
      </c>
      <c r="C198" s="36" t="n">
        <f aca="false">INT((A198-StartDate)/7)+1</f>
        <v>28</v>
      </c>
      <c r="D198" s="36" t="str">
        <f aca="false">TEXT(A198,"mmm")</f>
        <v>Jul</v>
      </c>
      <c r="E198" s="28"/>
      <c r="F198" s="29"/>
      <c r="G198" s="29"/>
      <c r="H198" s="30"/>
      <c r="I198" s="29"/>
      <c r="J198" s="28"/>
      <c r="K198" s="28"/>
      <c r="L198" s="31"/>
      <c r="M198" s="28"/>
      <c r="N198" s="31"/>
      <c r="O198" s="31"/>
      <c r="P198" s="31"/>
      <c r="Q198" s="31"/>
      <c r="R198" s="31"/>
      <c r="S198" s="32"/>
      <c r="T198" s="37" t="str">
        <f aca="false">IF(E198="","",E198/StepGoal)</f>
        <v/>
      </c>
      <c r="U198" s="37" t="str">
        <f aca="false">IF(F198="","",F198/SleepGoal)</f>
        <v/>
      </c>
      <c r="V198" s="37" t="str">
        <f aca="false">IF(I198="","",I198/WaterGoal)</f>
        <v/>
      </c>
      <c r="W198" s="37" t="str">
        <f aca="false">IF(COUNT(E198,F198,I198)=0,"",(IF(N(T198)&gt;=1,1,0)+IF(N(U198)&gt;=1,1,0)+IF(N(V198)&gt;=1,1,0))/3)</f>
        <v/>
      </c>
      <c r="X198" s="36" t="n">
        <f aca="false">IF(AND(L198&lt;&gt;"",L198&lt;&gt;"Rest Day"),1,0)</f>
        <v>0</v>
      </c>
      <c r="Y198" s="38" t="n">
        <f aca="false">IF(X198=1,Y197+1,0)</f>
        <v>0</v>
      </c>
      <c r="Z198" s="38" t="n">
        <f aca="false">IF(N(T198)&gt;=1,Z197+1,0)</f>
        <v>0</v>
      </c>
      <c r="AA198" s="38" t="n">
        <f aca="false">IF(N(U198)&gt;=1,AA197+1,0)</f>
        <v>0</v>
      </c>
      <c r="AB198" s="38" t="n">
        <f aca="false">IF(N(V198)&gt;=1,AB197+1,0)</f>
        <v>0</v>
      </c>
      <c r="AC198" s="38" t="str">
        <f aca="false">IF(COUNT(E198,F198,I198,J198)=0,"",ROUND((MIN(IFERROR(E198/StepGoal,0),1)*100)*0.2+(MIN(IFERROR(F198/SleepGoal,0),1)*100)*0.2+(IF(L198="",0,IF(L198="Rest Day",100,MIN(IFERROR(M198/60,0),1)*100)))*0.25+(IFERROR(INDEX('Recovery Tracker'!$E$5:$E$369,MATCH(A198,'Recovery Tracker'!$A$5:$A$369,0))+0,70))*0.15+(MIN(IFERROR(I198/WaterGoal,0),1)*100)*0.1+(IF(J198="",0,MAX(0,100-MIN(ABS(J198-CalorieGoal)/CalorieGoal,1)*100)))*0.1,0))</f>
        <v/>
      </c>
    </row>
    <row r="199" customFormat="false" ht="15" hidden="false" customHeight="false" outlineLevel="0" collapsed="false">
      <c r="A199" s="26" t="n">
        <f aca="false">A198+1</f>
        <v>46217</v>
      </c>
      <c r="B199" s="27" t="str">
        <f aca="false">TEXT(A199,"ddd")</f>
        <v>Tue</v>
      </c>
      <c r="C199" s="27" t="n">
        <f aca="false">INT((A199-StartDate)/7)+1</f>
        <v>28</v>
      </c>
      <c r="D199" s="27" t="str">
        <f aca="false">TEXT(A199,"mmm")</f>
        <v>Jul</v>
      </c>
      <c r="E199" s="28"/>
      <c r="F199" s="29"/>
      <c r="G199" s="29"/>
      <c r="H199" s="30"/>
      <c r="I199" s="29"/>
      <c r="J199" s="28"/>
      <c r="K199" s="28"/>
      <c r="L199" s="31"/>
      <c r="M199" s="28"/>
      <c r="N199" s="31"/>
      <c r="O199" s="31"/>
      <c r="P199" s="31"/>
      <c r="Q199" s="31"/>
      <c r="R199" s="31"/>
      <c r="S199" s="32"/>
      <c r="T199" s="33" t="str">
        <f aca="false">IF(E199="","",E199/StepGoal)</f>
        <v/>
      </c>
      <c r="U199" s="33" t="str">
        <f aca="false">IF(F199="","",F199/SleepGoal)</f>
        <v/>
      </c>
      <c r="V199" s="33" t="str">
        <f aca="false">IF(I199="","",I199/WaterGoal)</f>
        <v/>
      </c>
      <c r="W199" s="33" t="str">
        <f aca="false">IF(COUNT(E199,F199,I199)=0,"",(IF(N(T199)&gt;=1,1,0)+IF(N(U199)&gt;=1,1,0)+IF(N(V199)&gt;=1,1,0))/3)</f>
        <v/>
      </c>
      <c r="X199" s="27" t="n">
        <f aca="false">IF(AND(L199&lt;&gt;"",L199&lt;&gt;"Rest Day"),1,0)</f>
        <v>0</v>
      </c>
      <c r="Y199" s="34" t="n">
        <f aca="false">IF(X199=1,Y198+1,0)</f>
        <v>0</v>
      </c>
      <c r="Z199" s="34" t="n">
        <f aca="false">IF(N(T199)&gt;=1,Z198+1,0)</f>
        <v>0</v>
      </c>
      <c r="AA199" s="34" t="n">
        <f aca="false">IF(N(U199)&gt;=1,AA198+1,0)</f>
        <v>0</v>
      </c>
      <c r="AB199" s="34" t="n">
        <f aca="false">IF(N(V199)&gt;=1,AB198+1,0)</f>
        <v>0</v>
      </c>
      <c r="AC199" s="34" t="str">
        <f aca="false">IF(COUNT(E199,F199,I199,J199)=0,"",ROUND((MIN(IFERROR(E199/StepGoal,0),1)*100)*0.2+(MIN(IFERROR(F199/SleepGoal,0),1)*100)*0.2+(IF(L199="",0,IF(L199="Rest Day",100,MIN(IFERROR(M199/60,0),1)*100)))*0.25+(IFERROR(INDEX('Recovery Tracker'!$E$5:$E$369,MATCH(A199,'Recovery Tracker'!$A$5:$A$369,0))+0,70))*0.15+(MIN(IFERROR(I199/WaterGoal,0),1)*100)*0.1+(IF(J199="",0,MAX(0,100-MIN(ABS(J199-CalorieGoal)/CalorieGoal,1)*100)))*0.1,0))</f>
        <v/>
      </c>
    </row>
    <row r="200" customFormat="false" ht="15" hidden="false" customHeight="false" outlineLevel="0" collapsed="false">
      <c r="A200" s="35" t="n">
        <f aca="false">A199+1</f>
        <v>46218</v>
      </c>
      <c r="B200" s="36" t="str">
        <f aca="false">TEXT(A200,"ddd")</f>
        <v>Wed</v>
      </c>
      <c r="C200" s="36" t="n">
        <f aca="false">INT((A200-StartDate)/7)+1</f>
        <v>28</v>
      </c>
      <c r="D200" s="36" t="str">
        <f aca="false">TEXT(A200,"mmm")</f>
        <v>Jul</v>
      </c>
      <c r="E200" s="28"/>
      <c r="F200" s="29"/>
      <c r="G200" s="29"/>
      <c r="H200" s="30"/>
      <c r="I200" s="29"/>
      <c r="J200" s="28"/>
      <c r="K200" s="28"/>
      <c r="L200" s="31"/>
      <c r="M200" s="28"/>
      <c r="N200" s="31"/>
      <c r="O200" s="31"/>
      <c r="P200" s="31"/>
      <c r="Q200" s="31"/>
      <c r="R200" s="31"/>
      <c r="S200" s="32"/>
      <c r="T200" s="37" t="str">
        <f aca="false">IF(E200="","",E200/StepGoal)</f>
        <v/>
      </c>
      <c r="U200" s="37" t="str">
        <f aca="false">IF(F200="","",F200/SleepGoal)</f>
        <v/>
      </c>
      <c r="V200" s="37" t="str">
        <f aca="false">IF(I200="","",I200/WaterGoal)</f>
        <v/>
      </c>
      <c r="W200" s="37" t="str">
        <f aca="false">IF(COUNT(E200,F200,I200)=0,"",(IF(N(T200)&gt;=1,1,0)+IF(N(U200)&gt;=1,1,0)+IF(N(V200)&gt;=1,1,0))/3)</f>
        <v/>
      </c>
      <c r="X200" s="36" t="n">
        <f aca="false">IF(AND(L200&lt;&gt;"",L200&lt;&gt;"Rest Day"),1,0)</f>
        <v>0</v>
      </c>
      <c r="Y200" s="38" t="n">
        <f aca="false">IF(X200=1,Y199+1,0)</f>
        <v>0</v>
      </c>
      <c r="Z200" s="38" t="n">
        <f aca="false">IF(N(T200)&gt;=1,Z199+1,0)</f>
        <v>0</v>
      </c>
      <c r="AA200" s="38" t="n">
        <f aca="false">IF(N(U200)&gt;=1,AA199+1,0)</f>
        <v>0</v>
      </c>
      <c r="AB200" s="38" t="n">
        <f aca="false">IF(N(V200)&gt;=1,AB199+1,0)</f>
        <v>0</v>
      </c>
      <c r="AC200" s="38" t="str">
        <f aca="false">IF(COUNT(E200,F200,I200,J200)=0,"",ROUND((MIN(IFERROR(E200/StepGoal,0),1)*100)*0.2+(MIN(IFERROR(F200/SleepGoal,0),1)*100)*0.2+(IF(L200="",0,IF(L200="Rest Day",100,MIN(IFERROR(M200/60,0),1)*100)))*0.25+(IFERROR(INDEX('Recovery Tracker'!$E$5:$E$369,MATCH(A200,'Recovery Tracker'!$A$5:$A$369,0))+0,70))*0.15+(MIN(IFERROR(I200/WaterGoal,0),1)*100)*0.1+(IF(J200="",0,MAX(0,100-MIN(ABS(J200-CalorieGoal)/CalorieGoal,1)*100)))*0.1,0))</f>
        <v/>
      </c>
    </row>
    <row r="201" customFormat="false" ht="15" hidden="false" customHeight="false" outlineLevel="0" collapsed="false">
      <c r="A201" s="26" t="n">
        <f aca="false">A200+1</f>
        <v>46219</v>
      </c>
      <c r="B201" s="27" t="str">
        <f aca="false">TEXT(A201,"ddd")</f>
        <v>Thu</v>
      </c>
      <c r="C201" s="27" t="n">
        <f aca="false">INT((A201-StartDate)/7)+1</f>
        <v>29</v>
      </c>
      <c r="D201" s="27" t="str">
        <f aca="false">TEXT(A201,"mmm")</f>
        <v>Jul</v>
      </c>
      <c r="E201" s="28"/>
      <c r="F201" s="29"/>
      <c r="G201" s="29"/>
      <c r="H201" s="30"/>
      <c r="I201" s="29"/>
      <c r="J201" s="28"/>
      <c r="K201" s="28"/>
      <c r="L201" s="31"/>
      <c r="M201" s="28"/>
      <c r="N201" s="31"/>
      <c r="O201" s="31"/>
      <c r="P201" s="31"/>
      <c r="Q201" s="31"/>
      <c r="R201" s="31"/>
      <c r="S201" s="32"/>
      <c r="T201" s="33" t="str">
        <f aca="false">IF(E201="","",E201/StepGoal)</f>
        <v/>
      </c>
      <c r="U201" s="33" t="str">
        <f aca="false">IF(F201="","",F201/SleepGoal)</f>
        <v/>
      </c>
      <c r="V201" s="33" t="str">
        <f aca="false">IF(I201="","",I201/WaterGoal)</f>
        <v/>
      </c>
      <c r="W201" s="33" t="str">
        <f aca="false">IF(COUNT(E201,F201,I201)=0,"",(IF(N(T201)&gt;=1,1,0)+IF(N(U201)&gt;=1,1,0)+IF(N(V201)&gt;=1,1,0))/3)</f>
        <v/>
      </c>
      <c r="X201" s="27" t="n">
        <f aca="false">IF(AND(L201&lt;&gt;"",L201&lt;&gt;"Rest Day"),1,0)</f>
        <v>0</v>
      </c>
      <c r="Y201" s="34" t="n">
        <f aca="false">IF(X201=1,Y200+1,0)</f>
        <v>0</v>
      </c>
      <c r="Z201" s="34" t="n">
        <f aca="false">IF(N(T201)&gt;=1,Z200+1,0)</f>
        <v>0</v>
      </c>
      <c r="AA201" s="34" t="n">
        <f aca="false">IF(N(U201)&gt;=1,AA200+1,0)</f>
        <v>0</v>
      </c>
      <c r="AB201" s="34" t="n">
        <f aca="false">IF(N(V201)&gt;=1,AB200+1,0)</f>
        <v>0</v>
      </c>
      <c r="AC201" s="34" t="str">
        <f aca="false">IF(COUNT(E201,F201,I201,J201)=0,"",ROUND((MIN(IFERROR(E201/StepGoal,0),1)*100)*0.2+(MIN(IFERROR(F201/SleepGoal,0),1)*100)*0.2+(IF(L201="",0,IF(L201="Rest Day",100,MIN(IFERROR(M201/60,0),1)*100)))*0.25+(IFERROR(INDEX('Recovery Tracker'!$E$5:$E$369,MATCH(A201,'Recovery Tracker'!$A$5:$A$369,0))+0,70))*0.15+(MIN(IFERROR(I201/WaterGoal,0),1)*100)*0.1+(IF(J201="",0,MAX(0,100-MIN(ABS(J201-CalorieGoal)/CalorieGoal,1)*100)))*0.1,0))</f>
        <v/>
      </c>
    </row>
    <row r="202" customFormat="false" ht="15" hidden="false" customHeight="false" outlineLevel="0" collapsed="false">
      <c r="A202" s="35" t="n">
        <f aca="false">A201+1</f>
        <v>46220</v>
      </c>
      <c r="B202" s="36" t="str">
        <f aca="false">TEXT(A202,"ddd")</f>
        <v>Fri</v>
      </c>
      <c r="C202" s="36" t="n">
        <f aca="false">INT((A202-StartDate)/7)+1</f>
        <v>29</v>
      </c>
      <c r="D202" s="36" t="str">
        <f aca="false">TEXT(A202,"mmm")</f>
        <v>Jul</v>
      </c>
      <c r="E202" s="28"/>
      <c r="F202" s="29"/>
      <c r="G202" s="29"/>
      <c r="H202" s="30"/>
      <c r="I202" s="29"/>
      <c r="J202" s="28"/>
      <c r="K202" s="28"/>
      <c r="L202" s="31"/>
      <c r="M202" s="28"/>
      <c r="N202" s="31"/>
      <c r="O202" s="31"/>
      <c r="P202" s="31"/>
      <c r="Q202" s="31"/>
      <c r="R202" s="31"/>
      <c r="S202" s="32"/>
      <c r="T202" s="37" t="str">
        <f aca="false">IF(E202="","",E202/StepGoal)</f>
        <v/>
      </c>
      <c r="U202" s="37" t="str">
        <f aca="false">IF(F202="","",F202/SleepGoal)</f>
        <v/>
      </c>
      <c r="V202" s="37" t="str">
        <f aca="false">IF(I202="","",I202/WaterGoal)</f>
        <v/>
      </c>
      <c r="W202" s="37" t="str">
        <f aca="false">IF(COUNT(E202,F202,I202)=0,"",(IF(N(T202)&gt;=1,1,0)+IF(N(U202)&gt;=1,1,0)+IF(N(V202)&gt;=1,1,0))/3)</f>
        <v/>
      </c>
      <c r="X202" s="36" t="n">
        <f aca="false">IF(AND(L202&lt;&gt;"",L202&lt;&gt;"Rest Day"),1,0)</f>
        <v>0</v>
      </c>
      <c r="Y202" s="38" t="n">
        <f aca="false">IF(X202=1,Y201+1,0)</f>
        <v>0</v>
      </c>
      <c r="Z202" s="38" t="n">
        <f aca="false">IF(N(T202)&gt;=1,Z201+1,0)</f>
        <v>0</v>
      </c>
      <c r="AA202" s="38" t="n">
        <f aca="false">IF(N(U202)&gt;=1,AA201+1,0)</f>
        <v>0</v>
      </c>
      <c r="AB202" s="38" t="n">
        <f aca="false">IF(N(V202)&gt;=1,AB201+1,0)</f>
        <v>0</v>
      </c>
      <c r="AC202" s="38" t="str">
        <f aca="false">IF(COUNT(E202,F202,I202,J202)=0,"",ROUND((MIN(IFERROR(E202/StepGoal,0),1)*100)*0.2+(MIN(IFERROR(F202/SleepGoal,0),1)*100)*0.2+(IF(L202="",0,IF(L202="Rest Day",100,MIN(IFERROR(M202/60,0),1)*100)))*0.25+(IFERROR(INDEX('Recovery Tracker'!$E$5:$E$369,MATCH(A202,'Recovery Tracker'!$A$5:$A$369,0))+0,70))*0.15+(MIN(IFERROR(I202/WaterGoal,0),1)*100)*0.1+(IF(J202="",0,MAX(0,100-MIN(ABS(J202-CalorieGoal)/CalorieGoal,1)*100)))*0.1,0))</f>
        <v/>
      </c>
    </row>
    <row r="203" customFormat="false" ht="15" hidden="false" customHeight="false" outlineLevel="0" collapsed="false">
      <c r="A203" s="26" t="n">
        <f aca="false">A202+1</f>
        <v>46221</v>
      </c>
      <c r="B203" s="27" t="str">
        <f aca="false">TEXT(A203,"ddd")</f>
        <v>Sat</v>
      </c>
      <c r="C203" s="27" t="n">
        <f aca="false">INT((A203-StartDate)/7)+1</f>
        <v>29</v>
      </c>
      <c r="D203" s="27" t="str">
        <f aca="false">TEXT(A203,"mmm")</f>
        <v>Jul</v>
      </c>
      <c r="E203" s="28"/>
      <c r="F203" s="29"/>
      <c r="G203" s="29"/>
      <c r="H203" s="30"/>
      <c r="I203" s="29"/>
      <c r="J203" s="28"/>
      <c r="K203" s="28"/>
      <c r="L203" s="31"/>
      <c r="M203" s="28"/>
      <c r="N203" s="31"/>
      <c r="O203" s="31"/>
      <c r="P203" s="31"/>
      <c r="Q203" s="31"/>
      <c r="R203" s="31"/>
      <c r="S203" s="32"/>
      <c r="T203" s="33" t="str">
        <f aca="false">IF(E203="","",E203/StepGoal)</f>
        <v/>
      </c>
      <c r="U203" s="33" t="str">
        <f aca="false">IF(F203="","",F203/SleepGoal)</f>
        <v/>
      </c>
      <c r="V203" s="33" t="str">
        <f aca="false">IF(I203="","",I203/WaterGoal)</f>
        <v/>
      </c>
      <c r="W203" s="33" t="str">
        <f aca="false">IF(COUNT(E203,F203,I203)=0,"",(IF(N(T203)&gt;=1,1,0)+IF(N(U203)&gt;=1,1,0)+IF(N(V203)&gt;=1,1,0))/3)</f>
        <v/>
      </c>
      <c r="X203" s="27" t="n">
        <f aca="false">IF(AND(L203&lt;&gt;"",L203&lt;&gt;"Rest Day"),1,0)</f>
        <v>0</v>
      </c>
      <c r="Y203" s="34" t="n">
        <f aca="false">IF(X203=1,Y202+1,0)</f>
        <v>0</v>
      </c>
      <c r="Z203" s="34" t="n">
        <f aca="false">IF(N(T203)&gt;=1,Z202+1,0)</f>
        <v>0</v>
      </c>
      <c r="AA203" s="34" t="n">
        <f aca="false">IF(N(U203)&gt;=1,AA202+1,0)</f>
        <v>0</v>
      </c>
      <c r="AB203" s="34" t="n">
        <f aca="false">IF(N(V203)&gt;=1,AB202+1,0)</f>
        <v>0</v>
      </c>
      <c r="AC203" s="34" t="str">
        <f aca="false">IF(COUNT(E203,F203,I203,J203)=0,"",ROUND((MIN(IFERROR(E203/StepGoal,0),1)*100)*0.2+(MIN(IFERROR(F203/SleepGoal,0),1)*100)*0.2+(IF(L203="",0,IF(L203="Rest Day",100,MIN(IFERROR(M203/60,0),1)*100)))*0.25+(IFERROR(INDEX('Recovery Tracker'!$E$5:$E$369,MATCH(A203,'Recovery Tracker'!$A$5:$A$369,0))+0,70))*0.15+(MIN(IFERROR(I203/WaterGoal,0),1)*100)*0.1+(IF(J203="",0,MAX(0,100-MIN(ABS(J203-CalorieGoal)/CalorieGoal,1)*100)))*0.1,0))</f>
        <v/>
      </c>
    </row>
    <row r="204" customFormat="false" ht="15" hidden="false" customHeight="false" outlineLevel="0" collapsed="false">
      <c r="A204" s="35" t="n">
        <f aca="false">A203+1</f>
        <v>46222</v>
      </c>
      <c r="B204" s="36" t="str">
        <f aca="false">TEXT(A204,"ddd")</f>
        <v>Sun</v>
      </c>
      <c r="C204" s="36" t="n">
        <f aca="false">INT((A204-StartDate)/7)+1</f>
        <v>29</v>
      </c>
      <c r="D204" s="36" t="str">
        <f aca="false">TEXT(A204,"mmm")</f>
        <v>Jul</v>
      </c>
      <c r="E204" s="28"/>
      <c r="F204" s="29"/>
      <c r="G204" s="29"/>
      <c r="H204" s="30"/>
      <c r="I204" s="29"/>
      <c r="J204" s="28"/>
      <c r="K204" s="28"/>
      <c r="L204" s="31"/>
      <c r="M204" s="28"/>
      <c r="N204" s="31"/>
      <c r="O204" s="31"/>
      <c r="P204" s="31"/>
      <c r="Q204" s="31"/>
      <c r="R204" s="31"/>
      <c r="S204" s="32"/>
      <c r="T204" s="37" t="str">
        <f aca="false">IF(E204="","",E204/StepGoal)</f>
        <v/>
      </c>
      <c r="U204" s="37" t="str">
        <f aca="false">IF(F204="","",F204/SleepGoal)</f>
        <v/>
      </c>
      <c r="V204" s="37" t="str">
        <f aca="false">IF(I204="","",I204/WaterGoal)</f>
        <v/>
      </c>
      <c r="W204" s="37" t="str">
        <f aca="false">IF(COUNT(E204,F204,I204)=0,"",(IF(N(T204)&gt;=1,1,0)+IF(N(U204)&gt;=1,1,0)+IF(N(V204)&gt;=1,1,0))/3)</f>
        <v/>
      </c>
      <c r="X204" s="36" t="n">
        <f aca="false">IF(AND(L204&lt;&gt;"",L204&lt;&gt;"Rest Day"),1,0)</f>
        <v>0</v>
      </c>
      <c r="Y204" s="38" t="n">
        <f aca="false">IF(X204=1,Y203+1,0)</f>
        <v>0</v>
      </c>
      <c r="Z204" s="38" t="n">
        <f aca="false">IF(N(T204)&gt;=1,Z203+1,0)</f>
        <v>0</v>
      </c>
      <c r="AA204" s="38" t="n">
        <f aca="false">IF(N(U204)&gt;=1,AA203+1,0)</f>
        <v>0</v>
      </c>
      <c r="AB204" s="38" t="n">
        <f aca="false">IF(N(V204)&gt;=1,AB203+1,0)</f>
        <v>0</v>
      </c>
      <c r="AC204" s="38" t="str">
        <f aca="false">IF(COUNT(E204,F204,I204,J204)=0,"",ROUND((MIN(IFERROR(E204/StepGoal,0),1)*100)*0.2+(MIN(IFERROR(F204/SleepGoal,0),1)*100)*0.2+(IF(L204="",0,IF(L204="Rest Day",100,MIN(IFERROR(M204/60,0),1)*100)))*0.25+(IFERROR(INDEX('Recovery Tracker'!$E$5:$E$369,MATCH(A204,'Recovery Tracker'!$A$5:$A$369,0))+0,70))*0.15+(MIN(IFERROR(I204/WaterGoal,0),1)*100)*0.1+(IF(J204="",0,MAX(0,100-MIN(ABS(J204-CalorieGoal)/CalorieGoal,1)*100)))*0.1,0))</f>
        <v/>
      </c>
    </row>
    <row r="205" customFormat="false" ht="15" hidden="false" customHeight="false" outlineLevel="0" collapsed="false">
      <c r="A205" s="26" t="n">
        <f aca="false">A204+1</f>
        <v>46223</v>
      </c>
      <c r="B205" s="27" t="str">
        <f aca="false">TEXT(A205,"ddd")</f>
        <v>Mon</v>
      </c>
      <c r="C205" s="27" t="n">
        <f aca="false">INT((A205-StartDate)/7)+1</f>
        <v>29</v>
      </c>
      <c r="D205" s="27" t="str">
        <f aca="false">TEXT(A205,"mmm")</f>
        <v>Jul</v>
      </c>
      <c r="E205" s="28"/>
      <c r="F205" s="29"/>
      <c r="G205" s="29"/>
      <c r="H205" s="30"/>
      <c r="I205" s="29"/>
      <c r="J205" s="28"/>
      <c r="K205" s="28"/>
      <c r="L205" s="31"/>
      <c r="M205" s="28"/>
      <c r="N205" s="31"/>
      <c r="O205" s="31"/>
      <c r="P205" s="31"/>
      <c r="Q205" s="31"/>
      <c r="R205" s="31"/>
      <c r="S205" s="32"/>
      <c r="T205" s="33" t="str">
        <f aca="false">IF(E205="","",E205/StepGoal)</f>
        <v/>
      </c>
      <c r="U205" s="33" t="str">
        <f aca="false">IF(F205="","",F205/SleepGoal)</f>
        <v/>
      </c>
      <c r="V205" s="33" t="str">
        <f aca="false">IF(I205="","",I205/WaterGoal)</f>
        <v/>
      </c>
      <c r="W205" s="33" t="str">
        <f aca="false">IF(COUNT(E205,F205,I205)=0,"",(IF(N(T205)&gt;=1,1,0)+IF(N(U205)&gt;=1,1,0)+IF(N(V205)&gt;=1,1,0))/3)</f>
        <v/>
      </c>
      <c r="X205" s="27" t="n">
        <f aca="false">IF(AND(L205&lt;&gt;"",L205&lt;&gt;"Rest Day"),1,0)</f>
        <v>0</v>
      </c>
      <c r="Y205" s="34" t="n">
        <f aca="false">IF(X205=1,Y204+1,0)</f>
        <v>0</v>
      </c>
      <c r="Z205" s="34" t="n">
        <f aca="false">IF(N(T205)&gt;=1,Z204+1,0)</f>
        <v>0</v>
      </c>
      <c r="AA205" s="34" t="n">
        <f aca="false">IF(N(U205)&gt;=1,AA204+1,0)</f>
        <v>0</v>
      </c>
      <c r="AB205" s="34" t="n">
        <f aca="false">IF(N(V205)&gt;=1,AB204+1,0)</f>
        <v>0</v>
      </c>
      <c r="AC205" s="34" t="str">
        <f aca="false">IF(COUNT(E205,F205,I205,J205)=0,"",ROUND((MIN(IFERROR(E205/StepGoal,0),1)*100)*0.2+(MIN(IFERROR(F205/SleepGoal,0),1)*100)*0.2+(IF(L205="",0,IF(L205="Rest Day",100,MIN(IFERROR(M205/60,0),1)*100)))*0.25+(IFERROR(INDEX('Recovery Tracker'!$E$5:$E$369,MATCH(A205,'Recovery Tracker'!$A$5:$A$369,0))+0,70))*0.15+(MIN(IFERROR(I205/WaterGoal,0),1)*100)*0.1+(IF(J205="",0,MAX(0,100-MIN(ABS(J205-CalorieGoal)/CalorieGoal,1)*100)))*0.1,0))</f>
        <v/>
      </c>
    </row>
    <row r="206" customFormat="false" ht="15" hidden="false" customHeight="false" outlineLevel="0" collapsed="false">
      <c r="A206" s="35" t="n">
        <f aca="false">A205+1</f>
        <v>46224</v>
      </c>
      <c r="B206" s="36" t="str">
        <f aca="false">TEXT(A206,"ddd")</f>
        <v>Tue</v>
      </c>
      <c r="C206" s="36" t="n">
        <f aca="false">INT((A206-StartDate)/7)+1</f>
        <v>29</v>
      </c>
      <c r="D206" s="36" t="str">
        <f aca="false">TEXT(A206,"mmm")</f>
        <v>Jul</v>
      </c>
      <c r="E206" s="28"/>
      <c r="F206" s="29"/>
      <c r="G206" s="29"/>
      <c r="H206" s="30"/>
      <c r="I206" s="29"/>
      <c r="J206" s="28"/>
      <c r="K206" s="28"/>
      <c r="L206" s="31"/>
      <c r="M206" s="28"/>
      <c r="N206" s="31"/>
      <c r="O206" s="31"/>
      <c r="P206" s="31"/>
      <c r="Q206" s="31"/>
      <c r="R206" s="31"/>
      <c r="S206" s="32"/>
      <c r="T206" s="37" t="str">
        <f aca="false">IF(E206="","",E206/StepGoal)</f>
        <v/>
      </c>
      <c r="U206" s="37" t="str">
        <f aca="false">IF(F206="","",F206/SleepGoal)</f>
        <v/>
      </c>
      <c r="V206" s="37" t="str">
        <f aca="false">IF(I206="","",I206/WaterGoal)</f>
        <v/>
      </c>
      <c r="W206" s="37" t="str">
        <f aca="false">IF(COUNT(E206,F206,I206)=0,"",(IF(N(T206)&gt;=1,1,0)+IF(N(U206)&gt;=1,1,0)+IF(N(V206)&gt;=1,1,0))/3)</f>
        <v/>
      </c>
      <c r="X206" s="36" t="n">
        <f aca="false">IF(AND(L206&lt;&gt;"",L206&lt;&gt;"Rest Day"),1,0)</f>
        <v>0</v>
      </c>
      <c r="Y206" s="38" t="n">
        <f aca="false">IF(X206=1,Y205+1,0)</f>
        <v>0</v>
      </c>
      <c r="Z206" s="38" t="n">
        <f aca="false">IF(N(T206)&gt;=1,Z205+1,0)</f>
        <v>0</v>
      </c>
      <c r="AA206" s="38" t="n">
        <f aca="false">IF(N(U206)&gt;=1,AA205+1,0)</f>
        <v>0</v>
      </c>
      <c r="AB206" s="38" t="n">
        <f aca="false">IF(N(V206)&gt;=1,AB205+1,0)</f>
        <v>0</v>
      </c>
      <c r="AC206" s="38" t="str">
        <f aca="false">IF(COUNT(E206,F206,I206,J206)=0,"",ROUND((MIN(IFERROR(E206/StepGoal,0),1)*100)*0.2+(MIN(IFERROR(F206/SleepGoal,0),1)*100)*0.2+(IF(L206="",0,IF(L206="Rest Day",100,MIN(IFERROR(M206/60,0),1)*100)))*0.25+(IFERROR(INDEX('Recovery Tracker'!$E$5:$E$369,MATCH(A206,'Recovery Tracker'!$A$5:$A$369,0))+0,70))*0.15+(MIN(IFERROR(I206/WaterGoal,0),1)*100)*0.1+(IF(J206="",0,MAX(0,100-MIN(ABS(J206-CalorieGoal)/CalorieGoal,1)*100)))*0.1,0))</f>
        <v/>
      </c>
    </row>
    <row r="207" customFormat="false" ht="15" hidden="false" customHeight="false" outlineLevel="0" collapsed="false">
      <c r="A207" s="26" t="n">
        <f aca="false">A206+1</f>
        <v>46225</v>
      </c>
      <c r="B207" s="27" t="str">
        <f aca="false">TEXT(A207,"ddd")</f>
        <v>Wed</v>
      </c>
      <c r="C207" s="27" t="n">
        <f aca="false">INT((A207-StartDate)/7)+1</f>
        <v>29</v>
      </c>
      <c r="D207" s="27" t="str">
        <f aca="false">TEXT(A207,"mmm")</f>
        <v>Jul</v>
      </c>
      <c r="E207" s="28"/>
      <c r="F207" s="29"/>
      <c r="G207" s="29"/>
      <c r="H207" s="30"/>
      <c r="I207" s="29"/>
      <c r="J207" s="28"/>
      <c r="K207" s="28"/>
      <c r="L207" s="31"/>
      <c r="M207" s="28"/>
      <c r="N207" s="31"/>
      <c r="O207" s="31"/>
      <c r="P207" s="31"/>
      <c r="Q207" s="31"/>
      <c r="R207" s="31"/>
      <c r="S207" s="32"/>
      <c r="T207" s="33" t="str">
        <f aca="false">IF(E207="","",E207/StepGoal)</f>
        <v/>
      </c>
      <c r="U207" s="33" t="str">
        <f aca="false">IF(F207="","",F207/SleepGoal)</f>
        <v/>
      </c>
      <c r="V207" s="33" t="str">
        <f aca="false">IF(I207="","",I207/WaterGoal)</f>
        <v/>
      </c>
      <c r="W207" s="33" t="str">
        <f aca="false">IF(COUNT(E207,F207,I207)=0,"",(IF(N(T207)&gt;=1,1,0)+IF(N(U207)&gt;=1,1,0)+IF(N(V207)&gt;=1,1,0))/3)</f>
        <v/>
      </c>
      <c r="X207" s="27" t="n">
        <f aca="false">IF(AND(L207&lt;&gt;"",L207&lt;&gt;"Rest Day"),1,0)</f>
        <v>0</v>
      </c>
      <c r="Y207" s="34" t="n">
        <f aca="false">IF(X207=1,Y206+1,0)</f>
        <v>0</v>
      </c>
      <c r="Z207" s="34" t="n">
        <f aca="false">IF(N(T207)&gt;=1,Z206+1,0)</f>
        <v>0</v>
      </c>
      <c r="AA207" s="34" t="n">
        <f aca="false">IF(N(U207)&gt;=1,AA206+1,0)</f>
        <v>0</v>
      </c>
      <c r="AB207" s="34" t="n">
        <f aca="false">IF(N(V207)&gt;=1,AB206+1,0)</f>
        <v>0</v>
      </c>
      <c r="AC207" s="34" t="str">
        <f aca="false">IF(COUNT(E207,F207,I207,J207)=0,"",ROUND((MIN(IFERROR(E207/StepGoal,0),1)*100)*0.2+(MIN(IFERROR(F207/SleepGoal,0),1)*100)*0.2+(IF(L207="",0,IF(L207="Rest Day",100,MIN(IFERROR(M207/60,0),1)*100)))*0.25+(IFERROR(INDEX('Recovery Tracker'!$E$5:$E$369,MATCH(A207,'Recovery Tracker'!$A$5:$A$369,0))+0,70))*0.15+(MIN(IFERROR(I207/WaterGoal,0),1)*100)*0.1+(IF(J207="",0,MAX(0,100-MIN(ABS(J207-CalorieGoal)/CalorieGoal,1)*100)))*0.1,0))</f>
        <v/>
      </c>
    </row>
    <row r="208" customFormat="false" ht="15" hidden="false" customHeight="false" outlineLevel="0" collapsed="false">
      <c r="A208" s="35" t="n">
        <f aca="false">A207+1</f>
        <v>46226</v>
      </c>
      <c r="B208" s="36" t="str">
        <f aca="false">TEXT(A208,"ddd")</f>
        <v>Thu</v>
      </c>
      <c r="C208" s="36" t="n">
        <f aca="false">INT((A208-StartDate)/7)+1</f>
        <v>30</v>
      </c>
      <c r="D208" s="36" t="str">
        <f aca="false">TEXT(A208,"mmm")</f>
        <v>Jul</v>
      </c>
      <c r="E208" s="28"/>
      <c r="F208" s="29"/>
      <c r="G208" s="29"/>
      <c r="H208" s="30"/>
      <c r="I208" s="29"/>
      <c r="J208" s="28"/>
      <c r="K208" s="28"/>
      <c r="L208" s="31"/>
      <c r="M208" s="28"/>
      <c r="N208" s="31"/>
      <c r="O208" s="31"/>
      <c r="P208" s="31"/>
      <c r="Q208" s="31"/>
      <c r="R208" s="31"/>
      <c r="S208" s="32"/>
      <c r="T208" s="37" t="str">
        <f aca="false">IF(E208="","",E208/StepGoal)</f>
        <v/>
      </c>
      <c r="U208" s="37" t="str">
        <f aca="false">IF(F208="","",F208/SleepGoal)</f>
        <v/>
      </c>
      <c r="V208" s="37" t="str">
        <f aca="false">IF(I208="","",I208/WaterGoal)</f>
        <v/>
      </c>
      <c r="W208" s="37" t="str">
        <f aca="false">IF(COUNT(E208,F208,I208)=0,"",(IF(N(T208)&gt;=1,1,0)+IF(N(U208)&gt;=1,1,0)+IF(N(V208)&gt;=1,1,0))/3)</f>
        <v/>
      </c>
      <c r="X208" s="36" t="n">
        <f aca="false">IF(AND(L208&lt;&gt;"",L208&lt;&gt;"Rest Day"),1,0)</f>
        <v>0</v>
      </c>
      <c r="Y208" s="38" t="n">
        <f aca="false">IF(X208=1,Y207+1,0)</f>
        <v>0</v>
      </c>
      <c r="Z208" s="38" t="n">
        <f aca="false">IF(N(T208)&gt;=1,Z207+1,0)</f>
        <v>0</v>
      </c>
      <c r="AA208" s="38" t="n">
        <f aca="false">IF(N(U208)&gt;=1,AA207+1,0)</f>
        <v>0</v>
      </c>
      <c r="AB208" s="38" t="n">
        <f aca="false">IF(N(V208)&gt;=1,AB207+1,0)</f>
        <v>0</v>
      </c>
      <c r="AC208" s="38" t="str">
        <f aca="false">IF(COUNT(E208,F208,I208,J208)=0,"",ROUND((MIN(IFERROR(E208/StepGoal,0),1)*100)*0.2+(MIN(IFERROR(F208/SleepGoal,0),1)*100)*0.2+(IF(L208="",0,IF(L208="Rest Day",100,MIN(IFERROR(M208/60,0),1)*100)))*0.25+(IFERROR(INDEX('Recovery Tracker'!$E$5:$E$369,MATCH(A208,'Recovery Tracker'!$A$5:$A$369,0))+0,70))*0.15+(MIN(IFERROR(I208/WaterGoal,0),1)*100)*0.1+(IF(J208="",0,MAX(0,100-MIN(ABS(J208-CalorieGoal)/CalorieGoal,1)*100)))*0.1,0))</f>
        <v/>
      </c>
    </row>
    <row r="209" customFormat="false" ht="15" hidden="false" customHeight="false" outlineLevel="0" collapsed="false">
      <c r="A209" s="26" t="n">
        <f aca="false">A208+1</f>
        <v>46227</v>
      </c>
      <c r="B209" s="27" t="str">
        <f aca="false">TEXT(A209,"ddd")</f>
        <v>Fri</v>
      </c>
      <c r="C209" s="27" t="n">
        <f aca="false">INT((A209-StartDate)/7)+1</f>
        <v>30</v>
      </c>
      <c r="D209" s="27" t="str">
        <f aca="false">TEXT(A209,"mmm")</f>
        <v>Jul</v>
      </c>
      <c r="E209" s="28"/>
      <c r="F209" s="29"/>
      <c r="G209" s="29"/>
      <c r="H209" s="30"/>
      <c r="I209" s="29"/>
      <c r="J209" s="28"/>
      <c r="K209" s="28"/>
      <c r="L209" s="31"/>
      <c r="M209" s="28"/>
      <c r="N209" s="31"/>
      <c r="O209" s="31"/>
      <c r="P209" s="31"/>
      <c r="Q209" s="31"/>
      <c r="R209" s="31"/>
      <c r="S209" s="32"/>
      <c r="T209" s="33" t="str">
        <f aca="false">IF(E209="","",E209/StepGoal)</f>
        <v/>
      </c>
      <c r="U209" s="33" t="str">
        <f aca="false">IF(F209="","",F209/SleepGoal)</f>
        <v/>
      </c>
      <c r="V209" s="33" t="str">
        <f aca="false">IF(I209="","",I209/WaterGoal)</f>
        <v/>
      </c>
      <c r="W209" s="33" t="str">
        <f aca="false">IF(COUNT(E209,F209,I209)=0,"",(IF(N(T209)&gt;=1,1,0)+IF(N(U209)&gt;=1,1,0)+IF(N(V209)&gt;=1,1,0))/3)</f>
        <v/>
      </c>
      <c r="X209" s="27" t="n">
        <f aca="false">IF(AND(L209&lt;&gt;"",L209&lt;&gt;"Rest Day"),1,0)</f>
        <v>0</v>
      </c>
      <c r="Y209" s="34" t="n">
        <f aca="false">IF(X209=1,Y208+1,0)</f>
        <v>0</v>
      </c>
      <c r="Z209" s="34" t="n">
        <f aca="false">IF(N(T209)&gt;=1,Z208+1,0)</f>
        <v>0</v>
      </c>
      <c r="AA209" s="34" t="n">
        <f aca="false">IF(N(U209)&gt;=1,AA208+1,0)</f>
        <v>0</v>
      </c>
      <c r="AB209" s="34" t="n">
        <f aca="false">IF(N(V209)&gt;=1,AB208+1,0)</f>
        <v>0</v>
      </c>
      <c r="AC209" s="34" t="str">
        <f aca="false">IF(COUNT(E209,F209,I209,J209)=0,"",ROUND((MIN(IFERROR(E209/StepGoal,0),1)*100)*0.2+(MIN(IFERROR(F209/SleepGoal,0),1)*100)*0.2+(IF(L209="",0,IF(L209="Rest Day",100,MIN(IFERROR(M209/60,0),1)*100)))*0.25+(IFERROR(INDEX('Recovery Tracker'!$E$5:$E$369,MATCH(A209,'Recovery Tracker'!$A$5:$A$369,0))+0,70))*0.15+(MIN(IFERROR(I209/WaterGoal,0),1)*100)*0.1+(IF(J209="",0,MAX(0,100-MIN(ABS(J209-CalorieGoal)/CalorieGoal,1)*100)))*0.1,0))</f>
        <v/>
      </c>
    </row>
    <row r="210" customFormat="false" ht="15" hidden="false" customHeight="false" outlineLevel="0" collapsed="false">
      <c r="A210" s="35" t="n">
        <f aca="false">A209+1</f>
        <v>46228</v>
      </c>
      <c r="B210" s="36" t="str">
        <f aca="false">TEXT(A210,"ddd")</f>
        <v>Sat</v>
      </c>
      <c r="C210" s="36" t="n">
        <f aca="false">INT((A210-StartDate)/7)+1</f>
        <v>30</v>
      </c>
      <c r="D210" s="36" t="str">
        <f aca="false">TEXT(A210,"mmm")</f>
        <v>Jul</v>
      </c>
      <c r="E210" s="28"/>
      <c r="F210" s="29"/>
      <c r="G210" s="29"/>
      <c r="H210" s="30"/>
      <c r="I210" s="29"/>
      <c r="J210" s="28"/>
      <c r="K210" s="28"/>
      <c r="L210" s="31"/>
      <c r="M210" s="28"/>
      <c r="N210" s="31"/>
      <c r="O210" s="31"/>
      <c r="P210" s="31"/>
      <c r="Q210" s="31"/>
      <c r="R210" s="31"/>
      <c r="S210" s="32"/>
      <c r="T210" s="37" t="str">
        <f aca="false">IF(E210="","",E210/StepGoal)</f>
        <v/>
      </c>
      <c r="U210" s="37" t="str">
        <f aca="false">IF(F210="","",F210/SleepGoal)</f>
        <v/>
      </c>
      <c r="V210" s="37" t="str">
        <f aca="false">IF(I210="","",I210/WaterGoal)</f>
        <v/>
      </c>
      <c r="W210" s="37" t="str">
        <f aca="false">IF(COUNT(E210,F210,I210)=0,"",(IF(N(T210)&gt;=1,1,0)+IF(N(U210)&gt;=1,1,0)+IF(N(V210)&gt;=1,1,0))/3)</f>
        <v/>
      </c>
      <c r="X210" s="36" t="n">
        <f aca="false">IF(AND(L210&lt;&gt;"",L210&lt;&gt;"Rest Day"),1,0)</f>
        <v>0</v>
      </c>
      <c r="Y210" s="38" t="n">
        <f aca="false">IF(X210=1,Y209+1,0)</f>
        <v>0</v>
      </c>
      <c r="Z210" s="38" t="n">
        <f aca="false">IF(N(T210)&gt;=1,Z209+1,0)</f>
        <v>0</v>
      </c>
      <c r="AA210" s="38" t="n">
        <f aca="false">IF(N(U210)&gt;=1,AA209+1,0)</f>
        <v>0</v>
      </c>
      <c r="AB210" s="38" t="n">
        <f aca="false">IF(N(V210)&gt;=1,AB209+1,0)</f>
        <v>0</v>
      </c>
      <c r="AC210" s="38" t="str">
        <f aca="false">IF(COUNT(E210,F210,I210,J210)=0,"",ROUND((MIN(IFERROR(E210/StepGoal,0),1)*100)*0.2+(MIN(IFERROR(F210/SleepGoal,0),1)*100)*0.2+(IF(L210="",0,IF(L210="Rest Day",100,MIN(IFERROR(M210/60,0),1)*100)))*0.25+(IFERROR(INDEX('Recovery Tracker'!$E$5:$E$369,MATCH(A210,'Recovery Tracker'!$A$5:$A$369,0))+0,70))*0.15+(MIN(IFERROR(I210/WaterGoal,0),1)*100)*0.1+(IF(J210="",0,MAX(0,100-MIN(ABS(J210-CalorieGoal)/CalorieGoal,1)*100)))*0.1,0))</f>
        <v/>
      </c>
    </row>
    <row r="211" customFormat="false" ht="15" hidden="false" customHeight="false" outlineLevel="0" collapsed="false">
      <c r="A211" s="26" t="n">
        <f aca="false">A210+1</f>
        <v>46229</v>
      </c>
      <c r="B211" s="27" t="str">
        <f aca="false">TEXT(A211,"ddd")</f>
        <v>Sun</v>
      </c>
      <c r="C211" s="27" t="n">
        <f aca="false">INT((A211-StartDate)/7)+1</f>
        <v>30</v>
      </c>
      <c r="D211" s="27" t="str">
        <f aca="false">TEXT(A211,"mmm")</f>
        <v>Jul</v>
      </c>
      <c r="E211" s="28"/>
      <c r="F211" s="29"/>
      <c r="G211" s="29"/>
      <c r="H211" s="30"/>
      <c r="I211" s="29"/>
      <c r="J211" s="28"/>
      <c r="K211" s="28"/>
      <c r="L211" s="31"/>
      <c r="M211" s="28"/>
      <c r="N211" s="31"/>
      <c r="O211" s="31"/>
      <c r="P211" s="31"/>
      <c r="Q211" s="31"/>
      <c r="R211" s="31"/>
      <c r="S211" s="32"/>
      <c r="T211" s="33" t="str">
        <f aca="false">IF(E211="","",E211/StepGoal)</f>
        <v/>
      </c>
      <c r="U211" s="33" t="str">
        <f aca="false">IF(F211="","",F211/SleepGoal)</f>
        <v/>
      </c>
      <c r="V211" s="33" t="str">
        <f aca="false">IF(I211="","",I211/WaterGoal)</f>
        <v/>
      </c>
      <c r="W211" s="33" t="str">
        <f aca="false">IF(COUNT(E211,F211,I211)=0,"",(IF(N(T211)&gt;=1,1,0)+IF(N(U211)&gt;=1,1,0)+IF(N(V211)&gt;=1,1,0))/3)</f>
        <v/>
      </c>
      <c r="X211" s="27" t="n">
        <f aca="false">IF(AND(L211&lt;&gt;"",L211&lt;&gt;"Rest Day"),1,0)</f>
        <v>0</v>
      </c>
      <c r="Y211" s="34" t="n">
        <f aca="false">IF(X211=1,Y210+1,0)</f>
        <v>0</v>
      </c>
      <c r="Z211" s="34" t="n">
        <f aca="false">IF(N(T211)&gt;=1,Z210+1,0)</f>
        <v>0</v>
      </c>
      <c r="AA211" s="34" t="n">
        <f aca="false">IF(N(U211)&gt;=1,AA210+1,0)</f>
        <v>0</v>
      </c>
      <c r="AB211" s="34" t="n">
        <f aca="false">IF(N(V211)&gt;=1,AB210+1,0)</f>
        <v>0</v>
      </c>
      <c r="AC211" s="34" t="str">
        <f aca="false">IF(COUNT(E211,F211,I211,J211)=0,"",ROUND((MIN(IFERROR(E211/StepGoal,0),1)*100)*0.2+(MIN(IFERROR(F211/SleepGoal,0),1)*100)*0.2+(IF(L211="",0,IF(L211="Rest Day",100,MIN(IFERROR(M211/60,0),1)*100)))*0.25+(IFERROR(INDEX('Recovery Tracker'!$E$5:$E$369,MATCH(A211,'Recovery Tracker'!$A$5:$A$369,0))+0,70))*0.15+(MIN(IFERROR(I211/WaterGoal,0),1)*100)*0.1+(IF(J211="",0,MAX(0,100-MIN(ABS(J211-CalorieGoal)/CalorieGoal,1)*100)))*0.1,0))</f>
        <v/>
      </c>
    </row>
    <row r="212" customFormat="false" ht="15" hidden="false" customHeight="false" outlineLevel="0" collapsed="false">
      <c r="A212" s="35" t="n">
        <f aca="false">A211+1</f>
        <v>46230</v>
      </c>
      <c r="B212" s="36" t="str">
        <f aca="false">TEXT(A212,"ddd")</f>
        <v>Mon</v>
      </c>
      <c r="C212" s="36" t="n">
        <f aca="false">INT((A212-StartDate)/7)+1</f>
        <v>30</v>
      </c>
      <c r="D212" s="36" t="str">
        <f aca="false">TEXT(A212,"mmm")</f>
        <v>Jul</v>
      </c>
      <c r="E212" s="28"/>
      <c r="F212" s="29"/>
      <c r="G212" s="29"/>
      <c r="H212" s="30"/>
      <c r="I212" s="29"/>
      <c r="J212" s="28"/>
      <c r="K212" s="28"/>
      <c r="L212" s="31"/>
      <c r="M212" s="28"/>
      <c r="N212" s="31"/>
      <c r="O212" s="31"/>
      <c r="P212" s="31"/>
      <c r="Q212" s="31"/>
      <c r="R212" s="31"/>
      <c r="S212" s="32"/>
      <c r="T212" s="37" t="str">
        <f aca="false">IF(E212="","",E212/StepGoal)</f>
        <v/>
      </c>
      <c r="U212" s="37" t="str">
        <f aca="false">IF(F212="","",F212/SleepGoal)</f>
        <v/>
      </c>
      <c r="V212" s="37" t="str">
        <f aca="false">IF(I212="","",I212/WaterGoal)</f>
        <v/>
      </c>
      <c r="W212" s="37" t="str">
        <f aca="false">IF(COUNT(E212,F212,I212)=0,"",(IF(N(T212)&gt;=1,1,0)+IF(N(U212)&gt;=1,1,0)+IF(N(V212)&gt;=1,1,0))/3)</f>
        <v/>
      </c>
      <c r="X212" s="36" t="n">
        <f aca="false">IF(AND(L212&lt;&gt;"",L212&lt;&gt;"Rest Day"),1,0)</f>
        <v>0</v>
      </c>
      <c r="Y212" s="38" t="n">
        <f aca="false">IF(X212=1,Y211+1,0)</f>
        <v>0</v>
      </c>
      <c r="Z212" s="38" t="n">
        <f aca="false">IF(N(T212)&gt;=1,Z211+1,0)</f>
        <v>0</v>
      </c>
      <c r="AA212" s="38" t="n">
        <f aca="false">IF(N(U212)&gt;=1,AA211+1,0)</f>
        <v>0</v>
      </c>
      <c r="AB212" s="38" t="n">
        <f aca="false">IF(N(V212)&gt;=1,AB211+1,0)</f>
        <v>0</v>
      </c>
      <c r="AC212" s="38" t="str">
        <f aca="false">IF(COUNT(E212,F212,I212,J212)=0,"",ROUND((MIN(IFERROR(E212/StepGoal,0),1)*100)*0.2+(MIN(IFERROR(F212/SleepGoal,0),1)*100)*0.2+(IF(L212="",0,IF(L212="Rest Day",100,MIN(IFERROR(M212/60,0),1)*100)))*0.25+(IFERROR(INDEX('Recovery Tracker'!$E$5:$E$369,MATCH(A212,'Recovery Tracker'!$A$5:$A$369,0))+0,70))*0.15+(MIN(IFERROR(I212/WaterGoal,0),1)*100)*0.1+(IF(J212="",0,MAX(0,100-MIN(ABS(J212-CalorieGoal)/CalorieGoal,1)*100)))*0.1,0))</f>
        <v/>
      </c>
    </row>
    <row r="213" customFormat="false" ht="15" hidden="false" customHeight="false" outlineLevel="0" collapsed="false">
      <c r="A213" s="26" t="n">
        <f aca="false">A212+1</f>
        <v>46231</v>
      </c>
      <c r="B213" s="27" t="str">
        <f aca="false">TEXT(A213,"ddd")</f>
        <v>Tue</v>
      </c>
      <c r="C213" s="27" t="n">
        <f aca="false">INT((A213-StartDate)/7)+1</f>
        <v>30</v>
      </c>
      <c r="D213" s="27" t="str">
        <f aca="false">TEXT(A213,"mmm")</f>
        <v>Jul</v>
      </c>
      <c r="E213" s="28"/>
      <c r="F213" s="29"/>
      <c r="G213" s="29"/>
      <c r="H213" s="30"/>
      <c r="I213" s="29"/>
      <c r="J213" s="28"/>
      <c r="K213" s="28"/>
      <c r="L213" s="31"/>
      <c r="M213" s="28"/>
      <c r="N213" s="31"/>
      <c r="O213" s="31"/>
      <c r="P213" s="31"/>
      <c r="Q213" s="31"/>
      <c r="R213" s="31"/>
      <c r="S213" s="32"/>
      <c r="T213" s="33" t="str">
        <f aca="false">IF(E213="","",E213/StepGoal)</f>
        <v/>
      </c>
      <c r="U213" s="33" t="str">
        <f aca="false">IF(F213="","",F213/SleepGoal)</f>
        <v/>
      </c>
      <c r="V213" s="33" t="str">
        <f aca="false">IF(I213="","",I213/WaterGoal)</f>
        <v/>
      </c>
      <c r="W213" s="33" t="str">
        <f aca="false">IF(COUNT(E213,F213,I213)=0,"",(IF(N(T213)&gt;=1,1,0)+IF(N(U213)&gt;=1,1,0)+IF(N(V213)&gt;=1,1,0))/3)</f>
        <v/>
      </c>
      <c r="X213" s="27" t="n">
        <f aca="false">IF(AND(L213&lt;&gt;"",L213&lt;&gt;"Rest Day"),1,0)</f>
        <v>0</v>
      </c>
      <c r="Y213" s="34" t="n">
        <f aca="false">IF(X213=1,Y212+1,0)</f>
        <v>0</v>
      </c>
      <c r="Z213" s="34" t="n">
        <f aca="false">IF(N(T213)&gt;=1,Z212+1,0)</f>
        <v>0</v>
      </c>
      <c r="AA213" s="34" t="n">
        <f aca="false">IF(N(U213)&gt;=1,AA212+1,0)</f>
        <v>0</v>
      </c>
      <c r="AB213" s="34" t="n">
        <f aca="false">IF(N(V213)&gt;=1,AB212+1,0)</f>
        <v>0</v>
      </c>
      <c r="AC213" s="34" t="str">
        <f aca="false">IF(COUNT(E213,F213,I213,J213)=0,"",ROUND((MIN(IFERROR(E213/StepGoal,0),1)*100)*0.2+(MIN(IFERROR(F213/SleepGoal,0),1)*100)*0.2+(IF(L213="",0,IF(L213="Rest Day",100,MIN(IFERROR(M213/60,0),1)*100)))*0.25+(IFERROR(INDEX('Recovery Tracker'!$E$5:$E$369,MATCH(A213,'Recovery Tracker'!$A$5:$A$369,0))+0,70))*0.15+(MIN(IFERROR(I213/WaterGoal,0),1)*100)*0.1+(IF(J213="",0,MAX(0,100-MIN(ABS(J213-CalorieGoal)/CalorieGoal,1)*100)))*0.1,0))</f>
        <v/>
      </c>
    </row>
    <row r="214" customFormat="false" ht="15" hidden="false" customHeight="false" outlineLevel="0" collapsed="false">
      <c r="A214" s="35" t="n">
        <f aca="false">A213+1</f>
        <v>46232</v>
      </c>
      <c r="B214" s="36" t="str">
        <f aca="false">TEXT(A214,"ddd")</f>
        <v>Wed</v>
      </c>
      <c r="C214" s="36" t="n">
        <f aca="false">INT((A214-StartDate)/7)+1</f>
        <v>30</v>
      </c>
      <c r="D214" s="36" t="str">
        <f aca="false">TEXT(A214,"mmm")</f>
        <v>Jul</v>
      </c>
      <c r="E214" s="28"/>
      <c r="F214" s="29"/>
      <c r="G214" s="29"/>
      <c r="H214" s="30"/>
      <c r="I214" s="29"/>
      <c r="J214" s="28"/>
      <c r="K214" s="28"/>
      <c r="L214" s="31"/>
      <c r="M214" s="28"/>
      <c r="N214" s="31"/>
      <c r="O214" s="31"/>
      <c r="P214" s="31"/>
      <c r="Q214" s="31"/>
      <c r="R214" s="31"/>
      <c r="S214" s="32"/>
      <c r="T214" s="37" t="str">
        <f aca="false">IF(E214="","",E214/StepGoal)</f>
        <v/>
      </c>
      <c r="U214" s="37" t="str">
        <f aca="false">IF(F214="","",F214/SleepGoal)</f>
        <v/>
      </c>
      <c r="V214" s="37" t="str">
        <f aca="false">IF(I214="","",I214/WaterGoal)</f>
        <v/>
      </c>
      <c r="W214" s="37" t="str">
        <f aca="false">IF(COUNT(E214,F214,I214)=0,"",(IF(N(T214)&gt;=1,1,0)+IF(N(U214)&gt;=1,1,0)+IF(N(V214)&gt;=1,1,0))/3)</f>
        <v/>
      </c>
      <c r="X214" s="36" t="n">
        <f aca="false">IF(AND(L214&lt;&gt;"",L214&lt;&gt;"Rest Day"),1,0)</f>
        <v>0</v>
      </c>
      <c r="Y214" s="38" t="n">
        <f aca="false">IF(X214=1,Y213+1,0)</f>
        <v>0</v>
      </c>
      <c r="Z214" s="38" t="n">
        <f aca="false">IF(N(T214)&gt;=1,Z213+1,0)</f>
        <v>0</v>
      </c>
      <c r="AA214" s="38" t="n">
        <f aca="false">IF(N(U214)&gt;=1,AA213+1,0)</f>
        <v>0</v>
      </c>
      <c r="AB214" s="38" t="n">
        <f aca="false">IF(N(V214)&gt;=1,AB213+1,0)</f>
        <v>0</v>
      </c>
      <c r="AC214" s="38" t="str">
        <f aca="false">IF(COUNT(E214,F214,I214,J214)=0,"",ROUND((MIN(IFERROR(E214/StepGoal,0),1)*100)*0.2+(MIN(IFERROR(F214/SleepGoal,0),1)*100)*0.2+(IF(L214="",0,IF(L214="Rest Day",100,MIN(IFERROR(M214/60,0),1)*100)))*0.25+(IFERROR(INDEX('Recovery Tracker'!$E$5:$E$369,MATCH(A214,'Recovery Tracker'!$A$5:$A$369,0))+0,70))*0.15+(MIN(IFERROR(I214/WaterGoal,0),1)*100)*0.1+(IF(J214="",0,MAX(0,100-MIN(ABS(J214-CalorieGoal)/CalorieGoal,1)*100)))*0.1,0))</f>
        <v/>
      </c>
    </row>
    <row r="215" customFormat="false" ht="15" hidden="false" customHeight="false" outlineLevel="0" collapsed="false">
      <c r="A215" s="26" t="n">
        <f aca="false">A214+1</f>
        <v>46233</v>
      </c>
      <c r="B215" s="27" t="str">
        <f aca="false">TEXT(A215,"ddd")</f>
        <v>Thu</v>
      </c>
      <c r="C215" s="27" t="n">
        <f aca="false">INT((A215-StartDate)/7)+1</f>
        <v>31</v>
      </c>
      <c r="D215" s="27" t="str">
        <f aca="false">TEXT(A215,"mmm")</f>
        <v>Jul</v>
      </c>
      <c r="E215" s="28"/>
      <c r="F215" s="29"/>
      <c r="G215" s="29"/>
      <c r="H215" s="30"/>
      <c r="I215" s="29"/>
      <c r="J215" s="28"/>
      <c r="K215" s="28"/>
      <c r="L215" s="31"/>
      <c r="M215" s="28"/>
      <c r="N215" s="31"/>
      <c r="O215" s="31"/>
      <c r="P215" s="31"/>
      <c r="Q215" s="31"/>
      <c r="R215" s="31"/>
      <c r="S215" s="32"/>
      <c r="T215" s="33" t="str">
        <f aca="false">IF(E215="","",E215/StepGoal)</f>
        <v/>
      </c>
      <c r="U215" s="33" t="str">
        <f aca="false">IF(F215="","",F215/SleepGoal)</f>
        <v/>
      </c>
      <c r="V215" s="33" t="str">
        <f aca="false">IF(I215="","",I215/WaterGoal)</f>
        <v/>
      </c>
      <c r="W215" s="33" t="str">
        <f aca="false">IF(COUNT(E215,F215,I215)=0,"",(IF(N(T215)&gt;=1,1,0)+IF(N(U215)&gt;=1,1,0)+IF(N(V215)&gt;=1,1,0))/3)</f>
        <v/>
      </c>
      <c r="X215" s="27" t="n">
        <f aca="false">IF(AND(L215&lt;&gt;"",L215&lt;&gt;"Rest Day"),1,0)</f>
        <v>0</v>
      </c>
      <c r="Y215" s="34" t="n">
        <f aca="false">IF(X215=1,Y214+1,0)</f>
        <v>0</v>
      </c>
      <c r="Z215" s="34" t="n">
        <f aca="false">IF(N(T215)&gt;=1,Z214+1,0)</f>
        <v>0</v>
      </c>
      <c r="AA215" s="34" t="n">
        <f aca="false">IF(N(U215)&gt;=1,AA214+1,0)</f>
        <v>0</v>
      </c>
      <c r="AB215" s="34" t="n">
        <f aca="false">IF(N(V215)&gt;=1,AB214+1,0)</f>
        <v>0</v>
      </c>
      <c r="AC215" s="34" t="str">
        <f aca="false">IF(COUNT(E215,F215,I215,J215)=0,"",ROUND((MIN(IFERROR(E215/StepGoal,0),1)*100)*0.2+(MIN(IFERROR(F215/SleepGoal,0),1)*100)*0.2+(IF(L215="",0,IF(L215="Rest Day",100,MIN(IFERROR(M215/60,0),1)*100)))*0.25+(IFERROR(INDEX('Recovery Tracker'!$E$5:$E$369,MATCH(A215,'Recovery Tracker'!$A$5:$A$369,0))+0,70))*0.15+(MIN(IFERROR(I215/WaterGoal,0),1)*100)*0.1+(IF(J215="",0,MAX(0,100-MIN(ABS(J215-CalorieGoal)/CalorieGoal,1)*100)))*0.1,0))</f>
        <v/>
      </c>
    </row>
    <row r="216" customFormat="false" ht="15" hidden="false" customHeight="false" outlineLevel="0" collapsed="false">
      <c r="A216" s="35" t="n">
        <f aca="false">A215+1</f>
        <v>46234</v>
      </c>
      <c r="B216" s="36" t="str">
        <f aca="false">TEXT(A216,"ddd")</f>
        <v>Fri</v>
      </c>
      <c r="C216" s="36" t="n">
        <f aca="false">INT((A216-StartDate)/7)+1</f>
        <v>31</v>
      </c>
      <c r="D216" s="36" t="str">
        <f aca="false">TEXT(A216,"mmm")</f>
        <v>Jul</v>
      </c>
      <c r="E216" s="28"/>
      <c r="F216" s="29"/>
      <c r="G216" s="29"/>
      <c r="H216" s="30"/>
      <c r="I216" s="29"/>
      <c r="J216" s="28"/>
      <c r="K216" s="28"/>
      <c r="L216" s="31"/>
      <c r="M216" s="28"/>
      <c r="N216" s="31"/>
      <c r="O216" s="31"/>
      <c r="P216" s="31"/>
      <c r="Q216" s="31"/>
      <c r="R216" s="31"/>
      <c r="S216" s="32"/>
      <c r="T216" s="37" t="str">
        <f aca="false">IF(E216="","",E216/StepGoal)</f>
        <v/>
      </c>
      <c r="U216" s="37" t="str">
        <f aca="false">IF(F216="","",F216/SleepGoal)</f>
        <v/>
      </c>
      <c r="V216" s="37" t="str">
        <f aca="false">IF(I216="","",I216/WaterGoal)</f>
        <v/>
      </c>
      <c r="W216" s="37" t="str">
        <f aca="false">IF(COUNT(E216,F216,I216)=0,"",(IF(N(T216)&gt;=1,1,0)+IF(N(U216)&gt;=1,1,0)+IF(N(V216)&gt;=1,1,0))/3)</f>
        <v/>
      </c>
      <c r="X216" s="36" t="n">
        <f aca="false">IF(AND(L216&lt;&gt;"",L216&lt;&gt;"Rest Day"),1,0)</f>
        <v>0</v>
      </c>
      <c r="Y216" s="38" t="n">
        <f aca="false">IF(X216=1,Y215+1,0)</f>
        <v>0</v>
      </c>
      <c r="Z216" s="38" t="n">
        <f aca="false">IF(N(T216)&gt;=1,Z215+1,0)</f>
        <v>0</v>
      </c>
      <c r="AA216" s="38" t="n">
        <f aca="false">IF(N(U216)&gt;=1,AA215+1,0)</f>
        <v>0</v>
      </c>
      <c r="AB216" s="38" t="n">
        <f aca="false">IF(N(V216)&gt;=1,AB215+1,0)</f>
        <v>0</v>
      </c>
      <c r="AC216" s="38" t="str">
        <f aca="false">IF(COUNT(E216,F216,I216,J216)=0,"",ROUND((MIN(IFERROR(E216/StepGoal,0),1)*100)*0.2+(MIN(IFERROR(F216/SleepGoal,0),1)*100)*0.2+(IF(L216="",0,IF(L216="Rest Day",100,MIN(IFERROR(M216/60,0),1)*100)))*0.25+(IFERROR(INDEX('Recovery Tracker'!$E$5:$E$369,MATCH(A216,'Recovery Tracker'!$A$5:$A$369,0))+0,70))*0.15+(MIN(IFERROR(I216/WaterGoal,0),1)*100)*0.1+(IF(J216="",0,MAX(0,100-MIN(ABS(J216-CalorieGoal)/CalorieGoal,1)*100)))*0.1,0))</f>
        <v/>
      </c>
    </row>
    <row r="217" customFormat="false" ht="15" hidden="false" customHeight="false" outlineLevel="0" collapsed="false">
      <c r="A217" s="26" t="n">
        <f aca="false">A216+1</f>
        <v>46235</v>
      </c>
      <c r="B217" s="27" t="str">
        <f aca="false">TEXT(A217,"ddd")</f>
        <v>Sat</v>
      </c>
      <c r="C217" s="27" t="n">
        <f aca="false">INT((A217-StartDate)/7)+1</f>
        <v>31</v>
      </c>
      <c r="D217" s="27" t="str">
        <f aca="false">TEXT(A217,"mmm")</f>
        <v>Aug</v>
      </c>
      <c r="E217" s="28"/>
      <c r="F217" s="29"/>
      <c r="G217" s="29"/>
      <c r="H217" s="30"/>
      <c r="I217" s="29"/>
      <c r="J217" s="28"/>
      <c r="K217" s="28"/>
      <c r="L217" s="31"/>
      <c r="M217" s="28"/>
      <c r="N217" s="31"/>
      <c r="O217" s="31"/>
      <c r="P217" s="31"/>
      <c r="Q217" s="31"/>
      <c r="R217" s="31"/>
      <c r="S217" s="32"/>
      <c r="T217" s="33" t="str">
        <f aca="false">IF(E217="","",E217/StepGoal)</f>
        <v/>
      </c>
      <c r="U217" s="33" t="str">
        <f aca="false">IF(F217="","",F217/SleepGoal)</f>
        <v/>
      </c>
      <c r="V217" s="33" t="str">
        <f aca="false">IF(I217="","",I217/WaterGoal)</f>
        <v/>
      </c>
      <c r="W217" s="33" t="str">
        <f aca="false">IF(COUNT(E217,F217,I217)=0,"",(IF(N(T217)&gt;=1,1,0)+IF(N(U217)&gt;=1,1,0)+IF(N(V217)&gt;=1,1,0))/3)</f>
        <v/>
      </c>
      <c r="X217" s="27" t="n">
        <f aca="false">IF(AND(L217&lt;&gt;"",L217&lt;&gt;"Rest Day"),1,0)</f>
        <v>0</v>
      </c>
      <c r="Y217" s="34" t="n">
        <f aca="false">IF(X217=1,Y216+1,0)</f>
        <v>0</v>
      </c>
      <c r="Z217" s="34" t="n">
        <f aca="false">IF(N(T217)&gt;=1,Z216+1,0)</f>
        <v>0</v>
      </c>
      <c r="AA217" s="34" t="n">
        <f aca="false">IF(N(U217)&gt;=1,AA216+1,0)</f>
        <v>0</v>
      </c>
      <c r="AB217" s="34" t="n">
        <f aca="false">IF(N(V217)&gt;=1,AB216+1,0)</f>
        <v>0</v>
      </c>
      <c r="AC217" s="34" t="str">
        <f aca="false">IF(COUNT(E217,F217,I217,J217)=0,"",ROUND((MIN(IFERROR(E217/StepGoal,0),1)*100)*0.2+(MIN(IFERROR(F217/SleepGoal,0),1)*100)*0.2+(IF(L217="",0,IF(L217="Rest Day",100,MIN(IFERROR(M217/60,0),1)*100)))*0.25+(IFERROR(INDEX('Recovery Tracker'!$E$5:$E$369,MATCH(A217,'Recovery Tracker'!$A$5:$A$369,0))+0,70))*0.15+(MIN(IFERROR(I217/WaterGoal,0),1)*100)*0.1+(IF(J217="",0,MAX(0,100-MIN(ABS(J217-CalorieGoal)/CalorieGoal,1)*100)))*0.1,0))</f>
        <v/>
      </c>
    </row>
    <row r="218" customFormat="false" ht="15" hidden="false" customHeight="false" outlineLevel="0" collapsed="false">
      <c r="A218" s="35" t="n">
        <f aca="false">A217+1</f>
        <v>46236</v>
      </c>
      <c r="B218" s="36" t="str">
        <f aca="false">TEXT(A218,"ddd")</f>
        <v>Sun</v>
      </c>
      <c r="C218" s="36" t="n">
        <f aca="false">INT((A218-StartDate)/7)+1</f>
        <v>31</v>
      </c>
      <c r="D218" s="36" t="str">
        <f aca="false">TEXT(A218,"mmm")</f>
        <v>Aug</v>
      </c>
      <c r="E218" s="28"/>
      <c r="F218" s="29"/>
      <c r="G218" s="29"/>
      <c r="H218" s="30"/>
      <c r="I218" s="29"/>
      <c r="J218" s="28"/>
      <c r="K218" s="28"/>
      <c r="L218" s="31"/>
      <c r="M218" s="28"/>
      <c r="N218" s="31"/>
      <c r="O218" s="31"/>
      <c r="P218" s="31"/>
      <c r="Q218" s="31"/>
      <c r="R218" s="31"/>
      <c r="S218" s="32"/>
      <c r="T218" s="37" t="str">
        <f aca="false">IF(E218="","",E218/StepGoal)</f>
        <v/>
      </c>
      <c r="U218" s="37" t="str">
        <f aca="false">IF(F218="","",F218/SleepGoal)</f>
        <v/>
      </c>
      <c r="V218" s="37" t="str">
        <f aca="false">IF(I218="","",I218/WaterGoal)</f>
        <v/>
      </c>
      <c r="W218" s="37" t="str">
        <f aca="false">IF(COUNT(E218,F218,I218)=0,"",(IF(N(T218)&gt;=1,1,0)+IF(N(U218)&gt;=1,1,0)+IF(N(V218)&gt;=1,1,0))/3)</f>
        <v/>
      </c>
      <c r="X218" s="36" t="n">
        <f aca="false">IF(AND(L218&lt;&gt;"",L218&lt;&gt;"Rest Day"),1,0)</f>
        <v>0</v>
      </c>
      <c r="Y218" s="38" t="n">
        <f aca="false">IF(X218=1,Y217+1,0)</f>
        <v>0</v>
      </c>
      <c r="Z218" s="38" t="n">
        <f aca="false">IF(N(T218)&gt;=1,Z217+1,0)</f>
        <v>0</v>
      </c>
      <c r="AA218" s="38" t="n">
        <f aca="false">IF(N(U218)&gt;=1,AA217+1,0)</f>
        <v>0</v>
      </c>
      <c r="AB218" s="38" t="n">
        <f aca="false">IF(N(V218)&gt;=1,AB217+1,0)</f>
        <v>0</v>
      </c>
      <c r="AC218" s="38" t="str">
        <f aca="false">IF(COUNT(E218,F218,I218,J218)=0,"",ROUND((MIN(IFERROR(E218/StepGoal,0),1)*100)*0.2+(MIN(IFERROR(F218/SleepGoal,0),1)*100)*0.2+(IF(L218="",0,IF(L218="Rest Day",100,MIN(IFERROR(M218/60,0),1)*100)))*0.25+(IFERROR(INDEX('Recovery Tracker'!$E$5:$E$369,MATCH(A218,'Recovery Tracker'!$A$5:$A$369,0))+0,70))*0.15+(MIN(IFERROR(I218/WaterGoal,0),1)*100)*0.1+(IF(J218="",0,MAX(0,100-MIN(ABS(J218-CalorieGoal)/CalorieGoal,1)*100)))*0.1,0))</f>
        <v/>
      </c>
    </row>
    <row r="219" customFormat="false" ht="15" hidden="false" customHeight="false" outlineLevel="0" collapsed="false">
      <c r="A219" s="26" t="n">
        <f aca="false">A218+1</f>
        <v>46237</v>
      </c>
      <c r="B219" s="27" t="str">
        <f aca="false">TEXT(A219,"ddd")</f>
        <v>Mon</v>
      </c>
      <c r="C219" s="27" t="n">
        <f aca="false">INT((A219-StartDate)/7)+1</f>
        <v>31</v>
      </c>
      <c r="D219" s="27" t="str">
        <f aca="false">TEXT(A219,"mmm")</f>
        <v>Aug</v>
      </c>
      <c r="E219" s="28"/>
      <c r="F219" s="29"/>
      <c r="G219" s="29"/>
      <c r="H219" s="30"/>
      <c r="I219" s="29"/>
      <c r="J219" s="28"/>
      <c r="K219" s="28"/>
      <c r="L219" s="31"/>
      <c r="M219" s="28"/>
      <c r="N219" s="31"/>
      <c r="O219" s="31"/>
      <c r="P219" s="31"/>
      <c r="Q219" s="31"/>
      <c r="R219" s="31"/>
      <c r="S219" s="32"/>
      <c r="T219" s="33" t="str">
        <f aca="false">IF(E219="","",E219/StepGoal)</f>
        <v/>
      </c>
      <c r="U219" s="33" t="str">
        <f aca="false">IF(F219="","",F219/SleepGoal)</f>
        <v/>
      </c>
      <c r="V219" s="33" t="str">
        <f aca="false">IF(I219="","",I219/WaterGoal)</f>
        <v/>
      </c>
      <c r="W219" s="33" t="str">
        <f aca="false">IF(COUNT(E219,F219,I219)=0,"",(IF(N(T219)&gt;=1,1,0)+IF(N(U219)&gt;=1,1,0)+IF(N(V219)&gt;=1,1,0))/3)</f>
        <v/>
      </c>
      <c r="X219" s="27" t="n">
        <f aca="false">IF(AND(L219&lt;&gt;"",L219&lt;&gt;"Rest Day"),1,0)</f>
        <v>0</v>
      </c>
      <c r="Y219" s="34" t="n">
        <f aca="false">IF(X219=1,Y218+1,0)</f>
        <v>0</v>
      </c>
      <c r="Z219" s="34" t="n">
        <f aca="false">IF(N(T219)&gt;=1,Z218+1,0)</f>
        <v>0</v>
      </c>
      <c r="AA219" s="34" t="n">
        <f aca="false">IF(N(U219)&gt;=1,AA218+1,0)</f>
        <v>0</v>
      </c>
      <c r="AB219" s="34" t="n">
        <f aca="false">IF(N(V219)&gt;=1,AB218+1,0)</f>
        <v>0</v>
      </c>
      <c r="AC219" s="34" t="str">
        <f aca="false">IF(COUNT(E219,F219,I219,J219)=0,"",ROUND((MIN(IFERROR(E219/StepGoal,0),1)*100)*0.2+(MIN(IFERROR(F219/SleepGoal,0),1)*100)*0.2+(IF(L219="",0,IF(L219="Rest Day",100,MIN(IFERROR(M219/60,0),1)*100)))*0.25+(IFERROR(INDEX('Recovery Tracker'!$E$5:$E$369,MATCH(A219,'Recovery Tracker'!$A$5:$A$369,0))+0,70))*0.15+(MIN(IFERROR(I219/WaterGoal,0),1)*100)*0.1+(IF(J219="",0,MAX(0,100-MIN(ABS(J219-CalorieGoal)/CalorieGoal,1)*100)))*0.1,0))</f>
        <v/>
      </c>
    </row>
    <row r="220" customFormat="false" ht="15" hidden="false" customHeight="false" outlineLevel="0" collapsed="false">
      <c r="A220" s="35" t="n">
        <f aca="false">A219+1</f>
        <v>46238</v>
      </c>
      <c r="B220" s="36" t="str">
        <f aca="false">TEXT(A220,"ddd")</f>
        <v>Tue</v>
      </c>
      <c r="C220" s="36" t="n">
        <f aca="false">INT((A220-StartDate)/7)+1</f>
        <v>31</v>
      </c>
      <c r="D220" s="36" t="str">
        <f aca="false">TEXT(A220,"mmm")</f>
        <v>Aug</v>
      </c>
      <c r="E220" s="28"/>
      <c r="F220" s="29"/>
      <c r="G220" s="29"/>
      <c r="H220" s="30"/>
      <c r="I220" s="29"/>
      <c r="J220" s="28"/>
      <c r="K220" s="28"/>
      <c r="L220" s="31"/>
      <c r="M220" s="28"/>
      <c r="N220" s="31"/>
      <c r="O220" s="31"/>
      <c r="P220" s="31"/>
      <c r="Q220" s="31"/>
      <c r="R220" s="31"/>
      <c r="S220" s="32"/>
      <c r="T220" s="37" t="str">
        <f aca="false">IF(E220="","",E220/StepGoal)</f>
        <v/>
      </c>
      <c r="U220" s="37" t="str">
        <f aca="false">IF(F220="","",F220/SleepGoal)</f>
        <v/>
      </c>
      <c r="V220" s="37" t="str">
        <f aca="false">IF(I220="","",I220/WaterGoal)</f>
        <v/>
      </c>
      <c r="W220" s="37" t="str">
        <f aca="false">IF(COUNT(E220,F220,I220)=0,"",(IF(N(T220)&gt;=1,1,0)+IF(N(U220)&gt;=1,1,0)+IF(N(V220)&gt;=1,1,0))/3)</f>
        <v/>
      </c>
      <c r="X220" s="36" t="n">
        <f aca="false">IF(AND(L220&lt;&gt;"",L220&lt;&gt;"Rest Day"),1,0)</f>
        <v>0</v>
      </c>
      <c r="Y220" s="38" t="n">
        <f aca="false">IF(X220=1,Y219+1,0)</f>
        <v>0</v>
      </c>
      <c r="Z220" s="38" t="n">
        <f aca="false">IF(N(T220)&gt;=1,Z219+1,0)</f>
        <v>0</v>
      </c>
      <c r="AA220" s="38" t="n">
        <f aca="false">IF(N(U220)&gt;=1,AA219+1,0)</f>
        <v>0</v>
      </c>
      <c r="AB220" s="38" t="n">
        <f aca="false">IF(N(V220)&gt;=1,AB219+1,0)</f>
        <v>0</v>
      </c>
      <c r="AC220" s="38" t="str">
        <f aca="false">IF(COUNT(E220,F220,I220,J220)=0,"",ROUND((MIN(IFERROR(E220/StepGoal,0),1)*100)*0.2+(MIN(IFERROR(F220/SleepGoal,0),1)*100)*0.2+(IF(L220="",0,IF(L220="Rest Day",100,MIN(IFERROR(M220/60,0),1)*100)))*0.25+(IFERROR(INDEX('Recovery Tracker'!$E$5:$E$369,MATCH(A220,'Recovery Tracker'!$A$5:$A$369,0))+0,70))*0.15+(MIN(IFERROR(I220/WaterGoal,0),1)*100)*0.1+(IF(J220="",0,MAX(0,100-MIN(ABS(J220-CalorieGoal)/CalorieGoal,1)*100)))*0.1,0))</f>
        <v/>
      </c>
    </row>
    <row r="221" customFormat="false" ht="15" hidden="false" customHeight="false" outlineLevel="0" collapsed="false">
      <c r="A221" s="26" t="n">
        <f aca="false">A220+1</f>
        <v>46239</v>
      </c>
      <c r="B221" s="27" t="str">
        <f aca="false">TEXT(A221,"ddd")</f>
        <v>Wed</v>
      </c>
      <c r="C221" s="27" t="n">
        <f aca="false">INT((A221-StartDate)/7)+1</f>
        <v>31</v>
      </c>
      <c r="D221" s="27" t="str">
        <f aca="false">TEXT(A221,"mmm")</f>
        <v>Aug</v>
      </c>
      <c r="E221" s="28"/>
      <c r="F221" s="29"/>
      <c r="G221" s="29"/>
      <c r="H221" s="30"/>
      <c r="I221" s="29"/>
      <c r="J221" s="28"/>
      <c r="K221" s="28"/>
      <c r="L221" s="31"/>
      <c r="M221" s="28"/>
      <c r="N221" s="31"/>
      <c r="O221" s="31"/>
      <c r="P221" s="31"/>
      <c r="Q221" s="31"/>
      <c r="R221" s="31"/>
      <c r="S221" s="32"/>
      <c r="T221" s="33" t="str">
        <f aca="false">IF(E221="","",E221/StepGoal)</f>
        <v/>
      </c>
      <c r="U221" s="33" t="str">
        <f aca="false">IF(F221="","",F221/SleepGoal)</f>
        <v/>
      </c>
      <c r="V221" s="33" t="str">
        <f aca="false">IF(I221="","",I221/WaterGoal)</f>
        <v/>
      </c>
      <c r="W221" s="33" t="str">
        <f aca="false">IF(COUNT(E221,F221,I221)=0,"",(IF(N(T221)&gt;=1,1,0)+IF(N(U221)&gt;=1,1,0)+IF(N(V221)&gt;=1,1,0))/3)</f>
        <v/>
      </c>
      <c r="X221" s="27" t="n">
        <f aca="false">IF(AND(L221&lt;&gt;"",L221&lt;&gt;"Rest Day"),1,0)</f>
        <v>0</v>
      </c>
      <c r="Y221" s="34" t="n">
        <f aca="false">IF(X221=1,Y220+1,0)</f>
        <v>0</v>
      </c>
      <c r="Z221" s="34" t="n">
        <f aca="false">IF(N(T221)&gt;=1,Z220+1,0)</f>
        <v>0</v>
      </c>
      <c r="AA221" s="34" t="n">
        <f aca="false">IF(N(U221)&gt;=1,AA220+1,0)</f>
        <v>0</v>
      </c>
      <c r="AB221" s="34" t="n">
        <f aca="false">IF(N(V221)&gt;=1,AB220+1,0)</f>
        <v>0</v>
      </c>
      <c r="AC221" s="34" t="str">
        <f aca="false">IF(COUNT(E221,F221,I221,J221)=0,"",ROUND((MIN(IFERROR(E221/StepGoal,0),1)*100)*0.2+(MIN(IFERROR(F221/SleepGoal,0),1)*100)*0.2+(IF(L221="",0,IF(L221="Rest Day",100,MIN(IFERROR(M221/60,0),1)*100)))*0.25+(IFERROR(INDEX('Recovery Tracker'!$E$5:$E$369,MATCH(A221,'Recovery Tracker'!$A$5:$A$369,0))+0,70))*0.15+(MIN(IFERROR(I221/WaterGoal,0),1)*100)*0.1+(IF(J221="",0,MAX(0,100-MIN(ABS(J221-CalorieGoal)/CalorieGoal,1)*100)))*0.1,0))</f>
        <v/>
      </c>
    </row>
    <row r="222" customFormat="false" ht="15" hidden="false" customHeight="false" outlineLevel="0" collapsed="false">
      <c r="A222" s="35" t="n">
        <f aca="false">A221+1</f>
        <v>46240</v>
      </c>
      <c r="B222" s="36" t="str">
        <f aca="false">TEXT(A222,"ddd")</f>
        <v>Thu</v>
      </c>
      <c r="C222" s="36" t="n">
        <f aca="false">INT((A222-StartDate)/7)+1</f>
        <v>32</v>
      </c>
      <c r="D222" s="36" t="str">
        <f aca="false">TEXT(A222,"mmm")</f>
        <v>Aug</v>
      </c>
      <c r="E222" s="28"/>
      <c r="F222" s="29"/>
      <c r="G222" s="29"/>
      <c r="H222" s="30"/>
      <c r="I222" s="29"/>
      <c r="J222" s="28"/>
      <c r="K222" s="28"/>
      <c r="L222" s="31"/>
      <c r="M222" s="28"/>
      <c r="N222" s="31"/>
      <c r="O222" s="31"/>
      <c r="P222" s="31"/>
      <c r="Q222" s="31"/>
      <c r="R222" s="31"/>
      <c r="S222" s="32"/>
      <c r="T222" s="37" t="str">
        <f aca="false">IF(E222="","",E222/StepGoal)</f>
        <v/>
      </c>
      <c r="U222" s="37" t="str">
        <f aca="false">IF(F222="","",F222/SleepGoal)</f>
        <v/>
      </c>
      <c r="V222" s="37" t="str">
        <f aca="false">IF(I222="","",I222/WaterGoal)</f>
        <v/>
      </c>
      <c r="W222" s="37" t="str">
        <f aca="false">IF(COUNT(E222,F222,I222)=0,"",(IF(N(T222)&gt;=1,1,0)+IF(N(U222)&gt;=1,1,0)+IF(N(V222)&gt;=1,1,0))/3)</f>
        <v/>
      </c>
      <c r="X222" s="36" t="n">
        <f aca="false">IF(AND(L222&lt;&gt;"",L222&lt;&gt;"Rest Day"),1,0)</f>
        <v>0</v>
      </c>
      <c r="Y222" s="38" t="n">
        <f aca="false">IF(X222=1,Y221+1,0)</f>
        <v>0</v>
      </c>
      <c r="Z222" s="38" t="n">
        <f aca="false">IF(N(T222)&gt;=1,Z221+1,0)</f>
        <v>0</v>
      </c>
      <c r="AA222" s="38" t="n">
        <f aca="false">IF(N(U222)&gt;=1,AA221+1,0)</f>
        <v>0</v>
      </c>
      <c r="AB222" s="38" t="n">
        <f aca="false">IF(N(V222)&gt;=1,AB221+1,0)</f>
        <v>0</v>
      </c>
      <c r="AC222" s="38" t="str">
        <f aca="false">IF(COUNT(E222,F222,I222,J222)=0,"",ROUND((MIN(IFERROR(E222/StepGoal,0),1)*100)*0.2+(MIN(IFERROR(F222/SleepGoal,0),1)*100)*0.2+(IF(L222="",0,IF(L222="Rest Day",100,MIN(IFERROR(M222/60,0),1)*100)))*0.25+(IFERROR(INDEX('Recovery Tracker'!$E$5:$E$369,MATCH(A222,'Recovery Tracker'!$A$5:$A$369,0))+0,70))*0.15+(MIN(IFERROR(I222/WaterGoal,0),1)*100)*0.1+(IF(J222="",0,MAX(0,100-MIN(ABS(J222-CalorieGoal)/CalorieGoal,1)*100)))*0.1,0))</f>
        <v/>
      </c>
    </row>
    <row r="223" customFormat="false" ht="15" hidden="false" customHeight="false" outlineLevel="0" collapsed="false">
      <c r="A223" s="26" t="n">
        <f aca="false">A222+1</f>
        <v>46241</v>
      </c>
      <c r="B223" s="27" t="str">
        <f aca="false">TEXT(A223,"ddd")</f>
        <v>Fri</v>
      </c>
      <c r="C223" s="27" t="n">
        <f aca="false">INT((A223-StartDate)/7)+1</f>
        <v>32</v>
      </c>
      <c r="D223" s="27" t="str">
        <f aca="false">TEXT(A223,"mmm")</f>
        <v>Aug</v>
      </c>
      <c r="E223" s="28"/>
      <c r="F223" s="29"/>
      <c r="G223" s="29"/>
      <c r="H223" s="30"/>
      <c r="I223" s="29"/>
      <c r="J223" s="28"/>
      <c r="K223" s="28"/>
      <c r="L223" s="31"/>
      <c r="M223" s="28"/>
      <c r="N223" s="31"/>
      <c r="O223" s="31"/>
      <c r="P223" s="31"/>
      <c r="Q223" s="31"/>
      <c r="R223" s="31"/>
      <c r="S223" s="32"/>
      <c r="T223" s="33" t="str">
        <f aca="false">IF(E223="","",E223/StepGoal)</f>
        <v/>
      </c>
      <c r="U223" s="33" t="str">
        <f aca="false">IF(F223="","",F223/SleepGoal)</f>
        <v/>
      </c>
      <c r="V223" s="33" t="str">
        <f aca="false">IF(I223="","",I223/WaterGoal)</f>
        <v/>
      </c>
      <c r="W223" s="33" t="str">
        <f aca="false">IF(COUNT(E223,F223,I223)=0,"",(IF(N(T223)&gt;=1,1,0)+IF(N(U223)&gt;=1,1,0)+IF(N(V223)&gt;=1,1,0))/3)</f>
        <v/>
      </c>
      <c r="X223" s="27" t="n">
        <f aca="false">IF(AND(L223&lt;&gt;"",L223&lt;&gt;"Rest Day"),1,0)</f>
        <v>0</v>
      </c>
      <c r="Y223" s="34" t="n">
        <f aca="false">IF(X223=1,Y222+1,0)</f>
        <v>0</v>
      </c>
      <c r="Z223" s="34" t="n">
        <f aca="false">IF(N(T223)&gt;=1,Z222+1,0)</f>
        <v>0</v>
      </c>
      <c r="AA223" s="34" t="n">
        <f aca="false">IF(N(U223)&gt;=1,AA222+1,0)</f>
        <v>0</v>
      </c>
      <c r="AB223" s="34" t="n">
        <f aca="false">IF(N(V223)&gt;=1,AB222+1,0)</f>
        <v>0</v>
      </c>
      <c r="AC223" s="34" t="str">
        <f aca="false">IF(COUNT(E223,F223,I223,J223)=0,"",ROUND((MIN(IFERROR(E223/StepGoal,0),1)*100)*0.2+(MIN(IFERROR(F223/SleepGoal,0),1)*100)*0.2+(IF(L223="",0,IF(L223="Rest Day",100,MIN(IFERROR(M223/60,0),1)*100)))*0.25+(IFERROR(INDEX('Recovery Tracker'!$E$5:$E$369,MATCH(A223,'Recovery Tracker'!$A$5:$A$369,0))+0,70))*0.15+(MIN(IFERROR(I223/WaterGoal,0),1)*100)*0.1+(IF(J223="",0,MAX(0,100-MIN(ABS(J223-CalorieGoal)/CalorieGoal,1)*100)))*0.1,0))</f>
        <v/>
      </c>
    </row>
    <row r="224" customFormat="false" ht="15" hidden="false" customHeight="false" outlineLevel="0" collapsed="false">
      <c r="A224" s="35" t="n">
        <f aca="false">A223+1</f>
        <v>46242</v>
      </c>
      <c r="B224" s="36" t="str">
        <f aca="false">TEXT(A224,"ddd")</f>
        <v>Sat</v>
      </c>
      <c r="C224" s="36" t="n">
        <f aca="false">INT((A224-StartDate)/7)+1</f>
        <v>32</v>
      </c>
      <c r="D224" s="36" t="str">
        <f aca="false">TEXT(A224,"mmm")</f>
        <v>Aug</v>
      </c>
      <c r="E224" s="28"/>
      <c r="F224" s="29"/>
      <c r="G224" s="29"/>
      <c r="H224" s="30"/>
      <c r="I224" s="29"/>
      <c r="J224" s="28"/>
      <c r="K224" s="28"/>
      <c r="L224" s="31"/>
      <c r="M224" s="28"/>
      <c r="N224" s="31"/>
      <c r="O224" s="31"/>
      <c r="P224" s="31"/>
      <c r="Q224" s="31"/>
      <c r="R224" s="31"/>
      <c r="S224" s="32"/>
      <c r="T224" s="37" t="str">
        <f aca="false">IF(E224="","",E224/StepGoal)</f>
        <v/>
      </c>
      <c r="U224" s="37" t="str">
        <f aca="false">IF(F224="","",F224/SleepGoal)</f>
        <v/>
      </c>
      <c r="V224" s="37" t="str">
        <f aca="false">IF(I224="","",I224/WaterGoal)</f>
        <v/>
      </c>
      <c r="W224" s="37" t="str">
        <f aca="false">IF(COUNT(E224,F224,I224)=0,"",(IF(N(T224)&gt;=1,1,0)+IF(N(U224)&gt;=1,1,0)+IF(N(V224)&gt;=1,1,0))/3)</f>
        <v/>
      </c>
      <c r="X224" s="36" t="n">
        <f aca="false">IF(AND(L224&lt;&gt;"",L224&lt;&gt;"Rest Day"),1,0)</f>
        <v>0</v>
      </c>
      <c r="Y224" s="38" t="n">
        <f aca="false">IF(X224=1,Y223+1,0)</f>
        <v>0</v>
      </c>
      <c r="Z224" s="38" t="n">
        <f aca="false">IF(N(T224)&gt;=1,Z223+1,0)</f>
        <v>0</v>
      </c>
      <c r="AA224" s="38" t="n">
        <f aca="false">IF(N(U224)&gt;=1,AA223+1,0)</f>
        <v>0</v>
      </c>
      <c r="AB224" s="38" t="n">
        <f aca="false">IF(N(V224)&gt;=1,AB223+1,0)</f>
        <v>0</v>
      </c>
      <c r="AC224" s="38" t="str">
        <f aca="false">IF(COUNT(E224,F224,I224,J224)=0,"",ROUND((MIN(IFERROR(E224/StepGoal,0),1)*100)*0.2+(MIN(IFERROR(F224/SleepGoal,0),1)*100)*0.2+(IF(L224="",0,IF(L224="Rest Day",100,MIN(IFERROR(M224/60,0),1)*100)))*0.25+(IFERROR(INDEX('Recovery Tracker'!$E$5:$E$369,MATCH(A224,'Recovery Tracker'!$A$5:$A$369,0))+0,70))*0.15+(MIN(IFERROR(I224/WaterGoal,0),1)*100)*0.1+(IF(J224="",0,MAX(0,100-MIN(ABS(J224-CalorieGoal)/CalorieGoal,1)*100)))*0.1,0))</f>
        <v/>
      </c>
    </row>
    <row r="225" customFormat="false" ht="15" hidden="false" customHeight="false" outlineLevel="0" collapsed="false">
      <c r="A225" s="26" t="n">
        <f aca="false">A224+1</f>
        <v>46243</v>
      </c>
      <c r="B225" s="27" t="str">
        <f aca="false">TEXT(A225,"ddd")</f>
        <v>Sun</v>
      </c>
      <c r="C225" s="27" t="n">
        <f aca="false">INT((A225-StartDate)/7)+1</f>
        <v>32</v>
      </c>
      <c r="D225" s="27" t="str">
        <f aca="false">TEXT(A225,"mmm")</f>
        <v>Aug</v>
      </c>
      <c r="E225" s="28"/>
      <c r="F225" s="29"/>
      <c r="G225" s="29"/>
      <c r="H225" s="30"/>
      <c r="I225" s="29"/>
      <c r="J225" s="28"/>
      <c r="K225" s="28"/>
      <c r="L225" s="31"/>
      <c r="M225" s="28"/>
      <c r="N225" s="31"/>
      <c r="O225" s="31"/>
      <c r="P225" s="31"/>
      <c r="Q225" s="31"/>
      <c r="R225" s="31"/>
      <c r="S225" s="32"/>
      <c r="T225" s="33" t="str">
        <f aca="false">IF(E225="","",E225/StepGoal)</f>
        <v/>
      </c>
      <c r="U225" s="33" t="str">
        <f aca="false">IF(F225="","",F225/SleepGoal)</f>
        <v/>
      </c>
      <c r="V225" s="33" t="str">
        <f aca="false">IF(I225="","",I225/WaterGoal)</f>
        <v/>
      </c>
      <c r="W225" s="33" t="str">
        <f aca="false">IF(COUNT(E225,F225,I225)=0,"",(IF(N(T225)&gt;=1,1,0)+IF(N(U225)&gt;=1,1,0)+IF(N(V225)&gt;=1,1,0))/3)</f>
        <v/>
      </c>
      <c r="X225" s="27" t="n">
        <f aca="false">IF(AND(L225&lt;&gt;"",L225&lt;&gt;"Rest Day"),1,0)</f>
        <v>0</v>
      </c>
      <c r="Y225" s="34" t="n">
        <f aca="false">IF(X225=1,Y224+1,0)</f>
        <v>0</v>
      </c>
      <c r="Z225" s="34" t="n">
        <f aca="false">IF(N(T225)&gt;=1,Z224+1,0)</f>
        <v>0</v>
      </c>
      <c r="AA225" s="34" t="n">
        <f aca="false">IF(N(U225)&gt;=1,AA224+1,0)</f>
        <v>0</v>
      </c>
      <c r="AB225" s="34" t="n">
        <f aca="false">IF(N(V225)&gt;=1,AB224+1,0)</f>
        <v>0</v>
      </c>
      <c r="AC225" s="34" t="str">
        <f aca="false">IF(COUNT(E225,F225,I225,J225)=0,"",ROUND((MIN(IFERROR(E225/StepGoal,0),1)*100)*0.2+(MIN(IFERROR(F225/SleepGoal,0),1)*100)*0.2+(IF(L225="",0,IF(L225="Rest Day",100,MIN(IFERROR(M225/60,0),1)*100)))*0.25+(IFERROR(INDEX('Recovery Tracker'!$E$5:$E$369,MATCH(A225,'Recovery Tracker'!$A$5:$A$369,0))+0,70))*0.15+(MIN(IFERROR(I225/WaterGoal,0),1)*100)*0.1+(IF(J225="",0,MAX(0,100-MIN(ABS(J225-CalorieGoal)/CalorieGoal,1)*100)))*0.1,0))</f>
        <v/>
      </c>
    </row>
    <row r="226" customFormat="false" ht="15" hidden="false" customHeight="false" outlineLevel="0" collapsed="false">
      <c r="A226" s="35" t="n">
        <f aca="false">A225+1</f>
        <v>46244</v>
      </c>
      <c r="B226" s="36" t="str">
        <f aca="false">TEXT(A226,"ddd")</f>
        <v>Mon</v>
      </c>
      <c r="C226" s="36" t="n">
        <f aca="false">INT((A226-StartDate)/7)+1</f>
        <v>32</v>
      </c>
      <c r="D226" s="36" t="str">
        <f aca="false">TEXT(A226,"mmm")</f>
        <v>Aug</v>
      </c>
      <c r="E226" s="28"/>
      <c r="F226" s="29"/>
      <c r="G226" s="29"/>
      <c r="H226" s="30"/>
      <c r="I226" s="29"/>
      <c r="J226" s="28"/>
      <c r="K226" s="28"/>
      <c r="L226" s="31"/>
      <c r="M226" s="28"/>
      <c r="N226" s="31"/>
      <c r="O226" s="31"/>
      <c r="P226" s="31"/>
      <c r="Q226" s="31"/>
      <c r="R226" s="31"/>
      <c r="S226" s="32"/>
      <c r="T226" s="37" t="str">
        <f aca="false">IF(E226="","",E226/StepGoal)</f>
        <v/>
      </c>
      <c r="U226" s="37" t="str">
        <f aca="false">IF(F226="","",F226/SleepGoal)</f>
        <v/>
      </c>
      <c r="V226" s="37" t="str">
        <f aca="false">IF(I226="","",I226/WaterGoal)</f>
        <v/>
      </c>
      <c r="W226" s="37" t="str">
        <f aca="false">IF(COUNT(E226,F226,I226)=0,"",(IF(N(T226)&gt;=1,1,0)+IF(N(U226)&gt;=1,1,0)+IF(N(V226)&gt;=1,1,0))/3)</f>
        <v/>
      </c>
      <c r="X226" s="36" t="n">
        <f aca="false">IF(AND(L226&lt;&gt;"",L226&lt;&gt;"Rest Day"),1,0)</f>
        <v>0</v>
      </c>
      <c r="Y226" s="38" t="n">
        <f aca="false">IF(X226=1,Y225+1,0)</f>
        <v>0</v>
      </c>
      <c r="Z226" s="38" t="n">
        <f aca="false">IF(N(T226)&gt;=1,Z225+1,0)</f>
        <v>0</v>
      </c>
      <c r="AA226" s="38" t="n">
        <f aca="false">IF(N(U226)&gt;=1,AA225+1,0)</f>
        <v>0</v>
      </c>
      <c r="AB226" s="38" t="n">
        <f aca="false">IF(N(V226)&gt;=1,AB225+1,0)</f>
        <v>0</v>
      </c>
      <c r="AC226" s="38" t="str">
        <f aca="false">IF(COUNT(E226,F226,I226,J226)=0,"",ROUND((MIN(IFERROR(E226/StepGoal,0),1)*100)*0.2+(MIN(IFERROR(F226/SleepGoal,0),1)*100)*0.2+(IF(L226="",0,IF(L226="Rest Day",100,MIN(IFERROR(M226/60,0),1)*100)))*0.25+(IFERROR(INDEX('Recovery Tracker'!$E$5:$E$369,MATCH(A226,'Recovery Tracker'!$A$5:$A$369,0))+0,70))*0.15+(MIN(IFERROR(I226/WaterGoal,0),1)*100)*0.1+(IF(J226="",0,MAX(0,100-MIN(ABS(J226-CalorieGoal)/CalorieGoal,1)*100)))*0.1,0))</f>
        <v/>
      </c>
    </row>
    <row r="227" customFormat="false" ht="15" hidden="false" customHeight="false" outlineLevel="0" collapsed="false">
      <c r="A227" s="26" t="n">
        <f aca="false">A226+1</f>
        <v>46245</v>
      </c>
      <c r="B227" s="27" t="str">
        <f aca="false">TEXT(A227,"ddd")</f>
        <v>Tue</v>
      </c>
      <c r="C227" s="27" t="n">
        <f aca="false">INT((A227-StartDate)/7)+1</f>
        <v>32</v>
      </c>
      <c r="D227" s="27" t="str">
        <f aca="false">TEXT(A227,"mmm")</f>
        <v>Aug</v>
      </c>
      <c r="E227" s="28"/>
      <c r="F227" s="29"/>
      <c r="G227" s="29"/>
      <c r="H227" s="30"/>
      <c r="I227" s="29"/>
      <c r="J227" s="28"/>
      <c r="K227" s="28"/>
      <c r="L227" s="31"/>
      <c r="M227" s="28"/>
      <c r="N227" s="31"/>
      <c r="O227" s="31"/>
      <c r="P227" s="31"/>
      <c r="Q227" s="31"/>
      <c r="R227" s="31"/>
      <c r="S227" s="32"/>
      <c r="T227" s="33" t="str">
        <f aca="false">IF(E227="","",E227/StepGoal)</f>
        <v/>
      </c>
      <c r="U227" s="33" t="str">
        <f aca="false">IF(F227="","",F227/SleepGoal)</f>
        <v/>
      </c>
      <c r="V227" s="33" t="str">
        <f aca="false">IF(I227="","",I227/WaterGoal)</f>
        <v/>
      </c>
      <c r="W227" s="33" t="str">
        <f aca="false">IF(COUNT(E227,F227,I227)=0,"",(IF(N(T227)&gt;=1,1,0)+IF(N(U227)&gt;=1,1,0)+IF(N(V227)&gt;=1,1,0))/3)</f>
        <v/>
      </c>
      <c r="X227" s="27" t="n">
        <f aca="false">IF(AND(L227&lt;&gt;"",L227&lt;&gt;"Rest Day"),1,0)</f>
        <v>0</v>
      </c>
      <c r="Y227" s="34" t="n">
        <f aca="false">IF(X227=1,Y226+1,0)</f>
        <v>0</v>
      </c>
      <c r="Z227" s="34" t="n">
        <f aca="false">IF(N(T227)&gt;=1,Z226+1,0)</f>
        <v>0</v>
      </c>
      <c r="AA227" s="34" t="n">
        <f aca="false">IF(N(U227)&gt;=1,AA226+1,0)</f>
        <v>0</v>
      </c>
      <c r="AB227" s="34" t="n">
        <f aca="false">IF(N(V227)&gt;=1,AB226+1,0)</f>
        <v>0</v>
      </c>
      <c r="AC227" s="34" t="str">
        <f aca="false">IF(COUNT(E227,F227,I227,J227)=0,"",ROUND((MIN(IFERROR(E227/StepGoal,0),1)*100)*0.2+(MIN(IFERROR(F227/SleepGoal,0),1)*100)*0.2+(IF(L227="",0,IF(L227="Rest Day",100,MIN(IFERROR(M227/60,0),1)*100)))*0.25+(IFERROR(INDEX('Recovery Tracker'!$E$5:$E$369,MATCH(A227,'Recovery Tracker'!$A$5:$A$369,0))+0,70))*0.15+(MIN(IFERROR(I227/WaterGoal,0),1)*100)*0.1+(IF(J227="",0,MAX(0,100-MIN(ABS(J227-CalorieGoal)/CalorieGoal,1)*100)))*0.1,0))</f>
        <v/>
      </c>
    </row>
    <row r="228" customFormat="false" ht="15" hidden="false" customHeight="false" outlineLevel="0" collapsed="false">
      <c r="A228" s="35" t="n">
        <f aca="false">A227+1</f>
        <v>46246</v>
      </c>
      <c r="B228" s="36" t="str">
        <f aca="false">TEXT(A228,"ddd")</f>
        <v>Wed</v>
      </c>
      <c r="C228" s="36" t="n">
        <f aca="false">INT((A228-StartDate)/7)+1</f>
        <v>32</v>
      </c>
      <c r="D228" s="36" t="str">
        <f aca="false">TEXT(A228,"mmm")</f>
        <v>Aug</v>
      </c>
      <c r="E228" s="28"/>
      <c r="F228" s="29"/>
      <c r="G228" s="29"/>
      <c r="H228" s="30"/>
      <c r="I228" s="29"/>
      <c r="J228" s="28"/>
      <c r="K228" s="28"/>
      <c r="L228" s="31"/>
      <c r="M228" s="28"/>
      <c r="N228" s="31"/>
      <c r="O228" s="31"/>
      <c r="P228" s="31"/>
      <c r="Q228" s="31"/>
      <c r="R228" s="31"/>
      <c r="S228" s="32"/>
      <c r="T228" s="37" t="str">
        <f aca="false">IF(E228="","",E228/StepGoal)</f>
        <v/>
      </c>
      <c r="U228" s="37" t="str">
        <f aca="false">IF(F228="","",F228/SleepGoal)</f>
        <v/>
      </c>
      <c r="V228" s="37" t="str">
        <f aca="false">IF(I228="","",I228/WaterGoal)</f>
        <v/>
      </c>
      <c r="W228" s="37" t="str">
        <f aca="false">IF(COUNT(E228,F228,I228)=0,"",(IF(N(T228)&gt;=1,1,0)+IF(N(U228)&gt;=1,1,0)+IF(N(V228)&gt;=1,1,0))/3)</f>
        <v/>
      </c>
      <c r="X228" s="36" t="n">
        <f aca="false">IF(AND(L228&lt;&gt;"",L228&lt;&gt;"Rest Day"),1,0)</f>
        <v>0</v>
      </c>
      <c r="Y228" s="38" t="n">
        <f aca="false">IF(X228=1,Y227+1,0)</f>
        <v>0</v>
      </c>
      <c r="Z228" s="38" t="n">
        <f aca="false">IF(N(T228)&gt;=1,Z227+1,0)</f>
        <v>0</v>
      </c>
      <c r="AA228" s="38" t="n">
        <f aca="false">IF(N(U228)&gt;=1,AA227+1,0)</f>
        <v>0</v>
      </c>
      <c r="AB228" s="38" t="n">
        <f aca="false">IF(N(V228)&gt;=1,AB227+1,0)</f>
        <v>0</v>
      </c>
      <c r="AC228" s="38" t="str">
        <f aca="false">IF(COUNT(E228,F228,I228,J228)=0,"",ROUND((MIN(IFERROR(E228/StepGoal,0),1)*100)*0.2+(MIN(IFERROR(F228/SleepGoal,0),1)*100)*0.2+(IF(L228="",0,IF(L228="Rest Day",100,MIN(IFERROR(M228/60,0),1)*100)))*0.25+(IFERROR(INDEX('Recovery Tracker'!$E$5:$E$369,MATCH(A228,'Recovery Tracker'!$A$5:$A$369,0))+0,70))*0.15+(MIN(IFERROR(I228/WaterGoal,0),1)*100)*0.1+(IF(J228="",0,MAX(0,100-MIN(ABS(J228-CalorieGoal)/CalorieGoal,1)*100)))*0.1,0))</f>
        <v/>
      </c>
    </row>
    <row r="229" customFormat="false" ht="15" hidden="false" customHeight="false" outlineLevel="0" collapsed="false">
      <c r="A229" s="26" t="n">
        <f aca="false">A228+1</f>
        <v>46247</v>
      </c>
      <c r="B229" s="27" t="str">
        <f aca="false">TEXT(A229,"ddd")</f>
        <v>Thu</v>
      </c>
      <c r="C229" s="27" t="n">
        <f aca="false">INT((A229-StartDate)/7)+1</f>
        <v>33</v>
      </c>
      <c r="D229" s="27" t="str">
        <f aca="false">TEXT(A229,"mmm")</f>
        <v>Aug</v>
      </c>
      <c r="E229" s="28"/>
      <c r="F229" s="29"/>
      <c r="G229" s="29"/>
      <c r="H229" s="30"/>
      <c r="I229" s="29"/>
      <c r="J229" s="28"/>
      <c r="K229" s="28"/>
      <c r="L229" s="31"/>
      <c r="M229" s="28"/>
      <c r="N229" s="31"/>
      <c r="O229" s="31"/>
      <c r="P229" s="31"/>
      <c r="Q229" s="31"/>
      <c r="R229" s="31"/>
      <c r="S229" s="32"/>
      <c r="T229" s="33" t="str">
        <f aca="false">IF(E229="","",E229/StepGoal)</f>
        <v/>
      </c>
      <c r="U229" s="33" t="str">
        <f aca="false">IF(F229="","",F229/SleepGoal)</f>
        <v/>
      </c>
      <c r="V229" s="33" t="str">
        <f aca="false">IF(I229="","",I229/WaterGoal)</f>
        <v/>
      </c>
      <c r="W229" s="33" t="str">
        <f aca="false">IF(COUNT(E229,F229,I229)=0,"",(IF(N(T229)&gt;=1,1,0)+IF(N(U229)&gt;=1,1,0)+IF(N(V229)&gt;=1,1,0))/3)</f>
        <v/>
      </c>
      <c r="X229" s="27" t="n">
        <f aca="false">IF(AND(L229&lt;&gt;"",L229&lt;&gt;"Rest Day"),1,0)</f>
        <v>0</v>
      </c>
      <c r="Y229" s="34" t="n">
        <f aca="false">IF(X229=1,Y228+1,0)</f>
        <v>0</v>
      </c>
      <c r="Z229" s="34" t="n">
        <f aca="false">IF(N(T229)&gt;=1,Z228+1,0)</f>
        <v>0</v>
      </c>
      <c r="AA229" s="34" t="n">
        <f aca="false">IF(N(U229)&gt;=1,AA228+1,0)</f>
        <v>0</v>
      </c>
      <c r="AB229" s="34" t="n">
        <f aca="false">IF(N(V229)&gt;=1,AB228+1,0)</f>
        <v>0</v>
      </c>
      <c r="AC229" s="34" t="str">
        <f aca="false">IF(COUNT(E229,F229,I229,J229)=0,"",ROUND((MIN(IFERROR(E229/StepGoal,0),1)*100)*0.2+(MIN(IFERROR(F229/SleepGoal,0),1)*100)*0.2+(IF(L229="",0,IF(L229="Rest Day",100,MIN(IFERROR(M229/60,0),1)*100)))*0.25+(IFERROR(INDEX('Recovery Tracker'!$E$5:$E$369,MATCH(A229,'Recovery Tracker'!$A$5:$A$369,0))+0,70))*0.15+(MIN(IFERROR(I229/WaterGoal,0),1)*100)*0.1+(IF(J229="",0,MAX(0,100-MIN(ABS(J229-CalorieGoal)/CalorieGoal,1)*100)))*0.1,0))</f>
        <v/>
      </c>
    </row>
    <row r="230" customFormat="false" ht="15" hidden="false" customHeight="false" outlineLevel="0" collapsed="false">
      <c r="A230" s="35" t="n">
        <f aca="false">A229+1</f>
        <v>46248</v>
      </c>
      <c r="B230" s="36" t="str">
        <f aca="false">TEXT(A230,"ddd")</f>
        <v>Fri</v>
      </c>
      <c r="C230" s="36" t="n">
        <f aca="false">INT((A230-StartDate)/7)+1</f>
        <v>33</v>
      </c>
      <c r="D230" s="36" t="str">
        <f aca="false">TEXT(A230,"mmm")</f>
        <v>Aug</v>
      </c>
      <c r="E230" s="28"/>
      <c r="F230" s="29"/>
      <c r="G230" s="29"/>
      <c r="H230" s="30"/>
      <c r="I230" s="29"/>
      <c r="J230" s="28"/>
      <c r="K230" s="28"/>
      <c r="L230" s="31"/>
      <c r="M230" s="28"/>
      <c r="N230" s="31"/>
      <c r="O230" s="31"/>
      <c r="P230" s="31"/>
      <c r="Q230" s="31"/>
      <c r="R230" s="31"/>
      <c r="S230" s="32"/>
      <c r="T230" s="37" t="str">
        <f aca="false">IF(E230="","",E230/StepGoal)</f>
        <v/>
      </c>
      <c r="U230" s="37" t="str">
        <f aca="false">IF(F230="","",F230/SleepGoal)</f>
        <v/>
      </c>
      <c r="V230" s="37" t="str">
        <f aca="false">IF(I230="","",I230/WaterGoal)</f>
        <v/>
      </c>
      <c r="W230" s="37" t="str">
        <f aca="false">IF(COUNT(E230,F230,I230)=0,"",(IF(N(T230)&gt;=1,1,0)+IF(N(U230)&gt;=1,1,0)+IF(N(V230)&gt;=1,1,0))/3)</f>
        <v/>
      </c>
      <c r="X230" s="36" t="n">
        <f aca="false">IF(AND(L230&lt;&gt;"",L230&lt;&gt;"Rest Day"),1,0)</f>
        <v>0</v>
      </c>
      <c r="Y230" s="38" t="n">
        <f aca="false">IF(X230=1,Y229+1,0)</f>
        <v>0</v>
      </c>
      <c r="Z230" s="38" t="n">
        <f aca="false">IF(N(T230)&gt;=1,Z229+1,0)</f>
        <v>0</v>
      </c>
      <c r="AA230" s="38" t="n">
        <f aca="false">IF(N(U230)&gt;=1,AA229+1,0)</f>
        <v>0</v>
      </c>
      <c r="AB230" s="38" t="n">
        <f aca="false">IF(N(V230)&gt;=1,AB229+1,0)</f>
        <v>0</v>
      </c>
      <c r="AC230" s="38" t="str">
        <f aca="false">IF(COUNT(E230,F230,I230,J230)=0,"",ROUND((MIN(IFERROR(E230/StepGoal,0),1)*100)*0.2+(MIN(IFERROR(F230/SleepGoal,0),1)*100)*0.2+(IF(L230="",0,IF(L230="Rest Day",100,MIN(IFERROR(M230/60,0),1)*100)))*0.25+(IFERROR(INDEX('Recovery Tracker'!$E$5:$E$369,MATCH(A230,'Recovery Tracker'!$A$5:$A$369,0))+0,70))*0.15+(MIN(IFERROR(I230/WaterGoal,0),1)*100)*0.1+(IF(J230="",0,MAX(0,100-MIN(ABS(J230-CalorieGoal)/CalorieGoal,1)*100)))*0.1,0))</f>
        <v/>
      </c>
    </row>
    <row r="231" customFormat="false" ht="15" hidden="false" customHeight="false" outlineLevel="0" collapsed="false">
      <c r="A231" s="26" t="n">
        <f aca="false">A230+1</f>
        <v>46249</v>
      </c>
      <c r="B231" s="27" t="str">
        <f aca="false">TEXT(A231,"ddd")</f>
        <v>Sat</v>
      </c>
      <c r="C231" s="27" t="n">
        <f aca="false">INT((A231-StartDate)/7)+1</f>
        <v>33</v>
      </c>
      <c r="D231" s="27" t="str">
        <f aca="false">TEXT(A231,"mmm")</f>
        <v>Aug</v>
      </c>
      <c r="E231" s="28"/>
      <c r="F231" s="29"/>
      <c r="G231" s="29"/>
      <c r="H231" s="30"/>
      <c r="I231" s="29"/>
      <c r="J231" s="28"/>
      <c r="K231" s="28"/>
      <c r="L231" s="31"/>
      <c r="M231" s="28"/>
      <c r="N231" s="31"/>
      <c r="O231" s="31"/>
      <c r="P231" s="31"/>
      <c r="Q231" s="31"/>
      <c r="R231" s="31"/>
      <c r="S231" s="32"/>
      <c r="T231" s="33" t="str">
        <f aca="false">IF(E231="","",E231/StepGoal)</f>
        <v/>
      </c>
      <c r="U231" s="33" t="str">
        <f aca="false">IF(F231="","",F231/SleepGoal)</f>
        <v/>
      </c>
      <c r="V231" s="33" t="str">
        <f aca="false">IF(I231="","",I231/WaterGoal)</f>
        <v/>
      </c>
      <c r="W231" s="33" t="str">
        <f aca="false">IF(COUNT(E231,F231,I231)=0,"",(IF(N(T231)&gt;=1,1,0)+IF(N(U231)&gt;=1,1,0)+IF(N(V231)&gt;=1,1,0))/3)</f>
        <v/>
      </c>
      <c r="X231" s="27" t="n">
        <f aca="false">IF(AND(L231&lt;&gt;"",L231&lt;&gt;"Rest Day"),1,0)</f>
        <v>0</v>
      </c>
      <c r="Y231" s="34" t="n">
        <f aca="false">IF(X231=1,Y230+1,0)</f>
        <v>0</v>
      </c>
      <c r="Z231" s="34" t="n">
        <f aca="false">IF(N(T231)&gt;=1,Z230+1,0)</f>
        <v>0</v>
      </c>
      <c r="AA231" s="34" t="n">
        <f aca="false">IF(N(U231)&gt;=1,AA230+1,0)</f>
        <v>0</v>
      </c>
      <c r="AB231" s="34" t="n">
        <f aca="false">IF(N(V231)&gt;=1,AB230+1,0)</f>
        <v>0</v>
      </c>
      <c r="AC231" s="34" t="str">
        <f aca="false">IF(COUNT(E231,F231,I231,J231)=0,"",ROUND((MIN(IFERROR(E231/StepGoal,0),1)*100)*0.2+(MIN(IFERROR(F231/SleepGoal,0),1)*100)*0.2+(IF(L231="",0,IF(L231="Rest Day",100,MIN(IFERROR(M231/60,0),1)*100)))*0.25+(IFERROR(INDEX('Recovery Tracker'!$E$5:$E$369,MATCH(A231,'Recovery Tracker'!$A$5:$A$369,0))+0,70))*0.15+(MIN(IFERROR(I231/WaterGoal,0),1)*100)*0.1+(IF(J231="",0,MAX(0,100-MIN(ABS(J231-CalorieGoal)/CalorieGoal,1)*100)))*0.1,0))</f>
        <v/>
      </c>
    </row>
    <row r="232" customFormat="false" ht="15" hidden="false" customHeight="false" outlineLevel="0" collapsed="false">
      <c r="A232" s="35" t="n">
        <f aca="false">A231+1</f>
        <v>46250</v>
      </c>
      <c r="B232" s="36" t="str">
        <f aca="false">TEXT(A232,"ddd")</f>
        <v>Sun</v>
      </c>
      <c r="C232" s="36" t="n">
        <f aca="false">INT((A232-StartDate)/7)+1</f>
        <v>33</v>
      </c>
      <c r="D232" s="36" t="str">
        <f aca="false">TEXT(A232,"mmm")</f>
        <v>Aug</v>
      </c>
      <c r="E232" s="28"/>
      <c r="F232" s="29"/>
      <c r="G232" s="29"/>
      <c r="H232" s="30"/>
      <c r="I232" s="29"/>
      <c r="J232" s="28"/>
      <c r="K232" s="28"/>
      <c r="L232" s="31"/>
      <c r="M232" s="28"/>
      <c r="N232" s="31"/>
      <c r="O232" s="31"/>
      <c r="P232" s="31"/>
      <c r="Q232" s="31"/>
      <c r="R232" s="31"/>
      <c r="S232" s="32"/>
      <c r="T232" s="37" t="str">
        <f aca="false">IF(E232="","",E232/StepGoal)</f>
        <v/>
      </c>
      <c r="U232" s="37" t="str">
        <f aca="false">IF(F232="","",F232/SleepGoal)</f>
        <v/>
      </c>
      <c r="V232" s="37" t="str">
        <f aca="false">IF(I232="","",I232/WaterGoal)</f>
        <v/>
      </c>
      <c r="W232" s="37" t="str">
        <f aca="false">IF(COUNT(E232,F232,I232)=0,"",(IF(N(T232)&gt;=1,1,0)+IF(N(U232)&gt;=1,1,0)+IF(N(V232)&gt;=1,1,0))/3)</f>
        <v/>
      </c>
      <c r="X232" s="36" t="n">
        <f aca="false">IF(AND(L232&lt;&gt;"",L232&lt;&gt;"Rest Day"),1,0)</f>
        <v>0</v>
      </c>
      <c r="Y232" s="38" t="n">
        <f aca="false">IF(X232=1,Y231+1,0)</f>
        <v>0</v>
      </c>
      <c r="Z232" s="38" t="n">
        <f aca="false">IF(N(T232)&gt;=1,Z231+1,0)</f>
        <v>0</v>
      </c>
      <c r="AA232" s="38" t="n">
        <f aca="false">IF(N(U232)&gt;=1,AA231+1,0)</f>
        <v>0</v>
      </c>
      <c r="AB232" s="38" t="n">
        <f aca="false">IF(N(V232)&gt;=1,AB231+1,0)</f>
        <v>0</v>
      </c>
      <c r="AC232" s="38" t="str">
        <f aca="false">IF(COUNT(E232,F232,I232,J232)=0,"",ROUND((MIN(IFERROR(E232/StepGoal,0),1)*100)*0.2+(MIN(IFERROR(F232/SleepGoal,0),1)*100)*0.2+(IF(L232="",0,IF(L232="Rest Day",100,MIN(IFERROR(M232/60,0),1)*100)))*0.25+(IFERROR(INDEX('Recovery Tracker'!$E$5:$E$369,MATCH(A232,'Recovery Tracker'!$A$5:$A$369,0))+0,70))*0.15+(MIN(IFERROR(I232/WaterGoal,0),1)*100)*0.1+(IF(J232="",0,MAX(0,100-MIN(ABS(J232-CalorieGoal)/CalorieGoal,1)*100)))*0.1,0))</f>
        <v/>
      </c>
    </row>
    <row r="233" customFormat="false" ht="15" hidden="false" customHeight="false" outlineLevel="0" collapsed="false">
      <c r="A233" s="26" t="n">
        <f aca="false">A232+1</f>
        <v>46251</v>
      </c>
      <c r="B233" s="27" t="str">
        <f aca="false">TEXT(A233,"ddd")</f>
        <v>Mon</v>
      </c>
      <c r="C233" s="27" t="n">
        <f aca="false">INT((A233-StartDate)/7)+1</f>
        <v>33</v>
      </c>
      <c r="D233" s="27" t="str">
        <f aca="false">TEXT(A233,"mmm")</f>
        <v>Aug</v>
      </c>
      <c r="E233" s="28"/>
      <c r="F233" s="29"/>
      <c r="G233" s="29"/>
      <c r="H233" s="30"/>
      <c r="I233" s="29"/>
      <c r="J233" s="28"/>
      <c r="K233" s="28"/>
      <c r="L233" s="31"/>
      <c r="M233" s="28"/>
      <c r="N233" s="31"/>
      <c r="O233" s="31"/>
      <c r="P233" s="31"/>
      <c r="Q233" s="31"/>
      <c r="R233" s="31"/>
      <c r="S233" s="32"/>
      <c r="T233" s="33" t="str">
        <f aca="false">IF(E233="","",E233/StepGoal)</f>
        <v/>
      </c>
      <c r="U233" s="33" t="str">
        <f aca="false">IF(F233="","",F233/SleepGoal)</f>
        <v/>
      </c>
      <c r="V233" s="33" t="str">
        <f aca="false">IF(I233="","",I233/WaterGoal)</f>
        <v/>
      </c>
      <c r="W233" s="33" t="str">
        <f aca="false">IF(COUNT(E233,F233,I233)=0,"",(IF(N(T233)&gt;=1,1,0)+IF(N(U233)&gt;=1,1,0)+IF(N(V233)&gt;=1,1,0))/3)</f>
        <v/>
      </c>
      <c r="X233" s="27" t="n">
        <f aca="false">IF(AND(L233&lt;&gt;"",L233&lt;&gt;"Rest Day"),1,0)</f>
        <v>0</v>
      </c>
      <c r="Y233" s="34" t="n">
        <f aca="false">IF(X233=1,Y232+1,0)</f>
        <v>0</v>
      </c>
      <c r="Z233" s="34" t="n">
        <f aca="false">IF(N(T233)&gt;=1,Z232+1,0)</f>
        <v>0</v>
      </c>
      <c r="AA233" s="34" t="n">
        <f aca="false">IF(N(U233)&gt;=1,AA232+1,0)</f>
        <v>0</v>
      </c>
      <c r="AB233" s="34" t="n">
        <f aca="false">IF(N(V233)&gt;=1,AB232+1,0)</f>
        <v>0</v>
      </c>
      <c r="AC233" s="34" t="str">
        <f aca="false">IF(COUNT(E233,F233,I233,J233)=0,"",ROUND((MIN(IFERROR(E233/StepGoal,0),1)*100)*0.2+(MIN(IFERROR(F233/SleepGoal,0),1)*100)*0.2+(IF(L233="",0,IF(L233="Rest Day",100,MIN(IFERROR(M233/60,0),1)*100)))*0.25+(IFERROR(INDEX('Recovery Tracker'!$E$5:$E$369,MATCH(A233,'Recovery Tracker'!$A$5:$A$369,0))+0,70))*0.15+(MIN(IFERROR(I233/WaterGoal,0),1)*100)*0.1+(IF(J233="",0,MAX(0,100-MIN(ABS(J233-CalorieGoal)/CalorieGoal,1)*100)))*0.1,0))</f>
        <v/>
      </c>
    </row>
    <row r="234" customFormat="false" ht="15" hidden="false" customHeight="false" outlineLevel="0" collapsed="false">
      <c r="A234" s="35" t="n">
        <f aca="false">A233+1</f>
        <v>46252</v>
      </c>
      <c r="B234" s="36" t="str">
        <f aca="false">TEXT(A234,"ddd")</f>
        <v>Tue</v>
      </c>
      <c r="C234" s="36" t="n">
        <f aca="false">INT((A234-StartDate)/7)+1</f>
        <v>33</v>
      </c>
      <c r="D234" s="36" t="str">
        <f aca="false">TEXT(A234,"mmm")</f>
        <v>Aug</v>
      </c>
      <c r="E234" s="28"/>
      <c r="F234" s="29"/>
      <c r="G234" s="29"/>
      <c r="H234" s="30"/>
      <c r="I234" s="29"/>
      <c r="J234" s="28"/>
      <c r="K234" s="28"/>
      <c r="L234" s="31"/>
      <c r="M234" s="28"/>
      <c r="N234" s="31"/>
      <c r="O234" s="31"/>
      <c r="P234" s="31"/>
      <c r="Q234" s="31"/>
      <c r="R234" s="31"/>
      <c r="S234" s="32"/>
      <c r="T234" s="37" t="str">
        <f aca="false">IF(E234="","",E234/StepGoal)</f>
        <v/>
      </c>
      <c r="U234" s="37" t="str">
        <f aca="false">IF(F234="","",F234/SleepGoal)</f>
        <v/>
      </c>
      <c r="V234" s="37" t="str">
        <f aca="false">IF(I234="","",I234/WaterGoal)</f>
        <v/>
      </c>
      <c r="W234" s="37" t="str">
        <f aca="false">IF(COUNT(E234,F234,I234)=0,"",(IF(N(T234)&gt;=1,1,0)+IF(N(U234)&gt;=1,1,0)+IF(N(V234)&gt;=1,1,0))/3)</f>
        <v/>
      </c>
      <c r="X234" s="36" t="n">
        <f aca="false">IF(AND(L234&lt;&gt;"",L234&lt;&gt;"Rest Day"),1,0)</f>
        <v>0</v>
      </c>
      <c r="Y234" s="38" t="n">
        <f aca="false">IF(X234=1,Y233+1,0)</f>
        <v>0</v>
      </c>
      <c r="Z234" s="38" t="n">
        <f aca="false">IF(N(T234)&gt;=1,Z233+1,0)</f>
        <v>0</v>
      </c>
      <c r="AA234" s="38" t="n">
        <f aca="false">IF(N(U234)&gt;=1,AA233+1,0)</f>
        <v>0</v>
      </c>
      <c r="AB234" s="38" t="n">
        <f aca="false">IF(N(V234)&gt;=1,AB233+1,0)</f>
        <v>0</v>
      </c>
      <c r="AC234" s="38" t="str">
        <f aca="false">IF(COUNT(E234,F234,I234,J234)=0,"",ROUND((MIN(IFERROR(E234/StepGoal,0),1)*100)*0.2+(MIN(IFERROR(F234/SleepGoal,0),1)*100)*0.2+(IF(L234="",0,IF(L234="Rest Day",100,MIN(IFERROR(M234/60,0),1)*100)))*0.25+(IFERROR(INDEX('Recovery Tracker'!$E$5:$E$369,MATCH(A234,'Recovery Tracker'!$A$5:$A$369,0))+0,70))*0.15+(MIN(IFERROR(I234/WaterGoal,0),1)*100)*0.1+(IF(J234="",0,MAX(0,100-MIN(ABS(J234-CalorieGoal)/CalorieGoal,1)*100)))*0.1,0))</f>
        <v/>
      </c>
    </row>
    <row r="235" customFormat="false" ht="15" hidden="false" customHeight="false" outlineLevel="0" collapsed="false">
      <c r="A235" s="26" t="n">
        <f aca="false">A234+1</f>
        <v>46253</v>
      </c>
      <c r="B235" s="27" t="str">
        <f aca="false">TEXT(A235,"ddd")</f>
        <v>Wed</v>
      </c>
      <c r="C235" s="27" t="n">
        <f aca="false">INT((A235-StartDate)/7)+1</f>
        <v>33</v>
      </c>
      <c r="D235" s="27" t="str">
        <f aca="false">TEXT(A235,"mmm")</f>
        <v>Aug</v>
      </c>
      <c r="E235" s="28"/>
      <c r="F235" s="29"/>
      <c r="G235" s="29"/>
      <c r="H235" s="30"/>
      <c r="I235" s="29"/>
      <c r="J235" s="28"/>
      <c r="K235" s="28"/>
      <c r="L235" s="31"/>
      <c r="M235" s="28"/>
      <c r="N235" s="31"/>
      <c r="O235" s="31"/>
      <c r="P235" s="31"/>
      <c r="Q235" s="31"/>
      <c r="R235" s="31"/>
      <c r="S235" s="32"/>
      <c r="T235" s="33" t="str">
        <f aca="false">IF(E235="","",E235/StepGoal)</f>
        <v/>
      </c>
      <c r="U235" s="33" t="str">
        <f aca="false">IF(F235="","",F235/SleepGoal)</f>
        <v/>
      </c>
      <c r="V235" s="33" t="str">
        <f aca="false">IF(I235="","",I235/WaterGoal)</f>
        <v/>
      </c>
      <c r="W235" s="33" t="str">
        <f aca="false">IF(COUNT(E235,F235,I235)=0,"",(IF(N(T235)&gt;=1,1,0)+IF(N(U235)&gt;=1,1,0)+IF(N(V235)&gt;=1,1,0))/3)</f>
        <v/>
      </c>
      <c r="X235" s="27" t="n">
        <f aca="false">IF(AND(L235&lt;&gt;"",L235&lt;&gt;"Rest Day"),1,0)</f>
        <v>0</v>
      </c>
      <c r="Y235" s="34" t="n">
        <f aca="false">IF(X235=1,Y234+1,0)</f>
        <v>0</v>
      </c>
      <c r="Z235" s="34" t="n">
        <f aca="false">IF(N(T235)&gt;=1,Z234+1,0)</f>
        <v>0</v>
      </c>
      <c r="AA235" s="34" t="n">
        <f aca="false">IF(N(U235)&gt;=1,AA234+1,0)</f>
        <v>0</v>
      </c>
      <c r="AB235" s="34" t="n">
        <f aca="false">IF(N(V235)&gt;=1,AB234+1,0)</f>
        <v>0</v>
      </c>
      <c r="AC235" s="34" t="str">
        <f aca="false">IF(COUNT(E235,F235,I235,J235)=0,"",ROUND((MIN(IFERROR(E235/StepGoal,0),1)*100)*0.2+(MIN(IFERROR(F235/SleepGoal,0),1)*100)*0.2+(IF(L235="",0,IF(L235="Rest Day",100,MIN(IFERROR(M235/60,0),1)*100)))*0.25+(IFERROR(INDEX('Recovery Tracker'!$E$5:$E$369,MATCH(A235,'Recovery Tracker'!$A$5:$A$369,0))+0,70))*0.15+(MIN(IFERROR(I235/WaterGoal,0),1)*100)*0.1+(IF(J235="",0,MAX(0,100-MIN(ABS(J235-CalorieGoal)/CalorieGoal,1)*100)))*0.1,0))</f>
        <v/>
      </c>
    </row>
    <row r="236" customFormat="false" ht="15" hidden="false" customHeight="false" outlineLevel="0" collapsed="false">
      <c r="A236" s="35" t="n">
        <f aca="false">A235+1</f>
        <v>46254</v>
      </c>
      <c r="B236" s="36" t="str">
        <f aca="false">TEXT(A236,"ddd")</f>
        <v>Thu</v>
      </c>
      <c r="C236" s="36" t="n">
        <f aca="false">INT((A236-StartDate)/7)+1</f>
        <v>34</v>
      </c>
      <c r="D236" s="36" t="str">
        <f aca="false">TEXT(A236,"mmm")</f>
        <v>Aug</v>
      </c>
      <c r="E236" s="28"/>
      <c r="F236" s="29"/>
      <c r="G236" s="29"/>
      <c r="H236" s="30"/>
      <c r="I236" s="29"/>
      <c r="J236" s="28"/>
      <c r="K236" s="28"/>
      <c r="L236" s="31"/>
      <c r="M236" s="28"/>
      <c r="N236" s="31"/>
      <c r="O236" s="31"/>
      <c r="P236" s="31"/>
      <c r="Q236" s="31"/>
      <c r="R236" s="31"/>
      <c r="S236" s="32"/>
      <c r="T236" s="37" t="str">
        <f aca="false">IF(E236="","",E236/StepGoal)</f>
        <v/>
      </c>
      <c r="U236" s="37" t="str">
        <f aca="false">IF(F236="","",F236/SleepGoal)</f>
        <v/>
      </c>
      <c r="V236" s="37" t="str">
        <f aca="false">IF(I236="","",I236/WaterGoal)</f>
        <v/>
      </c>
      <c r="W236" s="37" t="str">
        <f aca="false">IF(COUNT(E236,F236,I236)=0,"",(IF(N(T236)&gt;=1,1,0)+IF(N(U236)&gt;=1,1,0)+IF(N(V236)&gt;=1,1,0))/3)</f>
        <v/>
      </c>
      <c r="X236" s="36" t="n">
        <f aca="false">IF(AND(L236&lt;&gt;"",L236&lt;&gt;"Rest Day"),1,0)</f>
        <v>0</v>
      </c>
      <c r="Y236" s="38" t="n">
        <f aca="false">IF(X236=1,Y235+1,0)</f>
        <v>0</v>
      </c>
      <c r="Z236" s="38" t="n">
        <f aca="false">IF(N(T236)&gt;=1,Z235+1,0)</f>
        <v>0</v>
      </c>
      <c r="AA236" s="38" t="n">
        <f aca="false">IF(N(U236)&gt;=1,AA235+1,0)</f>
        <v>0</v>
      </c>
      <c r="AB236" s="38" t="n">
        <f aca="false">IF(N(V236)&gt;=1,AB235+1,0)</f>
        <v>0</v>
      </c>
      <c r="AC236" s="38" t="str">
        <f aca="false">IF(COUNT(E236,F236,I236,J236)=0,"",ROUND((MIN(IFERROR(E236/StepGoal,0),1)*100)*0.2+(MIN(IFERROR(F236/SleepGoal,0),1)*100)*0.2+(IF(L236="",0,IF(L236="Rest Day",100,MIN(IFERROR(M236/60,0),1)*100)))*0.25+(IFERROR(INDEX('Recovery Tracker'!$E$5:$E$369,MATCH(A236,'Recovery Tracker'!$A$5:$A$369,0))+0,70))*0.15+(MIN(IFERROR(I236/WaterGoal,0),1)*100)*0.1+(IF(J236="",0,MAX(0,100-MIN(ABS(J236-CalorieGoal)/CalorieGoal,1)*100)))*0.1,0))</f>
        <v/>
      </c>
    </row>
    <row r="237" customFormat="false" ht="15" hidden="false" customHeight="false" outlineLevel="0" collapsed="false">
      <c r="A237" s="26" t="n">
        <f aca="false">A236+1</f>
        <v>46255</v>
      </c>
      <c r="B237" s="27" t="str">
        <f aca="false">TEXT(A237,"ddd")</f>
        <v>Fri</v>
      </c>
      <c r="C237" s="27" t="n">
        <f aca="false">INT((A237-StartDate)/7)+1</f>
        <v>34</v>
      </c>
      <c r="D237" s="27" t="str">
        <f aca="false">TEXT(A237,"mmm")</f>
        <v>Aug</v>
      </c>
      <c r="E237" s="28"/>
      <c r="F237" s="29"/>
      <c r="G237" s="29"/>
      <c r="H237" s="30"/>
      <c r="I237" s="29"/>
      <c r="J237" s="28"/>
      <c r="K237" s="28"/>
      <c r="L237" s="31"/>
      <c r="M237" s="28"/>
      <c r="N237" s="31"/>
      <c r="O237" s="31"/>
      <c r="P237" s="31"/>
      <c r="Q237" s="31"/>
      <c r="R237" s="31"/>
      <c r="S237" s="32"/>
      <c r="T237" s="33" t="str">
        <f aca="false">IF(E237="","",E237/StepGoal)</f>
        <v/>
      </c>
      <c r="U237" s="33" t="str">
        <f aca="false">IF(F237="","",F237/SleepGoal)</f>
        <v/>
      </c>
      <c r="V237" s="33" t="str">
        <f aca="false">IF(I237="","",I237/WaterGoal)</f>
        <v/>
      </c>
      <c r="W237" s="33" t="str">
        <f aca="false">IF(COUNT(E237,F237,I237)=0,"",(IF(N(T237)&gt;=1,1,0)+IF(N(U237)&gt;=1,1,0)+IF(N(V237)&gt;=1,1,0))/3)</f>
        <v/>
      </c>
      <c r="X237" s="27" t="n">
        <f aca="false">IF(AND(L237&lt;&gt;"",L237&lt;&gt;"Rest Day"),1,0)</f>
        <v>0</v>
      </c>
      <c r="Y237" s="34" t="n">
        <f aca="false">IF(X237=1,Y236+1,0)</f>
        <v>0</v>
      </c>
      <c r="Z237" s="34" t="n">
        <f aca="false">IF(N(T237)&gt;=1,Z236+1,0)</f>
        <v>0</v>
      </c>
      <c r="AA237" s="34" t="n">
        <f aca="false">IF(N(U237)&gt;=1,AA236+1,0)</f>
        <v>0</v>
      </c>
      <c r="AB237" s="34" t="n">
        <f aca="false">IF(N(V237)&gt;=1,AB236+1,0)</f>
        <v>0</v>
      </c>
      <c r="AC237" s="34" t="str">
        <f aca="false">IF(COUNT(E237,F237,I237,J237)=0,"",ROUND((MIN(IFERROR(E237/StepGoal,0),1)*100)*0.2+(MIN(IFERROR(F237/SleepGoal,0),1)*100)*0.2+(IF(L237="",0,IF(L237="Rest Day",100,MIN(IFERROR(M237/60,0),1)*100)))*0.25+(IFERROR(INDEX('Recovery Tracker'!$E$5:$E$369,MATCH(A237,'Recovery Tracker'!$A$5:$A$369,0))+0,70))*0.15+(MIN(IFERROR(I237/WaterGoal,0),1)*100)*0.1+(IF(J237="",0,MAX(0,100-MIN(ABS(J237-CalorieGoal)/CalorieGoal,1)*100)))*0.1,0))</f>
        <v/>
      </c>
    </row>
    <row r="238" customFormat="false" ht="15" hidden="false" customHeight="false" outlineLevel="0" collapsed="false">
      <c r="A238" s="35" t="n">
        <f aca="false">A237+1</f>
        <v>46256</v>
      </c>
      <c r="B238" s="36" t="str">
        <f aca="false">TEXT(A238,"ddd")</f>
        <v>Sat</v>
      </c>
      <c r="C238" s="36" t="n">
        <f aca="false">INT((A238-StartDate)/7)+1</f>
        <v>34</v>
      </c>
      <c r="D238" s="36" t="str">
        <f aca="false">TEXT(A238,"mmm")</f>
        <v>Aug</v>
      </c>
      <c r="E238" s="28"/>
      <c r="F238" s="29"/>
      <c r="G238" s="29"/>
      <c r="H238" s="30"/>
      <c r="I238" s="29"/>
      <c r="J238" s="28"/>
      <c r="K238" s="28"/>
      <c r="L238" s="31"/>
      <c r="M238" s="28"/>
      <c r="N238" s="31"/>
      <c r="O238" s="31"/>
      <c r="P238" s="31"/>
      <c r="Q238" s="31"/>
      <c r="R238" s="31"/>
      <c r="S238" s="32"/>
      <c r="T238" s="37" t="str">
        <f aca="false">IF(E238="","",E238/StepGoal)</f>
        <v/>
      </c>
      <c r="U238" s="37" t="str">
        <f aca="false">IF(F238="","",F238/SleepGoal)</f>
        <v/>
      </c>
      <c r="V238" s="37" t="str">
        <f aca="false">IF(I238="","",I238/WaterGoal)</f>
        <v/>
      </c>
      <c r="W238" s="37" t="str">
        <f aca="false">IF(COUNT(E238,F238,I238)=0,"",(IF(N(T238)&gt;=1,1,0)+IF(N(U238)&gt;=1,1,0)+IF(N(V238)&gt;=1,1,0))/3)</f>
        <v/>
      </c>
      <c r="X238" s="36" t="n">
        <f aca="false">IF(AND(L238&lt;&gt;"",L238&lt;&gt;"Rest Day"),1,0)</f>
        <v>0</v>
      </c>
      <c r="Y238" s="38" t="n">
        <f aca="false">IF(X238=1,Y237+1,0)</f>
        <v>0</v>
      </c>
      <c r="Z238" s="38" t="n">
        <f aca="false">IF(N(T238)&gt;=1,Z237+1,0)</f>
        <v>0</v>
      </c>
      <c r="AA238" s="38" t="n">
        <f aca="false">IF(N(U238)&gt;=1,AA237+1,0)</f>
        <v>0</v>
      </c>
      <c r="AB238" s="38" t="n">
        <f aca="false">IF(N(V238)&gt;=1,AB237+1,0)</f>
        <v>0</v>
      </c>
      <c r="AC238" s="38" t="str">
        <f aca="false">IF(COUNT(E238,F238,I238,J238)=0,"",ROUND((MIN(IFERROR(E238/StepGoal,0),1)*100)*0.2+(MIN(IFERROR(F238/SleepGoal,0),1)*100)*0.2+(IF(L238="",0,IF(L238="Rest Day",100,MIN(IFERROR(M238/60,0),1)*100)))*0.25+(IFERROR(INDEX('Recovery Tracker'!$E$5:$E$369,MATCH(A238,'Recovery Tracker'!$A$5:$A$369,0))+0,70))*0.15+(MIN(IFERROR(I238/WaterGoal,0),1)*100)*0.1+(IF(J238="",0,MAX(0,100-MIN(ABS(J238-CalorieGoal)/CalorieGoal,1)*100)))*0.1,0))</f>
        <v/>
      </c>
    </row>
    <row r="239" customFormat="false" ht="15" hidden="false" customHeight="false" outlineLevel="0" collapsed="false">
      <c r="A239" s="26" t="n">
        <f aca="false">A238+1</f>
        <v>46257</v>
      </c>
      <c r="B239" s="27" t="str">
        <f aca="false">TEXT(A239,"ddd")</f>
        <v>Sun</v>
      </c>
      <c r="C239" s="27" t="n">
        <f aca="false">INT((A239-StartDate)/7)+1</f>
        <v>34</v>
      </c>
      <c r="D239" s="27" t="str">
        <f aca="false">TEXT(A239,"mmm")</f>
        <v>Aug</v>
      </c>
      <c r="E239" s="28"/>
      <c r="F239" s="29"/>
      <c r="G239" s="29"/>
      <c r="H239" s="30"/>
      <c r="I239" s="29"/>
      <c r="J239" s="28"/>
      <c r="K239" s="28"/>
      <c r="L239" s="31"/>
      <c r="M239" s="28"/>
      <c r="N239" s="31"/>
      <c r="O239" s="31"/>
      <c r="P239" s="31"/>
      <c r="Q239" s="31"/>
      <c r="R239" s="31"/>
      <c r="S239" s="32"/>
      <c r="T239" s="33" t="str">
        <f aca="false">IF(E239="","",E239/StepGoal)</f>
        <v/>
      </c>
      <c r="U239" s="33" t="str">
        <f aca="false">IF(F239="","",F239/SleepGoal)</f>
        <v/>
      </c>
      <c r="V239" s="33" t="str">
        <f aca="false">IF(I239="","",I239/WaterGoal)</f>
        <v/>
      </c>
      <c r="W239" s="33" t="str">
        <f aca="false">IF(COUNT(E239,F239,I239)=0,"",(IF(N(T239)&gt;=1,1,0)+IF(N(U239)&gt;=1,1,0)+IF(N(V239)&gt;=1,1,0))/3)</f>
        <v/>
      </c>
      <c r="X239" s="27" t="n">
        <f aca="false">IF(AND(L239&lt;&gt;"",L239&lt;&gt;"Rest Day"),1,0)</f>
        <v>0</v>
      </c>
      <c r="Y239" s="34" t="n">
        <f aca="false">IF(X239=1,Y238+1,0)</f>
        <v>0</v>
      </c>
      <c r="Z239" s="34" t="n">
        <f aca="false">IF(N(T239)&gt;=1,Z238+1,0)</f>
        <v>0</v>
      </c>
      <c r="AA239" s="34" t="n">
        <f aca="false">IF(N(U239)&gt;=1,AA238+1,0)</f>
        <v>0</v>
      </c>
      <c r="AB239" s="34" t="n">
        <f aca="false">IF(N(V239)&gt;=1,AB238+1,0)</f>
        <v>0</v>
      </c>
      <c r="AC239" s="34" t="str">
        <f aca="false">IF(COUNT(E239,F239,I239,J239)=0,"",ROUND((MIN(IFERROR(E239/StepGoal,0),1)*100)*0.2+(MIN(IFERROR(F239/SleepGoal,0),1)*100)*0.2+(IF(L239="",0,IF(L239="Rest Day",100,MIN(IFERROR(M239/60,0),1)*100)))*0.25+(IFERROR(INDEX('Recovery Tracker'!$E$5:$E$369,MATCH(A239,'Recovery Tracker'!$A$5:$A$369,0))+0,70))*0.15+(MIN(IFERROR(I239/WaterGoal,0),1)*100)*0.1+(IF(J239="",0,MAX(0,100-MIN(ABS(J239-CalorieGoal)/CalorieGoal,1)*100)))*0.1,0))</f>
        <v/>
      </c>
    </row>
    <row r="240" customFormat="false" ht="15" hidden="false" customHeight="false" outlineLevel="0" collapsed="false">
      <c r="A240" s="35" t="n">
        <f aca="false">A239+1</f>
        <v>46258</v>
      </c>
      <c r="B240" s="36" t="str">
        <f aca="false">TEXT(A240,"ddd")</f>
        <v>Mon</v>
      </c>
      <c r="C240" s="36" t="n">
        <f aca="false">INT((A240-StartDate)/7)+1</f>
        <v>34</v>
      </c>
      <c r="D240" s="36" t="str">
        <f aca="false">TEXT(A240,"mmm")</f>
        <v>Aug</v>
      </c>
      <c r="E240" s="28"/>
      <c r="F240" s="29"/>
      <c r="G240" s="29"/>
      <c r="H240" s="30"/>
      <c r="I240" s="29"/>
      <c r="J240" s="28"/>
      <c r="K240" s="28"/>
      <c r="L240" s="31"/>
      <c r="M240" s="28"/>
      <c r="N240" s="31"/>
      <c r="O240" s="31"/>
      <c r="P240" s="31"/>
      <c r="Q240" s="31"/>
      <c r="R240" s="31"/>
      <c r="S240" s="32"/>
      <c r="T240" s="37" t="str">
        <f aca="false">IF(E240="","",E240/StepGoal)</f>
        <v/>
      </c>
      <c r="U240" s="37" t="str">
        <f aca="false">IF(F240="","",F240/SleepGoal)</f>
        <v/>
      </c>
      <c r="V240" s="37" t="str">
        <f aca="false">IF(I240="","",I240/WaterGoal)</f>
        <v/>
      </c>
      <c r="W240" s="37" t="str">
        <f aca="false">IF(COUNT(E240,F240,I240)=0,"",(IF(N(T240)&gt;=1,1,0)+IF(N(U240)&gt;=1,1,0)+IF(N(V240)&gt;=1,1,0))/3)</f>
        <v/>
      </c>
      <c r="X240" s="36" t="n">
        <f aca="false">IF(AND(L240&lt;&gt;"",L240&lt;&gt;"Rest Day"),1,0)</f>
        <v>0</v>
      </c>
      <c r="Y240" s="38" t="n">
        <f aca="false">IF(X240=1,Y239+1,0)</f>
        <v>0</v>
      </c>
      <c r="Z240" s="38" t="n">
        <f aca="false">IF(N(T240)&gt;=1,Z239+1,0)</f>
        <v>0</v>
      </c>
      <c r="AA240" s="38" t="n">
        <f aca="false">IF(N(U240)&gt;=1,AA239+1,0)</f>
        <v>0</v>
      </c>
      <c r="AB240" s="38" t="n">
        <f aca="false">IF(N(V240)&gt;=1,AB239+1,0)</f>
        <v>0</v>
      </c>
      <c r="AC240" s="38" t="str">
        <f aca="false">IF(COUNT(E240,F240,I240,J240)=0,"",ROUND((MIN(IFERROR(E240/StepGoal,0),1)*100)*0.2+(MIN(IFERROR(F240/SleepGoal,0),1)*100)*0.2+(IF(L240="",0,IF(L240="Rest Day",100,MIN(IFERROR(M240/60,0),1)*100)))*0.25+(IFERROR(INDEX('Recovery Tracker'!$E$5:$E$369,MATCH(A240,'Recovery Tracker'!$A$5:$A$369,0))+0,70))*0.15+(MIN(IFERROR(I240/WaterGoal,0),1)*100)*0.1+(IF(J240="",0,MAX(0,100-MIN(ABS(J240-CalorieGoal)/CalorieGoal,1)*100)))*0.1,0))</f>
        <v/>
      </c>
    </row>
    <row r="241" customFormat="false" ht="15" hidden="false" customHeight="false" outlineLevel="0" collapsed="false">
      <c r="A241" s="26" t="n">
        <f aca="false">A240+1</f>
        <v>46259</v>
      </c>
      <c r="B241" s="27" t="str">
        <f aca="false">TEXT(A241,"ddd")</f>
        <v>Tue</v>
      </c>
      <c r="C241" s="27" t="n">
        <f aca="false">INT((A241-StartDate)/7)+1</f>
        <v>34</v>
      </c>
      <c r="D241" s="27" t="str">
        <f aca="false">TEXT(A241,"mmm")</f>
        <v>Aug</v>
      </c>
      <c r="E241" s="28"/>
      <c r="F241" s="29"/>
      <c r="G241" s="29"/>
      <c r="H241" s="30"/>
      <c r="I241" s="29"/>
      <c r="J241" s="28"/>
      <c r="K241" s="28"/>
      <c r="L241" s="31"/>
      <c r="M241" s="28"/>
      <c r="N241" s="31"/>
      <c r="O241" s="31"/>
      <c r="P241" s="31"/>
      <c r="Q241" s="31"/>
      <c r="R241" s="31"/>
      <c r="S241" s="32"/>
      <c r="T241" s="33" t="str">
        <f aca="false">IF(E241="","",E241/StepGoal)</f>
        <v/>
      </c>
      <c r="U241" s="33" t="str">
        <f aca="false">IF(F241="","",F241/SleepGoal)</f>
        <v/>
      </c>
      <c r="V241" s="33" t="str">
        <f aca="false">IF(I241="","",I241/WaterGoal)</f>
        <v/>
      </c>
      <c r="W241" s="33" t="str">
        <f aca="false">IF(COUNT(E241,F241,I241)=0,"",(IF(N(T241)&gt;=1,1,0)+IF(N(U241)&gt;=1,1,0)+IF(N(V241)&gt;=1,1,0))/3)</f>
        <v/>
      </c>
      <c r="X241" s="27" t="n">
        <f aca="false">IF(AND(L241&lt;&gt;"",L241&lt;&gt;"Rest Day"),1,0)</f>
        <v>0</v>
      </c>
      <c r="Y241" s="34" t="n">
        <f aca="false">IF(X241=1,Y240+1,0)</f>
        <v>0</v>
      </c>
      <c r="Z241" s="34" t="n">
        <f aca="false">IF(N(T241)&gt;=1,Z240+1,0)</f>
        <v>0</v>
      </c>
      <c r="AA241" s="34" t="n">
        <f aca="false">IF(N(U241)&gt;=1,AA240+1,0)</f>
        <v>0</v>
      </c>
      <c r="AB241" s="34" t="n">
        <f aca="false">IF(N(V241)&gt;=1,AB240+1,0)</f>
        <v>0</v>
      </c>
      <c r="AC241" s="34" t="str">
        <f aca="false">IF(COUNT(E241,F241,I241,J241)=0,"",ROUND((MIN(IFERROR(E241/StepGoal,0),1)*100)*0.2+(MIN(IFERROR(F241/SleepGoal,0),1)*100)*0.2+(IF(L241="",0,IF(L241="Rest Day",100,MIN(IFERROR(M241/60,0),1)*100)))*0.25+(IFERROR(INDEX('Recovery Tracker'!$E$5:$E$369,MATCH(A241,'Recovery Tracker'!$A$5:$A$369,0))+0,70))*0.15+(MIN(IFERROR(I241/WaterGoal,0),1)*100)*0.1+(IF(J241="",0,MAX(0,100-MIN(ABS(J241-CalorieGoal)/CalorieGoal,1)*100)))*0.1,0))</f>
        <v/>
      </c>
    </row>
    <row r="242" customFormat="false" ht="15" hidden="false" customHeight="false" outlineLevel="0" collapsed="false">
      <c r="A242" s="35" t="n">
        <f aca="false">A241+1</f>
        <v>46260</v>
      </c>
      <c r="B242" s="36" t="str">
        <f aca="false">TEXT(A242,"ddd")</f>
        <v>Wed</v>
      </c>
      <c r="C242" s="36" t="n">
        <f aca="false">INT((A242-StartDate)/7)+1</f>
        <v>34</v>
      </c>
      <c r="D242" s="36" t="str">
        <f aca="false">TEXT(A242,"mmm")</f>
        <v>Aug</v>
      </c>
      <c r="E242" s="28"/>
      <c r="F242" s="29"/>
      <c r="G242" s="29"/>
      <c r="H242" s="30"/>
      <c r="I242" s="29"/>
      <c r="J242" s="28"/>
      <c r="K242" s="28"/>
      <c r="L242" s="31"/>
      <c r="M242" s="28"/>
      <c r="N242" s="31"/>
      <c r="O242" s="31"/>
      <c r="P242" s="31"/>
      <c r="Q242" s="31"/>
      <c r="R242" s="31"/>
      <c r="S242" s="32"/>
      <c r="T242" s="37" t="str">
        <f aca="false">IF(E242="","",E242/StepGoal)</f>
        <v/>
      </c>
      <c r="U242" s="37" t="str">
        <f aca="false">IF(F242="","",F242/SleepGoal)</f>
        <v/>
      </c>
      <c r="V242" s="37" t="str">
        <f aca="false">IF(I242="","",I242/WaterGoal)</f>
        <v/>
      </c>
      <c r="W242" s="37" t="str">
        <f aca="false">IF(COUNT(E242,F242,I242)=0,"",(IF(N(T242)&gt;=1,1,0)+IF(N(U242)&gt;=1,1,0)+IF(N(V242)&gt;=1,1,0))/3)</f>
        <v/>
      </c>
      <c r="X242" s="36" t="n">
        <f aca="false">IF(AND(L242&lt;&gt;"",L242&lt;&gt;"Rest Day"),1,0)</f>
        <v>0</v>
      </c>
      <c r="Y242" s="38" t="n">
        <f aca="false">IF(X242=1,Y241+1,0)</f>
        <v>0</v>
      </c>
      <c r="Z242" s="38" t="n">
        <f aca="false">IF(N(T242)&gt;=1,Z241+1,0)</f>
        <v>0</v>
      </c>
      <c r="AA242" s="38" t="n">
        <f aca="false">IF(N(U242)&gt;=1,AA241+1,0)</f>
        <v>0</v>
      </c>
      <c r="AB242" s="38" t="n">
        <f aca="false">IF(N(V242)&gt;=1,AB241+1,0)</f>
        <v>0</v>
      </c>
      <c r="AC242" s="38" t="str">
        <f aca="false">IF(COUNT(E242,F242,I242,J242)=0,"",ROUND((MIN(IFERROR(E242/StepGoal,0),1)*100)*0.2+(MIN(IFERROR(F242/SleepGoal,0),1)*100)*0.2+(IF(L242="",0,IF(L242="Rest Day",100,MIN(IFERROR(M242/60,0),1)*100)))*0.25+(IFERROR(INDEX('Recovery Tracker'!$E$5:$E$369,MATCH(A242,'Recovery Tracker'!$A$5:$A$369,0))+0,70))*0.15+(MIN(IFERROR(I242/WaterGoal,0),1)*100)*0.1+(IF(J242="",0,MAX(0,100-MIN(ABS(J242-CalorieGoal)/CalorieGoal,1)*100)))*0.1,0))</f>
        <v/>
      </c>
    </row>
    <row r="243" customFormat="false" ht="15" hidden="false" customHeight="false" outlineLevel="0" collapsed="false">
      <c r="A243" s="26" t="n">
        <f aca="false">A242+1</f>
        <v>46261</v>
      </c>
      <c r="B243" s="27" t="str">
        <f aca="false">TEXT(A243,"ddd")</f>
        <v>Thu</v>
      </c>
      <c r="C243" s="27" t="n">
        <f aca="false">INT((A243-StartDate)/7)+1</f>
        <v>35</v>
      </c>
      <c r="D243" s="27" t="str">
        <f aca="false">TEXT(A243,"mmm")</f>
        <v>Aug</v>
      </c>
      <c r="E243" s="28"/>
      <c r="F243" s="29"/>
      <c r="G243" s="29"/>
      <c r="H243" s="30"/>
      <c r="I243" s="29"/>
      <c r="J243" s="28"/>
      <c r="K243" s="28"/>
      <c r="L243" s="31"/>
      <c r="M243" s="28"/>
      <c r="N243" s="31"/>
      <c r="O243" s="31"/>
      <c r="P243" s="31"/>
      <c r="Q243" s="31"/>
      <c r="R243" s="31"/>
      <c r="S243" s="32"/>
      <c r="T243" s="33" t="str">
        <f aca="false">IF(E243="","",E243/StepGoal)</f>
        <v/>
      </c>
      <c r="U243" s="33" t="str">
        <f aca="false">IF(F243="","",F243/SleepGoal)</f>
        <v/>
      </c>
      <c r="V243" s="33" t="str">
        <f aca="false">IF(I243="","",I243/WaterGoal)</f>
        <v/>
      </c>
      <c r="W243" s="33" t="str">
        <f aca="false">IF(COUNT(E243,F243,I243)=0,"",(IF(N(T243)&gt;=1,1,0)+IF(N(U243)&gt;=1,1,0)+IF(N(V243)&gt;=1,1,0))/3)</f>
        <v/>
      </c>
      <c r="X243" s="27" t="n">
        <f aca="false">IF(AND(L243&lt;&gt;"",L243&lt;&gt;"Rest Day"),1,0)</f>
        <v>0</v>
      </c>
      <c r="Y243" s="34" t="n">
        <f aca="false">IF(X243=1,Y242+1,0)</f>
        <v>0</v>
      </c>
      <c r="Z243" s="34" t="n">
        <f aca="false">IF(N(T243)&gt;=1,Z242+1,0)</f>
        <v>0</v>
      </c>
      <c r="AA243" s="34" t="n">
        <f aca="false">IF(N(U243)&gt;=1,AA242+1,0)</f>
        <v>0</v>
      </c>
      <c r="AB243" s="34" t="n">
        <f aca="false">IF(N(V243)&gt;=1,AB242+1,0)</f>
        <v>0</v>
      </c>
      <c r="AC243" s="34" t="str">
        <f aca="false">IF(COUNT(E243,F243,I243,J243)=0,"",ROUND((MIN(IFERROR(E243/StepGoal,0),1)*100)*0.2+(MIN(IFERROR(F243/SleepGoal,0),1)*100)*0.2+(IF(L243="",0,IF(L243="Rest Day",100,MIN(IFERROR(M243/60,0),1)*100)))*0.25+(IFERROR(INDEX('Recovery Tracker'!$E$5:$E$369,MATCH(A243,'Recovery Tracker'!$A$5:$A$369,0))+0,70))*0.15+(MIN(IFERROR(I243/WaterGoal,0),1)*100)*0.1+(IF(J243="",0,MAX(0,100-MIN(ABS(J243-CalorieGoal)/CalorieGoal,1)*100)))*0.1,0))</f>
        <v/>
      </c>
    </row>
    <row r="244" customFormat="false" ht="15" hidden="false" customHeight="false" outlineLevel="0" collapsed="false">
      <c r="A244" s="35" t="n">
        <f aca="false">A243+1</f>
        <v>46262</v>
      </c>
      <c r="B244" s="36" t="str">
        <f aca="false">TEXT(A244,"ddd")</f>
        <v>Fri</v>
      </c>
      <c r="C244" s="36" t="n">
        <f aca="false">INT((A244-StartDate)/7)+1</f>
        <v>35</v>
      </c>
      <c r="D244" s="36" t="str">
        <f aca="false">TEXT(A244,"mmm")</f>
        <v>Aug</v>
      </c>
      <c r="E244" s="28"/>
      <c r="F244" s="29"/>
      <c r="G244" s="29"/>
      <c r="H244" s="30"/>
      <c r="I244" s="29"/>
      <c r="J244" s="28"/>
      <c r="K244" s="28"/>
      <c r="L244" s="31"/>
      <c r="M244" s="28"/>
      <c r="N244" s="31"/>
      <c r="O244" s="31"/>
      <c r="P244" s="31"/>
      <c r="Q244" s="31"/>
      <c r="R244" s="31"/>
      <c r="S244" s="32"/>
      <c r="T244" s="37" t="str">
        <f aca="false">IF(E244="","",E244/StepGoal)</f>
        <v/>
      </c>
      <c r="U244" s="37" t="str">
        <f aca="false">IF(F244="","",F244/SleepGoal)</f>
        <v/>
      </c>
      <c r="V244" s="37" t="str">
        <f aca="false">IF(I244="","",I244/WaterGoal)</f>
        <v/>
      </c>
      <c r="W244" s="37" t="str">
        <f aca="false">IF(COUNT(E244,F244,I244)=0,"",(IF(N(T244)&gt;=1,1,0)+IF(N(U244)&gt;=1,1,0)+IF(N(V244)&gt;=1,1,0))/3)</f>
        <v/>
      </c>
      <c r="X244" s="36" t="n">
        <f aca="false">IF(AND(L244&lt;&gt;"",L244&lt;&gt;"Rest Day"),1,0)</f>
        <v>0</v>
      </c>
      <c r="Y244" s="38" t="n">
        <f aca="false">IF(X244=1,Y243+1,0)</f>
        <v>0</v>
      </c>
      <c r="Z244" s="38" t="n">
        <f aca="false">IF(N(T244)&gt;=1,Z243+1,0)</f>
        <v>0</v>
      </c>
      <c r="AA244" s="38" t="n">
        <f aca="false">IF(N(U244)&gt;=1,AA243+1,0)</f>
        <v>0</v>
      </c>
      <c r="AB244" s="38" t="n">
        <f aca="false">IF(N(V244)&gt;=1,AB243+1,0)</f>
        <v>0</v>
      </c>
      <c r="AC244" s="38" t="str">
        <f aca="false">IF(COUNT(E244,F244,I244,J244)=0,"",ROUND((MIN(IFERROR(E244/StepGoal,0),1)*100)*0.2+(MIN(IFERROR(F244/SleepGoal,0),1)*100)*0.2+(IF(L244="",0,IF(L244="Rest Day",100,MIN(IFERROR(M244/60,0),1)*100)))*0.25+(IFERROR(INDEX('Recovery Tracker'!$E$5:$E$369,MATCH(A244,'Recovery Tracker'!$A$5:$A$369,0))+0,70))*0.15+(MIN(IFERROR(I244/WaterGoal,0),1)*100)*0.1+(IF(J244="",0,MAX(0,100-MIN(ABS(J244-CalorieGoal)/CalorieGoal,1)*100)))*0.1,0))</f>
        <v/>
      </c>
    </row>
    <row r="245" customFormat="false" ht="15" hidden="false" customHeight="false" outlineLevel="0" collapsed="false">
      <c r="A245" s="26" t="n">
        <f aca="false">A244+1</f>
        <v>46263</v>
      </c>
      <c r="B245" s="27" t="str">
        <f aca="false">TEXT(A245,"ddd")</f>
        <v>Sat</v>
      </c>
      <c r="C245" s="27" t="n">
        <f aca="false">INT((A245-StartDate)/7)+1</f>
        <v>35</v>
      </c>
      <c r="D245" s="27" t="str">
        <f aca="false">TEXT(A245,"mmm")</f>
        <v>Aug</v>
      </c>
      <c r="E245" s="28"/>
      <c r="F245" s="29"/>
      <c r="G245" s="29"/>
      <c r="H245" s="30"/>
      <c r="I245" s="29"/>
      <c r="J245" s="28"/>
      <c r="K245" s="28"/>
      <c r="L245" s="31"/>
      <c r="M245" s="28"/>
      <c r="N245" s="31"/>
      <c r="O245" s="31"/>
      <c r="P245" s="31"/>
      <c r="Q245" s="31"/>
      <c r="R245" s="31"/>
      <c r="S245" s="32"/>
      <c r="T245" s="33" t="str">
        <f aca="false">IF(E245="","",E245/StepGoal)</f>
        <v/>
      </c>
      <c r="U245" s="33" t="str">
        <f aca="false">IF(F245="","",F245/SleepGoal)</f>
        <v/>
      </c>
      <c r="V245" s="33" t="str">
        <f aca="false">IF(I245="","",I245/WaterGoal)</f>
        <v/>
      </c>
      <c r="W245" s="33" t="str">
        <f aca="false">IF(COUNT(E245,F245,I245)=0,"",(IF(N(T245)&gt;=1,1,0)+IF(N(U245)&gt;=1,1,0)+IF(N(V245)&gt;=1,1,0))/3)</f>
        <v/>
      </c>
      <c r="X245" s="27" t="n">
        <f aca="false">IF(AND(L245&lt;&gt;"",L245&lt;&gt;"Rest Day"),1,0)</f>
        <v>0</v>
      </c>
      <c r="Y245" s="34" t="n">
        <f aca="false">IF(X245=1,Y244+1,0)</f>
        <v>0</v>
      </c>
      <c r="Z245" s="34" t="n">
        <f aca="false">IF(N(T245)&gt;=1,Z244+1,0)</f>
        <v>0</v>
      </c>
      <c r="AA245" s="34" t="n">
        <f aca="false">IF(N(U245)&gt;=1,AA244+1,0)</f>
        <v>0</v>
      </c>
      <c r="AB245" s="34" t="n">
        <f aca="false">IF(N(V245)&gt;=1,AB244+1,0)</f>
        <v>0</v>
      </c>
      <c r="AC245" s="34" t="str">
        <f aca="false">IF(COUNT(E245,F245,I245,J245)=0,"",ROUND((MIN(IFERROR(E245/StepGoal,0),1)*100)*0.2+(MIN(IFERROR(F245/SleepGoal,0),1)*100)*0.2+(IF(L245="",0,IF(L245="Rest Day",100,MIN(IFERROR(M245/60,0),1)*100)))*0.25+(IFERROR(INDEX('Recovery Tracker'!$E$5:$E$369,MATCH(A245,'Recovery Tracker'!$A$5:$A$369,0))+0,70))*0.15+(MIN(IFERROR(I245/WaterGoal,0),1)*100)*0.1+(IF(J245="",0,MAX(0,100-MIN(ABS(J245-CalorieGoal)/CalorieGoal,1)*100)))*0.1,0))</f>
        <v/>
      </c>
    </row>
    <row r="246" customFormat="false" ht="15" hidden="false" customHeight="false" outlineLevel="0" collapsed="false">
      <c r="A246" s="35" t="n">
        <f aca="false">A245+1</f>
        <v>46264</v>
      </c>
      <c r="B246" s="36" t="str">
        <f aca="false">TEXT(A246,"ddd")</f>
        <v>Sun</v>
      </c>
      <c r="C246" s="36" t="n">
        <f aca="false">INT((A246-StartDate)/7)+1</f>
        <v>35</v>
      </c>
      <c r="D246" s="36" t="str">
        <f aca="false">TEXT(A246,"mmm")</f>
        <v>Aug</v>
      </c>
      <c r="E246" s="28"/>
      <c r="F246" s="29"/>
      <c r="G246" s="29"/>
      <c r="H246" s="30"/>
      <c r="I246" s="29"/>
      <c r="J246" s="28"/>
      <c r="K246" s="28"/>
      <c r="L246" s="31"/>
      <c r="M246" s="28"/>
      <c r="N246" s="31"/>
      <c r="O246" s="31"/>
      <c r="P246" s="31"/>
      <c r="Q246" s="31"/>
      <c r="R246" s="31"/>
      <c r="S246" s="32"/>
      <c r="T246" s="37" t="str">
        <f aca="false">IF(E246="","",E246/StepGoal)</f>
        <v/>
      </c>
      <c r="U246" s="37" t="str">
        <f aca="false">IF(F246="","",F246/SleepGoal)</f>
        <v/>
      </c>
      <c r="V246" s="37" t="str">
        <f aca="false">IF(I246="","",I246/WaterGoal)</f>
        <v/>
      </c>
      <c r="W246" s="37" t="str">
        <f aca="false">IF(COUNT(E246,F246,I246)=0,"",(IF(N(T246)&gt;=1,1,0)+IF(N(U246)&gt;=1,1,0)+IF(N(V246)&gt;=1,1,0))/3)</f>
        <v/>
      </c>
      <c r="X246" s="36" t="n">
        <f aca="false">IF(AND(L246&lt;&gt;"",L246&lt;&gt;"Rest Day"),1,0)</f>
        <v>0</v>
      </c>
      <c r="Y246" s="38" t="n">
        <f aca="false">IF(X246=1,Y245+1,0)</f>
        <v>0</v>
      </c>
      <c r="Z246" s="38" t="n">
        <f aca="false">IF(N(T246)&gt;=1,Z245+1,0)</f>
        <v>0</v>
      </c>
      <c r="AA246" s="38" t="n">
        <f aca="false">IF(N(U246)&gt;=1,AA245+1,0)</f>
        <v>0</v>
      </c>
      <c r="AB246" s="38" t="n">
        <f aca="false">IF(N(V246)&gt;=1,AB245+1,0)</f>
        <v>0</v>
      </c>
      <c r="AC246" s="38" t="str">
        <f aca="false">IF(COUNT(E246,F246,I246,J246)=0,"",ROUND((MIN(IFERROR(E246/StepGoal,0),1)*100)*0.2+(MIN(IFERROR(F246/SleepGoal,0),1)*100)*0.2+(IF(L246="",0,IF(L246="Rest Day",100,MIN(IFERROR(M246/60,0),1)*100)))*0.25+(IFERROR(INDEX('Recovery Tracker'!$E$5:$E$369,MATCH(A246,'Recovery Tracker'!$A$5:$A$369,0))+0,70))*0.15+(MIN(IFERROR(I246/WaterGoal,0),1)*100)*0.1+(IF(J246="",0,MAX(0,100-MIN(ABS(J246-CalorieGoal)/CalorieGoal,1)*100)))*0.1,0))</f>
        <v/>
      </c>
    </row>
    <row r="247" customFormat="false" ht="15" hidden="false" customHeight="false" outlineLevel="0" collapsed="false">
      <c r="A247" s="26" t="n">
        <f aca="false">A246+1</f>
        <v>46265</v>
      </c>
      <c r="B247" s="27" t="str">
        <f aca="false">TEXT(A247,"ddd")</f>
        <v>Mon</v>
      </c>
      <c r="C247" s="27" t="n">
        <f aca="false">INT((A247-StartDate)/7)+1</f>
        <v>35</v>
      </c>
      <c r="D247" s="27" t="str">
        <f aca="false">TEXT(A247,"mmm")</f>
        <v>Aug</v>
      </c>
      <c r="E247" s="28"/>
      <c r="F247" s="29"/>
      <c r="G247" s="29"/>
      <c r="H247" s="30"/>
      <c r="I247" s="29"/>
      <c r="J247" s="28"/>
      <c r="K247" s="28"/>
      <c r="L247" s="31"/>
      <c r="M247" s="28"/>
      <c r="N247" s="31"/>
      <c r="O247" s="31"/>
      <c r="P247" s="31"/>
      <c r="Q247" s="31"/>
      <c r="R247" s="31"/>
      <c r="S247" s="32"/>
      <c r="T247" s="33" t="str">
        <f aca="false">IF(E247="","",E247/StepGoal)</f>
        <v/>
      </c>
      <c r="U247" s="33" t="str">
        <f aca="false">IF(F247="","",F247/SleepGoal)</f>
        <v/>
      </c>
      <c r="V247" s="33" t="str">
        <f aca="false">IF(I247="","",I247/WaterGoal)</f>
        <v/>
      </c>
      <c r="W247" s="33" t="str">
        <f aca="false">IF(COUNT(E247,F247,I247)=0,"",(IF(N(T247)&gt;=1,1,0)+IF(N(U247)&gt;=1,1,0)+IF(N(V247)&gt;=1,1,0))/3)</f>
        <v/>
      </c>
      <c r="X247" s="27" t="n">
        <f aca="false">IF(AND(L247&lt;&gt;"",L247&lt;&gt;"Rest Day"),1,0)</f>
        <v>0</v>
      </c>
      <c r="Y247" s="34" t="n">
        <f aca="false">IF(X247=1,Y246+1,0)</f>
        <v>0</v>
      </c>
      <c r="Z247" s="34" t="n">
        <f aca="false">IF(N(T247)&gt;=1,Z246+1,0)</f>
        <v>0</v>
      </c>
      <c r="AA247" s="34" t="n">
        <f aca="false">IF(N(U247)&gt;=1,AA246+1,0)</f>
        <v>0</v>
      </c>
      <c r="AB247" s="34" t="n">
        <f aca="false">IF(N(V247)&gt;=1,AB246+1,0)</f>
        <v>0</v>
      </c>
      <c r="AC247" s="34" t="str">
        <f aca="false">IF(COUNT(E247,F247,I247,J247)=0,"",ROUND((MIN(IFERROR(E247/StepGoal,0),1)*100)*0.2+(MIN(IFERROR(F247/SleepGoal,0),1)*100)*0.2+(IF(L247="",0,IF(L247="Rest Day",100,MIN(IFERROR(M247/60,0),1)*100)))*0.25+(IFERROR(INDEX('Recovery Tracker'!$E$5:$E$369,MATCH(A247,'Recovery Tracker'!$A$5:$A$369,0))+0,70))*0.15+(MIN(IFERROR(I247/WaterGoal,0),1)*100)*0.1+(IF(J247="",0,MAX(0,100-MIN(ABS(J247-CalorieGoal)/CalorieGoal,1)*100)))*0.1,0))</f>
        <v/>
      </c>
    </row>
    <row r="248" customFormat="false" ht="15" hidden="false" customHeight="false" outlineLevel="0" collapsed="false">
      <c r="A248" s="35" t="n">
        <f aca="false">A247+1</f>
        <v>46266</v>
      </c>
      <c r="B248" s="36" t="str">
        <f aca="false">TEXT(A248,"ddd")</f>
        <v>Tue</v>
      </c>
      <c r="C248" s="36" t="n">
        <f aca="false">INT((A248-StartDate)/7)+1</f>
        <v>35</v>
      </c>
      <c r="D248" s="36" t="str">
        <f aca="false">TEXT(A248,"mmm")</f>
        <v>Sep</v>
      </c>
      <c r="E248" s="28"/>
      <c r="F248" s="29"/>
      <c r="G248" s="29"/>
      <c r="H248" s="30"/>
      <c r="I248" s="29"/>
      <c r="J248" s="28"/>
      <c r="K248" s="28"/>
      <c r="L248" s="31"/>
      <c r="M248" s="28"/>
      <c r="N248" s="31"/>
      <c r="O248" s="31"/>
      <c r="P248" s="31"/>
      <c r="Q248" s="31"/>
      <c r="R248" s="31"/>
      <c r="S248" s="32"/>
      <c r="T248" s="37" t="str">
        <f aca="false">IF(E248="","",E248/StepGoal)</f>
        <v/>
      </c>
      <c r="U248" s="37" t="str">
        <f aca="false">IF(F248="","",F248/SleepGoal)</f>
        <v/>
      </c>
      <c r="V248" s="37" t="str">
        <f aca="false">IF(I248="","",I248/WaterGoal)</f>
        <v/>
      </c>
      <c r="W248" s="37" t="str">
        <f aca="false">IF(COUNT(E248,F248,I248)=0,"",(IF(N(T248)&gt;=1,1,0)+IF(N(U248)&gt;=1,1,0)+IF(N(V248)&gt;=1,1,0))/3)</f>
        <v/>
      </c>
      <c r="X248" s="36" t="n">
        <f aca="false">IF(AND(L248&lt;&gt;"",L248&lt;&gt;"Rest Day"),1,0)</f>
        <v>0</v>
      </c>
      <c r="Y248" s="38" t="n">
        <f aca="false">IF(X248=1,Y247+1,0)</f>
        <v>0</v>
      </c>
      <c r="Z248" s="38" t="n">
        <f aca="false">IF(N(T248)&gt;=1,Z247+1,0)</f>
        <v>0</v>
      </c>
      <c r="AA248" s="38" t="n">
        <f aca="false">IF(N(U248)&gt;=1,AA247+1,0)</f>
        <v>0</v>
      </c>
      <c r="AB248" s="38" t="n">
        <f aca="false">IF(N(V248)&gt;=1,AB247+1,0)</f>
        <v>0</v>
      </c>
      <c r="AC248" s="38" t="str">
        <f aca="false">IF(COUNT(E248,F248,I248,J248)=0,"",ROUND((MIN(IFERROR(E248/StepGoal,0),1)*100)*0.2+(MIN(IFERROR(F248/SleepGoal,0),1)*100)*0.2+(IF(L248="",0,IF(L248="Rest Day",100,MIN(IFERROR(M248/60,0),1)*100)))*0.25+(IFERROR(INDEX('Recovery Tracker'!$E$5:$E$369,MATCH(A248,'Recovery Tracker'!$A$5:$A$369,0))+0,70))*0.15+(MIN(IFERROR(I248/WaterGoal,0),1)*100)*0.1+(IF(J248="",0,MAX(0,100-MIN(ABS(J248-CalorieGoal)/CalorieGoal,1)*100)))*0.1,0))</f>
        <v/>
      </c>
    </row>
    <row r="249" customFormat="false" ht="15" hidden="false" customHeight="false" outlineLevel="0" collapsed="false">
      <c r="A249" s="26" t="n">
        <f aca="false">A248+1</f>
        <v>46267</v>
      </c>
      <c r="B249" s="27" t="str">
        <f aca="false">TEXT(A249,"ddd")</f>
        <v>Wed</v>
      </c>
      <c r="C249" s="27" t="n">
        <f aca="false">INT((A249-StartDate)/7)+1</f>
        <v>35</v>
      </c>
      <c r="D249" s="27" t="str">
        <f aca="false">TEXT(A249,"mmm")</f>
        <v>Sep</v>
      </c>
      <c r="E249" s="28"/>
      <c r="F249" s="29"/>
      <c r="G249" s="29"/>
      <c r="H249" s="30"/>
      <c r="I249" s="29"/>
      <c r="J249" s="28"/>
      <c r="K249" s="28"/>
      <c r="L249" s="31"/>
      <c r="M249" s="28"/>
      <c r="N249" s="31"/>
      <c r="O249" s="31"/>
      <c r="P249" s="31"/>
      <c r="Q249" s="31"/>
      <c r="R249" s="31"/>
      <c r="S249" s="32"/>
      <c r="T249" s="33" t="str">
        <f aca="false">IF(E249="","",E249/StepGoal)</f>
        <v/>
      </c>
      <c r="U249" s="33" t="str">
        <f aca="false">IF(F249="","",F249/SleepGoal)</f>
        <v/>
      </c>
      <c r="V249" s="33" t="str">
        <f aca="false">IF(I249="","",I249/WaterGoal)</f>
        <v/>
      </c>
      <c r="W249" s="33" t="str">
        <f aca="false">IF(COUNT(E249,F249,I249)=0,"",(IF(N(T249)&gt;=1,1,0)+IF(N(U249)&gt;=1,1,0)+IF(N(V249)&gt;=1,1,0))/3)</f>
        <v/>
      </c>
      <c r="X249" s="27" t="n">
        <f aca="false">IF(AND(L249&lt;&gt;"",L249&lt;&gt;"Rest Day"),1,0)</f>
        <v>0</v>
      </c>
      <c r="Y249" s="34" t="n">
        <f aca="false">IF(X249=1,Y248+1,0)</f>
        <v>0</v>
      </c>
      <c r="Z249" s="34" t="n">
        <f aca="false">IF(N(T249)&gt;=1,Z248+1,0)</f>
        <v>0</v>
      </c>
      <c r="AA249" s="34" t="n">
        <f aca="false">IF(N(U249)&gt;=1,AA248+1,0)</f>
        <v>0</v>
      </c>
      <c r="AB249" s="34" t="n">
        <f aca="false">IF(N(V249)&gt;=1,AB248+1,0)</f>
        <v>0</v>
      </c>
      <c r="AC249" s="34" t="str">
        <f aca="false">IF(COUNT(E249,F249,I249,J249)=0,"",ROUND((MIN(IFERROR(E249/StepGoal,0),1)*100)*0.2+(MIN(IFERROR(F249/SleepGoal,0),1)*100)*0.2+(IF(L249="",0,IF(L249="Rest Day",100,MIN(IFERROR(M249/60,0),1)*100)))*0.25+(IFERROR(INDEX('Recovery Tracker'!$E$5:$E$369,MATCH(A249,'Recovery Tracker'!$A$5:$A$369,0))+0,70))*0.15+(MIN(IFERROR(I249/WaterGoal,0),1)*100)*0.1+(IF(J249="",0,MAX(0,100-MIN(ABS(J249-CalorieGoal)/CalorieGoal,1)*100)))*0.1,0))</f>
        <v/>
      </c>
    </row>
    <row r="250" customFormat="false" ht="15" hidden="false" customHeight="false" outlineLevel="0" collapsed="false">
      <c r="A250" s="35" t="n">
        <f aca="false">A249+1</f>
        <v>46268</v>
      </c>
      <c r="B250" s="36" t="str">
        <f aca="false">TEXT(A250,"ddd")</f>
        <v>Thu</v>
      </c>
      <c r="C250" s="36" t="n">
        <f aca="false">INT((A250-StartDate)/7)+1</f>
        <v>36</v>
      </c>
      <c r="D250" s="36" t="str">
        <f aca="false">TEXT(A250,"mmm")</f>
        <v>Sep</v>
      </c>
      <c r="E250" s="28"/>
      <c r="F250" s="29"/>
      <c r="G250" s="29"/>
      <c r="H250" s="30"/>
      <c r="I250" s="29"/>
      <c r="J250" s="28"/>
      <c r="K250" s="28"/>
      <c r="L250" s="31"/>
      <c r="M250" s="28"/>
      <c r="N250" s="31"/>
      <c r="O250" s="31"/>
      <c r="P250" s="31"/>
      <c r="Q250" s="31"/>
      <c r="R250" s="31"/>
      <c r="S250" s="32"/>
      <c r="T250" s="37" t="str">
        <f aca="false">IF(E250="","",E250/StepGoal)</f>
        <v/>
      </c>
      <c r="U250" s="37" t="str">
        <f aca="false">IF(F250="","",F250/SleepGoal)</f>
        <v/>
      </c>
      <c r="V250" s="37" t="str">
        <f aca="false">IF(I250="","",I250/WaterGoal)</f>
        <v/>
      </c>
      <c r="W250" s="37" t="str">
        <f aca="false">IF(COUNT(E250,F250,I250)=0,"",(IF(N(T250)&gt;=1,1,0)+IF(N(U250)&gt;=1,1,0)+IF(N(V250)&gt;=1,1,0))/3)</f>
        <v/>
      </c>
      <c r="X250" s="36" t="n">
        <f aca="false">IF(AND(L250&lt;&gt;"",L250&lt;&gt;"Rest Day"),1,0)</f>
        <v>0</v>
      </c>
      <c r="Y250" s="38" t="n">
        <f aca="false">IF(X250=1,Y249+1,0)</f>
        <v>0</v>
      </c>
      <c r="Z250" s="38" t="n">
        <f aca="false">IF(N(T250)&gt;=1,Z249+1,0)</f>
        <v>0</v>
      </c>
      <c r="AA250" s="38" t="n">
        <f aca="false">IF(N(U250)&gt;=1,AA249+1,0)</f>
        <v>0</v>
      </c>
      <c r="AB250" s="38" t="n">
        <f aca="false">IF(N(V250)&gt;=1,AB249+1,0)</f>
        <v>0</v>
      </c>
      <c r="AC250" s="38" t="str">
        <f aca="false">IF(COUNT(E250,F250,I250,J250)=0,"",ROUND((MIN(IFERROR(E250/StepGoal,0),1)*100)*0.2+(MIN(IFERROR(F250/SleepGoal,0),1)*100)*0.2+(IF(L250="",0,IF(L250="Rest Day",100,MIN(IFERROR(M250/60,0),1)*100)))*0.25+(IFERROR(INDEX('Recovery Tracker'!$E$5:$E$369,MATCH(A250,'Recovery Tracker'!$A$5:$A$369,0))+0,70))*0.15+(MIN(IFERROR(I250/WaterGoal,0),1)*100)*0.1+(IF(J250="",0,MAX(0,100-MIN(ABS(J250-CalorieGoal)/CalorieGoal,1)*100)))*0.1,0))</f>
        <v/>
      </c>
    </row>
    <row r="251" customFormat="false" ht="15" hidden="false" customHeight="false" outlineLevel="0" collapsed="false">
      <c r="A251" s="26" t="n">
        <f aca="false">A250+1</f>
        <v>46269</v>
      </c>
      <c r="B251" s="27" t="str">
        <f aca="false">TEXT(A251,"ddd")</f>
        <v>Fri</v>
      </c>
      <c r="C251" s="27" t="n">
        <f aca="false">INT((A251-StartDate)/7)+1</f>
        <v>36</v>
      </c>
      <c r="D251" s="27" t="str">
        <f aca="false">TEXT(A251,"mmm")</f>
        <v>Sep</v>
      </c>
      <c r="E251" s="28"/>
      <c r="F251" s="29"/>
      <c r="G251" s="29"/>
      <c r="H251" s="30"/>
      <c r="I251" s="29"/>
      <c r="J251" s="28"/>
      <c r="K251" s="28"/>
      <c r="L251" s="31"/>
      <c r="M251" s="28"/>
      <c r="N251" s="31"/>
      <c r="O251" s="31"/>
      <c r="P251" s="31"/>
      <c r="Q251" s="31"/>
      <c r="R251" s="31"/>
      <c r="S251" s="32"/>
      <c r="T251" s="33" t="str">
        <f aca="false">IF(E251="","",E251/StepGoal)</f>
        <v/>
      </c>
      <c r="U251" s="33" t="str">
        <f aca="false">IF(F251="","",F251/SleepGoal)</f>
        <v/>
      </c>
      <c r="V251" s="33" t="str">
        <f aca="false">IF(I251="","",I251/WaterGoal)</f>
        <v/>
      </c>
      <c r="W251" s="33" t="str">
        <f aca="false">IF(COUNT(E251,F251,I251)=0,"",(IF(N(T251)&gt;=1,1,0)+IF(N(U251)&gt;=1,1,0)+IF(N(V251)&gt;=1,1,0))/3)</f>
        <v/>
      </c>
      <c r="X251" s="27" t="n">
        <f aca="false">IF(AND(L251&lt;&gt;"",L251&lt;&gt;"Rest Day"),1,0)</f>
        <v>0</v>
      </c>
      <c r="Y251" s="34" t="n">
        <f aca="false">IF(X251=1,Y250+1,0)</f>
        <v>0</v>
      </c>
      <c r="Z251" s="34" t="n">
        <f aca="false">IF(N(T251)&gt;=1,Z250+1,0)</f>
        <v>0</v>
      </c>
      <c r="AA251" s="34" t="n">
        <f aca="false">IF(N(U251)&gt;=1,AA250+1,0)</f>
        <v>0</v>
      </c>
      <c r="AB251" s="34" t="n">
        <f aca="false">IF(N(V251)&gt;=1,AB250+1,0)</f>
        <v>0</v>
      </c>
      <c r="AC251" s="34" t="str">
        <f aca="false">IF(COUNT(E251,F251,I251,J251)=0,"",ROUND((MIN(IFERROR(E251/StepGoal,0),1)*100)*0.2+(MIN(IFERROR(F251/SleepGoal,0),1)*100)*0.2+(IF(L251="",0,IF(L251="Rest Day",100,MIN(IFERROR(M251/60,0),1)*100)))*0.25+(IFERROR(INDEX('Recovery Tracker'!$E$5:$E$369,MATCH(A251,'Recovery Tracker'!$A$5:$A$369,0))+0,70))*0.15+(MIN(IFERROR(I251/WaterGoal,0),1)*100)*0.1+(IF(J251="",0,MAX(0,100-MIN(ABS(J251-CalorieGoal)/CalorieGoal,1)*100)))*0.1,0))</f>
        <v/>
      </c>
    </row>
    <row r="252" customFormat="false" ht="15" hidden="false" customHeight="false" outlineLevel="0" collapsed="false">
      <c r="A252" s="35" t="n">
        <f aca="false">A251+1</f>
        <v>46270</v>
      </c>
      <c r="B252" s="36" t="str">
        <f aca="false">TEXT(A252,"ddd")</f>
        <v>Sat</v>
      </c>
      <c r="C252" s="36" t="n">
        <f aca="false">INT((A252-StartDate)/7)+1</f>
        <v>36</v>
      </c>
      <c r="D252" s="36" t="str">
        <f aca="false">TEXT(A252,"mmm")</f>
        <v>Sep</v>
      </c>
      <c r="E252" s="28"/>
      <c r="F252" s="29"/>
      <c r="G252" s="29"/>
      <c r="H252" s="30"/>
      <c r="I252" s="29"/>
      <c r="J252" s="28"/>
      <c r="K252" s="28"/>
      <c r="L252" s="31"/>
      <c r="M252" s="28"/>
      <c r="N252" s="31"/>
      <c r="O252" s="31"/>
      <c r="P252" s="31"/>
      <c r="Q252" s="31"/>
      <c r="R252" s="31"/>
      <c r="S252" s="32"/>
      <c r="T252" s="37" t="str">
        <f aca="false">IF(E252="","",E252/StepGoal)</f>
        <v/>
      </c>
      <c r="U252" s="37" t="str">
        <f aca="false">IF(F252="","",F252/SleepGoal)</f>
        <v/>
      </c>
      <c r="V252" s="37" t="str">
        <f aca="false">IF(I252="","",I252/WaterGoal)</f>
        <v/>
      </c>
      <c r="W252" s="37" t="str">
        <f aca="false">IF(COUNT(E252,F252,I252)=0,"",(IF(N(T252)&gt;=1,1,0)+IF(N(U252)&gt;=1,1,0)+IF(N(V252)&gt;=1,1,0))/3)</f>
        <v/>
      </c>
      <c r="X252" s="36" t="n">
        <f aca="false">IF(AND(L252&lt;&gt;"",L252&lt;&gt;"Rest Day"),1,0)</f>
        <v>0</v>
      </c>
      <c r="Y252" s="38" t="n">
        <f aca="false">IF(X252=1,Y251+1,0)</f>
        <v>0</v>
      </c>
      <c r="Z252" s="38" t="n">
        <f aca="false">IF(N(T252)&gt;=1,Z251+1,0)</f>
        <v>0</v>
      </c>
      <c r="AA252" s="38" t="n">
        <f aca="false">IF(N(U252)&gt;=1,AA251+1,0)</f>
        <v>0</v>
      </c>
      <c r="AB252" s="38" t="n">
        <f aca="false">IF(N(V252)&gt;=1,AB251+1,0)</f>
        <v>0</v>
      </c>
      <c r="AC252" s="38" t="str">
        <f aca="false">IF(COUNT(E252,F252,I252,J252)=0,"",ROUND((MIN(IFERROR(E252/StepGoal,0),1)*100)*0.2+(MIN(IFERROR(F252/SleepGoal,0),1)*100)*0.2+(IF(L252="",0,IF(L252="Rest Day",100,MIN(IFERROR(M252/60,0),1)*100)))*0.25+(IFERROR(INDEX('Recovery Tracker'!$E$5:$E$369,MATCH(A252,'Recovery Tracker'!$A$5:$A$369,0))+0,70))*0.15+(MIN(IFERROR(I252/WaterGoal,0),1)*100)*0.1+(IF(J252="",0,MAX(0,100-MIN(ABS(J252-CalorieGoal)/CalorieGoal,1)*100)))*0.1,0))</f>
        <v/>
      </c>
    </row>
    <row r="253" customFormat="false" ht="15" hidden="false" customHeight="false" outlineLevel="0" collapsed="false">
      <c r="A253" s="26" t="n">
        <f aca="false">A252+1</f>
        <v>46271</v>
      </c>
      <c r="B253" s="27" t="str">
        <f aca="false">TEXT(A253,"ddd")</f>
        <v>Sun</v>
      </c>
      <c r="C253" s="27" t="n">
        <f aca="false">INT((A253-StartDate)/7)+1</f>
        <v>36</v>
      </c>
      <c r="D253" s="27" t="str">
        <f aca="false">TEXT(A253,"mmm")</f>
        <v>Sep</v>
      </c>
      <c r="E253" s="28"/>
      <c r="F253" s="29"/>
      <c r="G253" s="29"/>
      <c r="H253" s="30"/>
      <c r="I253" s="29"/>
      <c r="J253" s="28"/>
      <c r="K253" s="28"/>
      <c r="L253" s="31"/>
      <c r="M253" s="28"/>
      <c r="N253" s="31"/>
      <c r="O253" s="31"/>
      <c r="P253" s="31"/>
      <c r="Q253" s="31"/>
      <c r="R253" s="31"/>
      <c r="S253" s="32"/>
      <c r="T253" s="33" t="str">
        <f aca="false">IF(E253="","",E253/StepGoal)</f>
        <v/>
      </c>
      <c r="U253" s="33" t="str">
        <f aca="false">IF(F253="","",F253/SleepGoal)</f>
        <v/>
      </c>
      <c r="V253" s="33" t="str">
        <f aca="false">IF(I253="","",I253/WaterGoal)</f>
        <v/>
      </c>
      <c r="W253" s="33" t="str">
        <f aca="false">IF(COUNT(E253,F253,I253)=0,"",(IF(N(T253)&gt;=1,1,0)+IF(N(U253)&gt;=1,1,0)+IF(N(V253)&gt;=1,1,0))/3)</f>
        <v/>
      </c>
      <c r="X253" s="27" t="n">
        <f aca="false">IF(AND(L253&lt;&gt;"",L253&lt;&gt;"Rest Day"),1,0)</f>
        <v>0</v>
      </c>
      <c r="Y253" s="34" t="n">
        <f aca="false">IF(X253=1,Y252+1,0)</f>
        <v>0</v>
      </c>
      <c r="Z253" s="34" t="n">
        <f aca="false">IF(N(T253)&gt;=1,Z252+1,0)</f>
        <v>0</v>
      </c>
      <c r="AA253" s="34" t="n">
        <f aca="false">IF(N(U253)&gt;=1,AA252+1,0)</f>
        <v>0</v>
      </c>
      <c r="AB253" s="34" t="n">
        <f aca="false">IF(N(V253)&gt;=1,AB252+1,0)</f>
        <v>0</v>
      </c>
      <c r="AC253" s="34" t="str">
        <f aca="false">IF(COUNT(E253,F253,I253,J253)=0,"",ROUND((MIN(IFERROR(E253/StepGoal,0),1)*100)*0.2+(MIN(IFERROR(F253/SleepGoal,0),1)*100)*0.2+(IF(L253="",0,IF(L253="Rest Day",100,MIN(IFERROR(M253/60,0),1)*100)))*0.25+(IFERROR(INDEX('Recovery Tracker'!$E$5:$E$369,MATCH(A253,'Recovery Tracker'!$A$5:$A$369,0))+0,70))*0.15+(MIN(IFERROR(I253/WaterGoal,0),1)*100)*0.1+(IF(J253="",0,MAX(0,100-MIN(ABS(J253-CalorieGoal)/CalorieGoal,1)*100)))*0.1,0))</f>
        <v/>
      </c>
    </row>
    <row r="254" customFormat="false" ht="15" hidden="false" customHeight="false" outlineLevel="0" collapsed="false">
      <c r="A254" s="35" t="n">
        <f aca="false">A253+1</f>
        <v>46272</v>
      </c>
      <c r="B254" s="36" t="str">
        <f aca="false">TEXT(A254,"ddd")</f>
        <v>Mon</v>
      </c>
      <c r="C254" s="36" t="n">
        <f aca="false">INT((A254-StartDate)/7)+1</f>
        <v>36</v>
      </c>
      <c r="D254" s="36" t="str">
        <f aca="false">TEXT(A254,"mmm")</f>
        <v>Sep</v>
      </c>
      <c r="E254" s="28"/>
      <c r="F254" s="29"/>
      <c r="G254" s="29"/>
      <c r="H254" s="30"/>
      <c r="I254" s="29"/>
      <c r="J254" s="28"/>
      <c r="K254" s="28"/>
      <c r="L254" s="31"/>
      <c r="M254" s="28"/>
      <c r="N254" s="31"/>
      <c r="O254" s="31"/>
      <c r="P254" s="31"/>
      <c r="Q254" s="31"/>
      <c r="R254" s="31"/>
      <c r="S254" s="32"/>
      <c r="T254" s="37" t="str">
        <f aca="false">IF(E254="","",E254/StepGoal)</f>
        <v/>
      </c>
      <c r="U254" s="37" t="str">
        <f aca="false">IF(F254="","",F254/SleepGoal)</f>
        <v/>
      </c>
      <c r="V254" s="37" t="str">
        <f aca="false">IF(I254="","",I254/WaterGoal)</f>
        <v/>
      </c>
      <c r="W254" s="37" t="str">
        <f aca="false">IF(COUNT(E254,F254,I254)=0,"",(IF(N(T254)&gt;=1,1,0)+IF(N(U254)&gt;=1,1,0)+IF(N(V254)&gt;=1,1,0))/3)</f>
        <v/>
      </c>
      <c r="X254" s="36" t="n">
        <f aca="false">IF(AND(L254&lt;&gt;"",L254&lt;&gt;"Rest Day"),1,0)</f>
        <v>0</v>
      </c>
      <c r="Y254" s="38" t="n">
        <f aca="false">IF(X254=1,Y253+1,0)</f>
        <v>0</v>
      </c>
      <c r="Z254" s="38" t="n">
        <f aca="false">IF(N(T254)&gt;=1,Z253+1,0)</f>
        <v>0</v>
      </c>
      <c r="AA254" s="38" t="n">
        <f aca="false">IF(N(U254)&gt;=1,AA253+1,0)</f>
        <v>0</v>
      </c>
      <c r="AB254" s="38" t="n">
        <f aca="false">IF(N(V254)&gt;=1,AB253+1,0)</f>
        <v>0</v>
      </c>
      <c r="AC254" s="38" t="str">
        <f aca="false">IF(COUNT(E254,F254,I254,J254)=0,"",ROUND((MIN(IFERROR(E254/StepGoal,0),1)*100)*0.2+(MIN(IFERROR(F254/SleepGoal,0),1)*100)*0.2+(IF(L254="",0,IF(L254="Rest Day",100,MIN(IFERROR(M254/60,0),1)*100)))*0.25+(IFERROR(INDEX('Recovery Tracker'!$E$5:$E$369,MATCH(A254,'Recovery Tracker'!$A$5:$A$369,0))+0,70))*0.15+(MIN(IFERROR(I254/WaterGoal,0),1)*100)*0.1+(IF(J254="",0,MAX(0,100-MIN(ABS(J254-CalorieGoal)/CalorieGoal,1)*100)))*0.1,0))</f>
        <v/>
      </c>
    </row>
    <row r="255" customFormat="false" ht="15" hidden="false" customHeight="false" outlineLevel="0" collapsed="false">
      <c r="A255" s="26" t="n">
        <f aca="false">A254+1</f>
        <v>46273</v>
      </c>
      <c r="B255" s="27" t="str">
        <f aca="false">TEXT(A255,"ddd")</f>
        <v>Tue</v>
      </c>
      <c r="C255" s="27" t="n">
        <f aca="false">INT((A255-StartDate)/7)+1</f>
        <v>36</v>
      </c>
      <c r="D255" s="27" t="str">
        <f aca="false">TEXT(A255,"mmm")</f>
        <v>Sep</v>
      </c>
      <c r="E255" s="28"/>
      <c r="F255" s="29"/>
      <c r="G255" s="29"/>
      <c r="H255" s="30"/>
      <c r="I255" s="29"/>
      <c r="J255" s="28"/>
      <c r="K255" s="28"/>
      <c r="L255" s="31"/>
      <c r="M255" s="28"/>
      <c r="N255" s="31"/>
      <c r="O255" s="31"/>
      <c r="P255" s="31"/>
      <c r="Q255" s="31"/>
      <c r="R255" s="31"/>
      <c r="S255" s="32"/>
      <c r="T255" s="33" t="str">
        <f aca="false">IF(E255="","",E255/StepGoal)</f>
        <v/>
      </c>
      <c r="U255" s="33" t="str">
        <f aca="false">IF(F255="","",F255/SleepGoal)</f>
        <v/>
      </c>
      <c r="V255" s="33" t="str">
        <f aca="false">IF(I255="","",I255/WaterGoal)</f>
        <v/>
      </c>
      <c r="W255" s="33" t="str">
        <f aca="false">IF(COUNT(E255,F255,I255)=0,"",(IF(N(T255)&gt;=1,1,0)+IF(N(U255)&gt;=1,1,0)+IF(N(V255)&gt;=1,1,0))/3)</f>
        <v/>
      </c>
      <c r="X255" s="27" t="n">
        <f aca="false">IF(AND(L255&lt;&gt;"",L255&lt;&gt;"Rest Day"),1,0)</f>
        <v>0</v>
      </c>
      <c r="Y255" s="34" t="n">
        <f aca="false">IF(X255=1,Y254+1,0)</f>
        <v>0</v>
      </c>
      <c r="Z255" s="34" t="n">
        <f aca="false">IF(N(T255)&gt;=1,Z254+1,0)</f>
        <v>0</v>
      </c>
      <c r="AA255" s="34" t="n">
        <f aca="false">IF(N(U255)&gt;=1,AA254+1,0)</f>
        <v>0</v>
      </c>
      <c r="AB255" s="34" t="n">
        <f aca="false">IF(N(V255)&gt;=1,AB254+1,0)</f>
        <v>0</v>
      </c>
      <c r="AC255" s="34" t="str">
        <f aca="false">IF(COUNT(E255,F255,I255,J255)=0,"",ROUND((MIN(IFERROR(E255/StepGoal,0),1)*100)*0.2+(MIN(IFERROR(F255/SleepGoal,0),1)*100)*0.2+(IF(L255="",0,IF(L255="Rest Day",100,MIN(IFERROR(M255/60,0),1)*100)))*0.25+(IFERROR(INDEX('Recovery Tracker'!$E$5:$E$369,MATCH(A255,'Recovery Tracker'!$A$5:$A$369,0))+0,70))*0.15+(MIN(IFERROR(I255/WaterGoal,0),1)*100)*0.1+(IF(J255="",0,MAX(0,100-MIN(ABS(J255-CalorieGoal)/CalorieGoal,1)*100)))*0.1,0))</f>
        <v/>
      </c>
    </row>
    <row r="256" customFormat="false" ht="15" hidden="false" customHeight="false" outlineLevel="0" collapsed="false">
      <c r="A256" s="35" t="n">
        <f aca="false">A255+1</f>
        <v>46274</v>
      </c>
      <c r="B256" s="36" t="str">
        <f aca="false">TEXT(A256,"ddd")</f>
        <v>Wed</v>
      </c>
      <c r="C256" s="36" t="n">
        <f aca="false">INT((A256-StartDate)/7)+1</f>
        <v>36</v>
      </c>
      <c r="D256" s="36" t="str">
        <f aca="false">TEXT(A256,"mmm")</f>
        <v>Sep</v>
      </c>
      <c r="E256" s="28"/>
      <c r="F256" s="29"/>
      <c r="G256" s="29"/>
      <c r="H256" s="30"/>
      <c r="I256" s="29"/>
      <c r="J256" s="28"/>
      <c r="K256" s="28"/>
      <c r="L256" s="31"/>
      <c r="M256" s="28"/>
      <c r="N256" s="31"/>
      <c r="O256" s="31"/>
      <c r="P256" s="31"/>
      <c r="Q256" s="31"/>
      <c r="R256" s="31"/>
      <c r="S256" s="32"/>
      <c r="T256" s="37" t="str">
        <f aca="false">IF(E256="","",E256/StepGoal)</f>
        <v/>
      </c>
      <c r="U256" s="37" t="str">
        <f aca="false">IF(F256="","",F256/SleepGoal)</f>
        <v/>
      </c>
      <c r="V256" s="37" t="str">
        <f aca="false">IF(I256="","",I256/WaterGoal)</f>
        <v/>
      </c>
      <c r="W256" s="37" t="str">
        <f aca="false">IF(COUNT(E256,F256,I256)=0,"",(IF(N(T256)&gt;=1,1,0)+IF(N(U256)&gt;=1,1,0)+IF(N(V256)&gt;=1,1,0))/3)</f>
        <v/>
      </c>
      <c r="X256" s="36" t="n">
        <f aca="false">IF(AND(L256&lt;&gt;"",L256&lt;&gt;"Rest Day"),1,0)</f>
        <v>0</v>
      </c>
      <c r="Y256" s="38" t="n">
        <f aca="false">IF(X256=1,Y255+1,0)</f>
        <v>0</v>
      </c>
      <c r="Z256" s="38" t="n">
        <f aca="false">IF(N(T256)&gt;=1,Z255+1,0)</f>
        <v>0</v>
      </c>
      <c r="AA256" s="38" t="n">
        <f aca="false">IF(N(U256)&gt;=1,AA255+1,0)</f>
        <v>0</v>
      </c>
      <c r="AB256" s="38" t="n">
        <f aca="false">IF(N(V256)&gt;=1,AB255+1,0)</f>
        <v>0</v>
      </c>
      <c r="AC256" s="38" t="str">
        <f aca="false">IF(COUNT(E256,F256,I256,J256)=0,"",ROUND((MIN(IFERROR(E256/StepGoal,0),1)*100)*0.2+(MIN(IFERROR(F256/SleepGoal,0),1)*100)*0.2+(IF(L256="",0,IF(L256="Rest Day",100,MIN(IFERROR(M256/60,0),1)*100)))*0.25+(IFERROR(INDEX('Recovery Tracker'!$E$5:$E$369,MATCH(A256,'Recovery Tracker'!$A$5:$A$369,0))+0,70))*0.15+(MIN(IFERROR(I256/WaterGoal,0),1)*100)*0.1+(IF(J256="",0,MAX(0,100-MIN(ABS(J256-CalorieGoal)/CalorieGoal,1)*100)))*0.1,0))</f>
        <v/>
      </c>
    </row>
    <row r="257" customFormat="false" ht="15" hidden="false" customHeight="false" outlineLevel="0" collapsed="false">
      <c r="A257" s="26" t="n">
        <f aca="false">A256+1</f>
        <v>46275</v>
      </c>
      <c r="B257" s="27" t="str">
        <f aca="false">TEXT(A257,"ddd")</f>
        <v>Thu</v>
      </c>
      <c r="C257" s="27" t="n">
        <f aca="false">INT((A257-StartDate)/7)+1</f>
        <v>37</v>
      </c>
      <c r="D257" s="27" t="str">
        <f aca="false">TEXT(A257,"mmm")</f>
        <v>Sep</v>
      </c>
      <c r="E257" s="28"/>
      <c r="F257" s="29"/>
      <c r="G257" s="29"/>
      <c r="H257" s="30"/>
      <c r="I257" s="29"/>
      <c r="J257" s="28"/>
      <c r="K257" s="28"/>
      <c r="L257" s="31"/>
      <c r="M257" s="28"/>
      <c r="N257" s="31"/>
      <c r="O257" s="31"/>
      <c r="P257" s="31"/>
      <c r="Q257" s="31"/>
      <c r="R257" s="31"/>
      <c r="S257" s="32"/>
      <c r="T257" s="33" t="str">
        <f aca="false">IF(E257="","",E257/StepGoal)</f>
        <v/>
      </c>
      <c r="U257" s="33" t="str">
        <f aca="false">IF(F257="","",F257/SleepGoal)</f>
        <v/>
      </c>
      <c r="V257" s="33" t="str">
        <f aca="false">IF(I257="","",I257/WaterGoal)</f>
        <v/>
      </c>
      <c r="W257" s="33" t="str">
        <f aca="false">IF(COUNT(E257,F257,I257)=0,"",(IF(N(T257)&gt;=1,1,0)+IF(N(U257)&gt;=1,1,0)+IF(N(V257)&gt;=1,1,0))/3)</f>
        <v/>
      </c>
      <c r="X257" s="27" t="n">
        <f aca="false">IF(AND(L257&lt;&gt;"",L257&lt;&gt;"Rest Day"),1,0)</f>
        <v>0</v>
      </c>
      <c r="Y257" s="34" t="n">
        <f aca="false">IF(X257=1,Y256+1,0)</f>
        <v>0</v>
      </c>
      <c r="Z257" s="34" t="n">
        <f aca="false">IF(N(T257)&gt;=1,Z256+1,0)</f>
        <v>0</v>
      </c>
      <c r="AA257" s="34" t="n">
        <f aca="false">IF(N(U257)&gt;=1,AA256+1,0)</f>
        <v>0</v>
      </c>
      <c r="AB257" s="34" t="n">
        <f aca="false">IF(N(V257)&gt;=1,AB256+1,0)</f>
        <v>0</v>
      </c>
      <c r="AC257" s="34" t="str">
        <f aca="false">IF(COUNT(E257,F257,I257,J257)=0,"",ROUND((MIN(IFERROR(E257/StepGoal,0),1)*100)*0.2+(MIN(IFERROR(F257/SleepGoal,0),1)*100)*0.2+(IF(L257="",0,IF(L257="Rest Day",100,MIN(IFERROR(M257/60,0),1)*100)))*0.25+(IFERROR(INDEX('Recovery Tracker'!$E$5:$E$369,MATCH(A257,'Recovery Tracker'!$A$5:$A$369,0))+0,70))*0.15+(MIN(IFERROR(I257/WaterGoal,0),1)*100)*0.1+(IF(J257="",0,MAX(0,100-MIN(ABS(J257-CalorieGoal)/CalorieGoal,1)*100)))*0.1,0))</f>
        <v/>
      </c>
    </row>
    <row r="258" customFormat="false" ht="15" hidden="false" customHeight="false" outlineLevel="0" collapsed="false">
      <c r="A258" s="35" t="n">
        <f aca="false">A257+1</f>
        <v>46276</v>
      </c>
      <c r="B258" s="36" t="str">
        <f aca="false">TEXT(A258,"ddd")</f>
        <v>Fri</v>
      </c>
      <c r="C258" s="36" t="n">
        <f aca="false">INT((A258-StartDate)/7)+1</f>
        <v>37</v>
      </c>
      <c r="D258" s="36" t="str">
        <f aca="false">TEXT(A258,"mmm")</f>
        <v>Sep</v>
      </c>
      <c r="E258" s="28"/>
      <c r="F258" s="29"/>
      <c r="G258" s="29"/>
      <c r="H258" s="30"/>
      <c r="I258" s="29"/>
      <c r="J258" s="28"/>
      <c r="K258" s="28"/>
      <c r="L258" s="31"/>
      <c r="M258" s="28"/>
      <c r="N258" s="31"/>
      <c r="O258" s="31"/>
      <c r="P258" s="31"/>
      <c r="Q258" s="31"/>
      <c r="R258" s="31"/>
      <c r="S258" s="32"/>
      <c r="T258" s="37" t="str">
        <f aca="false">IF(E258="","",E258/StepGoal)</f>
        <v/>
      </c>
      <c r="U258" s="37" t="str">
        <f aca="false">IF(F258="","",F258/SleepGoal)</f>
        <v/>
      </c>
      <c r="V258" s="37" t="str">
        <f aca="false">IF(I258="","",I258/WaterGoal)</f>
        <v/>
      </c>
      <c r="W258" s="37" t="str">
        <f aca="false">IF(COUNT(E258,F258,I258)=0,"",(IF(N(T258)&gt;=1,1,0)+IF(N(U258)&gt;=1,1,0)+IF(N(V258)&gt;=1,1,0))/3)</f>
        <v/>
      </c>
      <c r="X258" s="36" t="n">
        <f aca="false">IF(AND(L258&lt;&gt;"",L258&lt;&gt;"Rest Day"),1,0)</f>
        <v>0</v>
      </c>
      <c r="Y258" s="38" t="n">
        <f aca="false">IF(X258=1,Y257+1,0)</f>
        <v>0</v>
      </c>
      <c r="Z258" s="38" t="n">
        <f aca="false">IF(N(T258)&gt;=1,Z257+1,0)</f>
        <v>0</v>
      </c>
      <c r="AA258" s="38" t="n">
        <f aca="false">IF(N(U258)&gt;=1,AA257+1,0)</f>
        <v>0</v>
      </c>
      <c r="AB258" s="38" t="n">
        <f aca="false">IF(N(V258)&gt;=1,AB257+1,0)</f>
        <v>0</v>
      </c>
      <c r="AC258" s="38" t="str">
        <f aca="false">IF(COUNT(E258,F258,I258,J258)=0,"",ROUND((MIN(IFERROR(E258/StepGoal,0),1)*100)*0.2+(MIN(IFERROR(F258/SleepGoal,0),1)*100)*0.2+(IF(L258="",0,IF(L258="Rest Day",100,MIN(IFERROR(M258/60,0),1)*100)))*0.25+(IFERROR(INDEX('Recovery Tracker'!$E$5:$E$369,MATCH(A258,'Recovery Tracker'!$A$5:$A$369,0))+0,70))*0.15+(MIN(IFERROR(I258/WaterGoal,0),1)*100)*0.1+(IF(J258="",0,MAX(0,100-MIN(ABS(J258-CalorieGoal)/CalorieGoal,1)*100)))*0.1,0))</f>
        <v/>
      </c>
    </row>
    <row r="259" customFormat="false" ht="15" hidden="false" customHeight="false" outlineLevel="0" collapsed="false">
      <c r="A259" s="26" t="n">
        <f aca="false">A258+1</f>
        <v>46277</v>
      </c>
      <c r="B259" s="27" t="str">
        <f aca="false">TEXT(A259,"ddd")</f>
        <v>Sat</v>
      </c>
      <c r="C259" s="27" t="n">
        <f aca="false">INT((A259-StartDate)/7)+1</f>
        <v>37</v>
      </c>
      <c r="D259" s="27" t="str">
        <f aca="false">TEXT(A259,"mmm")</f>
        <v>Sep</v>
      </c>
      <c r="E259" s="28"/>
      <c r="F259" s="29"/>
      <c r="G259" s="29"/>
      <c r="H259" s="30"/>
      <c r="I259" s="29"/>
      <c r="J259" s="28"/>
      <c r="K259" s="28"/>
      <c r="L259" s="31"/>
      <c r="M259" s="28"/>
      <c r="N259" s="31"/>
      <c r="O259" s="31"/>
      <c r="P259" s="31"/>
      <c r="Q259" s="31"/>
      <c r="R259" s="31"/>
      <c r="S259" s="32"/>
      <c r="T259" s="33" t="str">
        <f aca="false">IF(E259="","",E259/StepGoal)</f>
        <v/>
      </c>
      <c r="U259" s="33" t="str">
        <f aca="false">IF(F259="","",F259/SleepGoal)</f>
        <v/>
      </c>
      <c r="V259" s="33" t="str">
        <f aca="false">IF(I259="","",I259/WaterGoal)</f>
        <v/>
      </c>
      <c r="W259" s="33" t="str">
        <f aca="false">IF(COUNT(E259,F259,I259)=0,"",(IF(N(T259)&gt;=1,1,0)+IF(N(U259)&gt;=1,1,0)+IF(N(V259)&gt;=1,1,0))/3)</f>
        <v/>
      </c>
      <c r="X259" s="27" t="n">
        <f aca="false">IF(AND(L259&lt;&gt;"",L259&lt;&gt;"Rest Day"),1,0)</f>
        <v>0</v>
      </c>
      <c r="Y259" s="34" t="n">
        <f aca="false">IF(X259=1,Y258+1,0)</f>
        <v>0</v>
      </c>
      <c r="Z259" s="34" t="n">
        <f aca="false">IF(N(T259)&gt;=1,Z258+1,0)</f>
        <v>0</v>
      </c>
      <c r="AA259" s="34" t="n">
        <f aca="false">IF(N(U259)&gt;=1,AA258+1,0)</f>
        <v>0</v>
      </c>
      <c r="AB259" s="34" t="n">
        <f aca="false">IF(N(V259)&gt;=1,AB258+1,0)</f>
        <v>0</v>
      </c>
      <c r="AC259" s="34" t="str">
        <f aca="false">IF(COUNT(E259,F259,I259,J259)=0,"",ROUND((MIN(IFERROR(E259/StepGoal,0),1)*100)*0.2+(MIN(IFERROR(F259/SleepGoal,0),1)*100)*0.2+(IF(L259="",0,IF(L259="Rest Day",100,MIN(IFERROR(M259/60,0),1)*100)))*0.25+(IFERROR(INDEX('Recovery Tracker'!$E$5:$E$369,MATCH(A259,'Recovery Tracker'!$A$5:$A$369,0))+0,70))*0.15+(MIN(IFERROR(I259/WaterGoal,0),1)*100)*0.1+(IF(J259="",0,MAX(0,100-MIN(ABS(J259-CalorieGoal)/CalorieGoal,1)*100)))*0.1,0))</f>
        <v/>
      </c>
    </row>
    <row r="260" customFormat="false" ht="15" hidden="false" customHeight="false" outlineLevel="0" collapsed="false">
      <c r="A260" s="35" t="n">
        <f aca="false">A259+1</f>
        <v>46278</v>
      </c>
      <c r="B260" s="36" t="str">
        <f aca="false">TEXT(A260,"ddd")</f>
        <v>Sun</v>
      </c>
      <c r="C260" s="36" t="n">
        <f aca="false">INT((A260-StartDate)/7)+1</f>
        <v>37</v>
      </c>
      <c r="D260" s="36" t="str">
        <f aca="false">TEXT(A260,"mmm")</f>
        <v>Sep</v>
      </c>
      <c r="E260" s="28"/>
      <c r="F260" s="29"/>
      <c r="G260" s="29"/>
      <c r="H260" s="30"/>
      <c r="I260" s="29"/>
      <c r="J260" s="28"/>
      <c r="K260" s="28"/>
      <c r="L260" s="31"/>
      <c r="M260" s="28"/>
      <c r="N260" s="31"/>
      <c r="O260" s="31"/>
      <c r="P260" s="31"/>
      <c r="Q260" s="31"/>
      <c r="R260" s="31"/>
      <c r="S260" s="32"/>
      <c r="T260" s="37" t="str">
        <f aca="false">IF(E260="","",E260/StepGoal)</f>
        <v/>
      </c>
      <c r="U260" s="37" t="str">
        <f aca="false">IF(F260="","",F260/SleepGoal)</f>
        <v/>
      </c>
      <c r="V260" s="37" t="str">
        <f aca="false">IF(I260="","",I260/WaterGoal)</f>
        <v/>
      </c>
      <c r="W260" s="37" t="str">
        <f aca="false">IF(COUNT(E260,F260,I260)=0,"",(IF(N(T260)&gt;=1,1,0)+IF(N(U260)&gt;=1,1,0)+IF(N(V260)&gt;=1,1,0))/3)</f>
        <v/>
      </c>
      <c r="X260" s="36" t="n">
        <f aca="false">IF(AND(L260&lt;&gt;"",L260&lt;&gt;"Rest Day"),1,0)</f>
        <v>0</v>
      </c>
      <c r="Y260" s="38" t="n">
        <f aca="false">IF(X260=1,Y259+1,0)</f>
        <v>0</v>
      </c>
      <c r="Z260" s="38" t="n">
        <f aca="false">IF(N(T260)&gt;=1,Z259+1,0)</f>
        <v>0</v>
      </c>
      <c r="AA260" s="38" t="n">
        <f aca="false">IF(N(U260)&gt;=1,AA259+1,0)</f>
        <v>0</v>
      </c>
      <c r="AB260" s="38" t="n">
        <f aca="false">IF(N(V260)&gt;=1,AB259+1,0)</f>
        <v>0</v>
      </c>
      <c r="AC260" s="38" t="str">
        <f aca="false">IF(COUNT(E260,F260,I260,J260)=0,"",ROUND((MIN(IFERROR(E260/StepGoal,0),1)*100)*0.2+(MIN(IFERROR(F260/SleepGoal,0),1)*100)*0.2+(IF(L260="",0,IF(L260="Rest Day",100,MIN(IFERROR(M260/60,0),1)*100)))*0.25+(IFERROR(INDEX('Recovery Tracker'!$E$5:$E$369,MATCH(A260,'Recovery Tracker'!$A$5:$A$369,0))+0,70))*0.15+(MIN(IFERROR(I260/WaterGoal,0),1)*100)*0.1+(IF(J260="",0,MAX(0,100-MIN(ABS(J260-CalorieGoal)/CalorieGoal,1)*100)))*0.1,0))</f>
        <v/>
      </c>
    </row>
    <row r="261" customFormat="false" ht="15" hidden="false" customHeight="false" outlineLevel="0" collapsed="false">
      <c r="A261" s="26" t="n">
        <f aca="false">A260+1</f>
        <v>46279</v>
      </c>
      <c r="B261" s="27" t="str">
        <f aca="false">TEXT(A261,"ddd")</f>
        <v>Mon</v>
      </c>
      <c r="C261" s="27" t="n">
        <f aca="false">INT((A261-StartDate)/7)+1</f>
        <v>37</v>
      </c>
      <c r="D261" s="27" t="str">
        <f aca="false">TEXT(A261,"mmm")</f>
        <v>Sep</v>
      </c>
      <c r="E261" s="28"/>
      <c r="F261" s="29"/>
      <c r="G261" s="29"/>
      <c r="H261" s="30"/>
      <c r="I261" s="29"/>
      <c r="J261" s="28"/>
      <c r="K261" s="28"/>
      <c r="L261" s="31"/>
      <c r="M261" s="28"/>
      <c r="N261" s="31"/>
      <c r="O261" s="31"/>
      <c r="P261" s="31"/>
      <c r="Q261" s="31"/>
      <c r="R261" s="31"/>
      <c r="S261" s="32"/>
      <c r="T261" s="33" t="str">
        <f aca="false">IF(E261="","",E261/StepGoal)</f>
        <v/>
      </c>
      <c r="U261" s="33" t="str">
        <f aca="false">IF(F261="","",F261/SleepGoal)</f>
        <v/>
      </c>
      <c r="V261" s="33" t="str">
        <f aca="false">IF(I261="","",I261/WaterGoal)</f>
        <v/>
      </c>
      <c r="W261" s="33" t="str">
        <f aca="false">IF(COUNT(E261,F261,I261)=0,"",(IF(N(T261)&gt;=1,1,0)+IF(N(U261)&gt;=1,1,0)+IF(N(V261)&gt;=1,1,0))/3)</f>
        <v/>
      </c>
      <c r="X261" s="27" t="n">
        <f aca="false">IF(AND(L261&lt;&gt;"",L261&lt;&gt;"Rest Day"),1,0)</f>
        <v>0</v>
      </c>
      <c r="Y261" s="34" t="n">
        <f aca="false">IF(X261=1,Y260+1,0)</f>
        <v>0</v>
      </c>
      <c r="Z261" s="34" t="n">
        <f aca="false">IF(N(T261)&gt;=1,Z260+1,0)</f>
        <v>0</v>
      </c>
      <c r="AA261" s="34" t="n">
        <f aca="false">IF(N(U261)&gt;=1,AA260+1,0)</f>
        <v>0</v>
      </c>
      <c r="AB261" s="34" t="n">
        <f aca="false">IF(N(V261)&gt;=1,AB260+1,0)</f>
        <v>0</v>
      </c>
      <c r="AC261" s="34" t="str">
        <f aca="false">IF(COUNT(E261,F261,I261,J261)=0,"",ROUND((MIN(IFERROR(E261/StepGoal,0),1)*100)*0.2+(MIN(IFERROR(F261/SleepGoal,0),1)*100)*0.2+(IF(L261="",0,IF(L261="Rest Day",100,MIN(IFERROR(M261/60,0),1)*100)))*0.25+(IFERROR(INDEX('Recovery Tracker'!$E$5:$E$369,MATCH(A261,'Recovery Tracker'!$A$5:$A$369,0))+0,70))*0.15+(MIN(IFERROR(I261/WaterGoal,0),1)*100)*0.1+(IF(J261="",0,MAX(0,100-MIN(ABS(J261-CalorieGoal)/CalorieGoal,1)*100)))*0.1,0))</f>
        <v/>
      </c>
    </row>
    <row r="262" customFormat="false" ht="15" hidden="false" customHeight="false" outlineLevel="0" collapsed="false">
      <c r="A262" s="35" t="n">
        <f aca="false">A261+1</f>
        <v>46280</v>
      </c>
      <c r="B262" s="36" t="str">
        <f aca="false">TEXT(A262,"ddd")</f>
        <v>Tue</v>
      </c>
      <c r="C262" s="36" t="n">
        <f aca="false">INT((A262-StartDate)/7)+1</f>
        <v>37</v>
      </c>
      <c r="D262" s="36" t="str">
        <f aca="false">TEXT(A262,"mmm")</f>
        <v>Sep</v>
      </c>
      <c r="E262" s="28"/>
      <c r="F262" s="29"/>
      <c r="G262" s="29"/>
      <c r="H262" s="30"/>
      <c r="I262" s="29"/>
      <c r="J262" s="28"/>
      <c r="K262" s="28"/>
      <c r="L262" s="31"/>
      <c r="M262" s="28"/>
      <c r="N262" s="31"/>
      <c r="O262" s="31"/>
      <c r="P262" s="31"/>
      <c r="Q262" s="31"/>
      <c r="R262" s="31"/>
      <c r="S262" s="32"/>
      <c r="T262" s="37" t="str">
        <f aca="false">IF(E262="","",E262/StepGoal)</f>
        <v/>
      </c>
      <c r="U262" s="37" t="str">
        <f aca="false">IF(F262="","",F262/SleepGoal)</f>
        <v/>
      </c>
      <c r="V262" s="37" t="str">
        <f aca="false">IF(I262="","",I262/WaterGoal)</f>
        <v/>
      </c>
      <c r="W262" s="37" t="str">
        <f aca="false">IF(COUNT(E262,F262,I262)=0,"",(IF(N(T262)&gt;=1,1,0)+IF(N(U262)&gt;=1,1,0)+IF(N(V262)&gt;=1,1,0))/3)</f>
        <v/>
      </c>
      <c r="X262" s="36" t="n">
        <f aca="false">IF(AND(L262&lt;&gt;"",L262&lt;&gt;"Rest Day"),1,0)</f>
        <v>0</v>
      </c>
      <c r="Y262" s="38" t="n">
        <f aca="false">IF(X262=1,Y261+1,0)</f>
        <v>0</v>
      </c>
      <c r="Z262" s="38" t="n">
        <f aca="false">IF(N(T262)&gt;=1,Z261+1,0)</f>
        <v>0</v>
      </c>
      <c r="AA262" s="38" t="n">
        <f aca="false">IF(N(U262)&gt;=1,AA261+1,0)</f>
        <v>0</v>
      </c>
      <c r="AB262" s="38" t="n">
        <f aca="false">IF(N(V262)&gt;=1,AB261+1,0)</f>
        <v>0</v>
      </c>
      <c r="AC262" s="38" t="str">
        <f aca="false">IF(COUNT(E262,F262,I262,J262)=0,"",ROUND((MIN(IFERROR(E262/StepGoal,0),1)*100)*0.2+(MIN(IFERROR(F262/SleepGoal,0),1)*100)*0.2+(IF(L262="",0,IF(L262="Rest Day",100,MIN(IFERROR(M262/60,0),1)*100)))*0.25+(IFERROR(INDEX('Recovery Tracker'!$E$5:$E$369,MATCH(A262,'Recovery Tracker'!$A$5:$A$369,0))+0,70))*0.15+(MIN(IFERROR(I262/WaterGoal,0),1)*100)*0.1+(IF(J262="",0,MAX(0,100-MIN(ABS(J262-CalorieGoal)/CalorieGoal,1)*100)))*0.1,0))</f>
        <v/>
      </c>
    </row>
    <row r="263" customFormat="false" ht="15" hidden="false" customHeight="false" outlineLevel="0" collapsed="false">
      <c r="A263" s="26" t="n">
        <f aca="false">A262+1</f>
        <v>46281</v>
      </c>
      <c r="B263" s="27" t="str">
        <f aca="false">TEXT(A263,"ddd")</f>
        <v>Wed</v>
      </c>
      <c r="C263" s="27" t="n">
        <f aca="false">INT((A263-StartDate)/7)+1</f>
        <v>37</v>
      </c>
      <c r="D263" s="27" t="str">
        <f aca="false">TEXT(A263,"mmm")</f>
        <v>Sep</v>
      </c>
      <c r="E263" s="28"/>
      <c r="F263" s="29"/>
      <c r="G263" s="29"/>
      <c r="H263" s="30"/>
      <c r="I263" s="29"/>
      <c r="J263" s="28"/>
      <c r="K263" s="28"/>
      <c r="L263" s="31"/>
      <c r="M263" s="28"/>
      <c r="N263" s="31"/>
      <c r="O263" s="31"/>
      <c r="P263" s="31"/>
      <c r="Q263" s="31"/>
      <c r="R263" s="31"/>
      <c r="S263" s="32"/>
      <c r="T263" s="33" t="str">
        <f aca="false">IF(E263="","",E263/StepGoal)</f>
        <v/>
      </c>
      <c r="U263" s="33" t="str">
        <f aca="false">IF(F263="","",F263/SleepGoal)</f>
        <v/>
      </c>
      <c r="V263" s="33" t="str">
        <f aca="false">IF(I263="","",I263/WaterGoal)</f>
        <v/>
      </c>
      <c r="W263" s="33" t="str">
        <f aca="false">IF(COUNT(E263,F263,I263)=0,"",(IF(N(T263)&gt;=1,1,0)+IF(N(U263)&gt;=1,1,0)+IF(N(V263)&gt;=1,1,0))/3)</f>
        <v/>
      </c>
      <c r="X263" s="27" t="n">
        <f aca="false">IF(AND(L263&lt;&gt;"",L263&lt;&gt;"Rest Day"),1,0)</f>
        <v>0</v>
      </c>
      <c r="Y263" s="34" t="n">
        <f aca="false">IF(X263=1,Y262+1,0)</f>
        <v>0</v>
      </c>
      <c r="Z263" s="34" t="n">
        <f aca="false">IF(N(T263)&gt;=1,Z262+1,0)</f>
        <v>0</v>
      </c>
      <c r="AA263" s="34" t="n">
        <f aca="false">IF(N(U263)&gt;=1,AA262+1,0)</f>
        <v>0</v>
      </c>
      <c r="AB263" s="34" t="n">
        <f aca="false">IF(N(V263)&gt;=1,AB262+1,0)</f>
        <v>0</v>
      </c>
      <c r="AC263" s="34" t="str">
        <f aca="false">IF(COUNT(E263,F263,I263,J263)=0,"",ROUND((MIN(IFERROR(E263/StepGoal,0),1)*100)*0.2+(MIN(IFERROR(F263/SleepGoal,0),1)*100)*0.2+(IF(L263="",0,IF(L263="Rest Day",100,MIN(IFERROR(M263/60,0),1)*100)))*0.25+(IFERROR(INDEX('Recovery Tracker'!$E$5:$E$369,MATCH(A263,'Recovery Tracker'!$A$5:$A$369,0))+0,70))*0.15+(MIN(IFERROR(I263/WaterGoal,0),1)*100)*0.1+(IF(J263="",0,MAX(0,100-MIN(ABS(J263-CalorieGoal)/CalorieGoal,1)*100)))*0.1,0))</f>
        <v/>
      </c>
    </row>
    <row r="264" customFormat="false" ht="15" hidden="false" customHeight="false" outlineLevel="0" collapsed="false">
      <c r="A264" s="35" t="n">
        <f aca="false">A263+1</f>
        <v>46282</v>
      </c>
      <c r="B264" s="36" t="str">
        <f aca="false">TEXT(A264,"ddd")</f>
        <v>Thu</v>
      </c>
      <c r="C264" s="36" t="n">
        <f aca="false">INT((A264-StartDate)/7)+1</f>
        <v>38</v>
      </c>
      <c r="D264" s="36" t="str">
        <f aca="false">TEXT(A264,"mmm")</f>
        <v>Sep</v>
      </c>
      <c r="E264" s="28"/>
      <c r="F264" s="29"/>
      <c r="G264" s="29"/>
      <c r="H264" s="30"/>
      <c r="I264" s="29"/>
      <c r="J264" s="28"/>
      <c r="K264" s="28"/>
      <c r="L264" s="31"/>
      <c r="M264" s="28"/>
      <c r="N264" s="31"/>
      <c r="O264" s="31"/>
      <c r="P264" s="31"/>
      <c r="Q264" s="31"/>
      <c r="R264" s="31"/>
      <c r="S264" s="32"/>
      <c r="T264" s="37" t="str">
        <f aca="false">IF(E264="","",E264/StepGoal)</f>
        <v/>
      </c>
      <c r="U264" s="37" t="str">
        <f aca="false">IF(F264="","",F264/SleepGoal)</f>
        <v/>
      </c>
      <c r="V264" s="37" t="str">
        <f aca="false">IF(I264="","",I264/WaterGoal)</f>
        <v/>
      </c>
      <c r="W264" s="37" t="str">
        <f aca="false">IF(COUNT(E264,F264,I264)=0,"",(IF(N(T264)&gt;=1,1,0)+IF(N(U264)&gt;=1,1,0)+IF(N(V264)&gt;=1,1,0))/3)</f>
        <v/>
      </c>
      <c r="X264" s="36" t="n">
        <f aca="false">IF(AND(L264&lt;&gt;"",L264&lt;&gt;"Rest Day"),1,0)</f>
        <v>0</v>
      </c>
      <c r="Y264" s="38" t="n">
        <f aca="false">IF(X264=1,Y263+1,0)</f>
        <v>0</v>
      </c>
      <c r="Z264" s="38" t="n">
        <f aca="false">IF(N(T264)&gt;=1,Z263+1,0)</f>
        <v>0</v>
      </c>
      <c r="AA264" s="38" t="n">
        <f aca="false">IF(N(U264)&gt;=1,AA263+1,0)</f>
        <v>0</v>
      </c>
      <c r="AB264" s="38" t="n">
        <f aca="false">IF(N(V264)&gt;=1,AB263+1,0)</f>
        <v>0</v>
      </c>
      <c r="AC264" s="38" t="str">
        <f aca="false">IF(COUNT(E264,F264,I264,J264)=0,"",ROUND((MIN(IFERROR(E264/StepGoal,0),1)*100)*0.2+(MIN(IFERROR(F264/SleepGoal,0),1)*100)*0.2+(IF(L264="",0,IF(L264="Rest Day",100,MIN(IFERROR(M264/60,0),1)*100)))*0.25+(IFERROR(INDEX('Recovery Tracker'!$E$5:$E$369,MATCH(A264,'Recovery Tracker'!$A$5:$A$369,0))+0,70))*0.15+(MIN(IFERROR(I264/WaterGoal,0),1)*100)*0.1+(IF(J264="",0,MAX(0,100-MIN(ABS(J264-CalorieGoal)/CalorieGoal,1)*100)))*0.1,0))</f>
        <v/>
      </c>
    </row>
    <row r="265" customFormat="false" ht="15" hidden="false" customHeight="false" outlineLevel="0" collapsed="false">
      <c r="A265" s="26" t="n">
        <f aca="false">A264+1</f>
        <v>46283</v>
      </c>
      <c r="B265" s="27" t="str">
        <f aca="false">TEXT(A265,"ddd")</f>
        <v>Fri</v>
      </c>
      <c r="C265" s="27" t="n">
        <f aca="false">INT((A265-StartDate)/7)+1</f>
        <v>38</v>
      </c>
      <c r="D265" s="27" t="str">
        <f aca="false">TEXT(A265,"mmm")</f>
        <v>Sep</v>
      </c>
      <c r="E265" s="28"/>
      <c r="F265" s="29"/>
      <c r="G265" s="29"/>
      <c r="H265" s="30"/>
      <c r="I265" s="29"/>
      <c r="J265" s="28"/>
      <c r="K265" s="28"/>
      <c r="L265" s="31"/>
      <c r="M265" s="28"/>
      <c r="N265" s="31"/>
      <c r="O265" s="31"/>
      <c r="P265" s="31"/>
      <c r="Q265" s="31"/>
      <c r="R265" s="31"/>
      <c r="S265" s="32"/>
      <c r="T265" s="33" t="str">
        <f aca="false">IF(E265="","",E265/StepGoal)</f>
        <v/>
      </c>
      <c r="U265" s="33" t="str">
        <f aca="false">IF(F265="","",F265/SleepGoal)</f>
        <v/>
      </c>
      <c r="V265" s="33" t="str">
        <f aca="false">IF(I265="","",I265/WaterGoal)</f>
        <v/>
      </c>
      <c r="W265" s="33" t="str">
        <f aca="false">IF(COUNT(E265,F265,I265)=0,"",(IF(N(T265)&gt;=1,1,0)+IF(N(U265)&gt;=1,1,0)+IF(N(V265)&gt;=1,1,0))/3)</f>
        <v/>
      </c>
      <c r="X265" s="27" t="n">
        <f aca="false">IF(AND(L265&lt;&gt;"",L265&lt;&gt;"Rest Day"),1,0)</f>
        <v>0</v>
      </c>
      <c r="Y265" s="34" t="n">
        <f aca="false">IF(X265=1,Y264+1,0)</f>
        <v>0</v>
      </c>
      <c r="Z265" s="34" t="n">
        <f aca="false">IF(N(T265)&gt;=1,Z264+1,0)</f>
        <v>0</v>
      </c>
      <c r="AA265" s="34" t="n">
        <f aca="false">IF(N(U265)&gt;=1,AA264+1,0)</f>
        <v>0</v>
      </c>
      <c r="AB265" s="34" t="n">
        <f aca="false">IF(N(V265)&gt;=1,AB264+1,0)</f>
        <v>0</v>
      </c>
      <c r="AC265" s="34" t="str">
        <f aca="false">IF(COUNT(E265,F265,I265,J265)=0,"",ROUND((MIN(IFERROR(E265/StepGoal,0),1)*100)*0.2+(MIN(IFERROR(F265/SleepGoal,0),1)*100)*0.2+(IF(L265="",0,IF(L265="Rest Day",100,MIN(IFERROR(M265/60,0),1)*100)))*0.25+(IFERROR(INDEX('Recovery Tracker'!$E$5:$E$369,MATCH(A265,'Recovery Tracker'!$A$5:$A$369,0))+0,70))*0.15+(MIN(IFERROR(I265/WaterGoal,0),1)*100)*0.1+(IF(J265="",0,MAX(0,100-MIN(ABS(J265-CalorieGoal)/CalorieGoal,1)*100)))*0.1,0))</f>
        <v/>
      </c>
    </row>
    <row r="266" customFormat="false" ht="15" hidden="false" customHeight="false" outlineLevel="0" collapsed="false">
      <c r="A266" s="35" t="n">
        <f aca="false">A265+1</f>
        <v>46284</v>
      </c>
      <c r="B266" s="36" t="str">
        <f aca="false">TEXT(A266,"ddd")</f>
        <v>Sat</v>
      </c>
      <c r="C266" s="36" t="n">
        <f aca="false">INT((A266-StartDate)/7)+1</f>
        <v>38</v>
      </c>
      <c r="D266" s="36" t="str">
        <f aca="false">TEXT(A266,"mmm")</f>
        <v>Sep</v>
      </c>
      <c r="E266" s="28"/>
      <c r="F266" s="29"/>
      <c r="G266" s="29"/>
      <c r="H266" s="30"/>
      <c r="I266" s="29"/>
      <c r="J266" s="28"/>
      <c r="K266" s="28"/>
      <c r="L266" s="31"/>
      <c r="M266" s="28"/>
      <c r="N266" s="31"/>
      <c r="O266" s="31"/>
      <c r="P266" s="31"/>
      <c r="Q266" s="31"/>
      <c r="R266" s="31"/>
      <c r="S266" s="32"/>
      <c r="T266" s="37" t="str">
        <f aca="false">IF(E266="","",E266/StepGoal)</f>
        <v/>
      </c>
      <c r="U266" s="37" t="str">
        <f aca="false">IF(F266="","",F266/SleepGoal)</f>
        <v/>
      </c>
      <c r="V266" s="37" t="str">
        <f aca="false">IF(I266="","",I266/WaterGoal)</f>
        <v/>
      </c>
      <c r="W266" s="37" t="str">
        <f aca="false">IF(COUNT(E266,F266,I266)=0,"",(IF(N(T266)&gt;=1,1,0)+IF(N(U266)&gt;=1,1,0)+IF(N(V266)&gt;=1,1,0))/3)</f>
        <v/>
      </c>
      <c r="X266" s="36" t="n">
        <f aca="false">IF(AND(L266&lt;&gt;"",L266&lt;&gt;"Rest Day"),1,0)</f>
        <v>0</v>
      </c>
      <c r="Y266" s="38" t="n">
        <f aca="false">IF(X266=1,Y265+1,0)</f>
        <v>0</v>
      </c>
      <c r="Z266" s="38" t="n">
        <f aca="false">IF(N(T266)&gt;=1,Z265+1,0)</f>
        <v>0</v>
      </c>
      <c r="AA266" s="38" t="n">
        <f aca="false">IF(N(U266)&gt;=1,AA265+1,0)</f>
        <v>0</v>
      </c>
      <c r="AB266" s="38" t="n">
        <f aca="false">IF(N(V266)&gt;=1,AB265+1,0)</f>
        <v>0</v>
      </c>
      <c r="AC266" s="38" t="str">
        <f aca="false">IF(COUNT(E266,F266,I266,J266)=0,"",ROUND((MIN(IFERROR(E266/StepGoal,0),1)*100)*0.2+(MIN(IFERROR(F266/SleepGoal,0),1)*100)*0.2+(IF(L266="",0,IF(L266="Rest Day",100,MIN(IFERROR(M266/60,0),1)*100)))*0.25+(IFERROR(INDEX('Recovery Tracker'!$E$5:$E$369,MATCH(A266,'Recovery Tracker'!$A$5:$A$369,0))+0,70))*0.15+(MIN(IFERROR(I266/WaterGoal,0),1)*100)*0.1+(IF(J266="",0,MAX(0,100-MIN(ABS(J266-CalorieGoal)/CalorieGoal,1)*100)))*0.1,0))</f>
        <v/>
      </c>
    </row>
    <row r="267" customFormat="false" ht="15" hidden="false" customHeight="false" outlineLevel="0" collapsed="false">
      <c r="A267" s="26" t="n">
        <f aca="false">A266+1</f>
        <v>46285</v>
      </c>
      <c r="B267" s="27" t="str">
        <f aca="false">TEXT(A267,"ddd")</f>
        <v>Sun</v>
      </c>
      <c r="C267" s="27" t="n">
        <f aca="false">INT((A267-StartDate)/7)+1</f>
        <v>38</v>
      </c>
      <c r="D267" s="27" t="str">
        <f aca="false">TEXT(A267,"mmm")</f>
        <v>Sep</v>
      </c>
      <c r="E267" s="28"/>
      <c r="F267" s="29"/>
      <c r="G267" s="29"/>
      <c r="H267" s="30"/>
      <c r="I267" s="29"/>
      <c r="J267" s="28"/>
      <c r="K267" s="28"/>
      <c r="L267" s="31"/>
      <c r="M267" s="28"/>
      <c r="N267" s="31"/>
      <c r="O267" s="31"/>
      <c r="P267" s="31"/>
      <c r="Q267" s="31"/>
      <c r="R267" s="31"/>
      <c r="S267" s="32"/>
      <c r="T267" s="33" t="str">
        <f aca="false">IF(E267="","",E267/StepGoal)</f>
        <v/>
      </c>
      <c r="U267" s="33" t="str">
        <f aca="false">IF(F267="","",F267/SleepGoal)</f>
        <v/>
      </c>
      <c r="V267" s="33" t="str">
        <f aca="false">IF(I267="","",I267/WaterGoal)</f>
        <v/>
      </c>
      <c r="W267" s="33" t="str">
        <f aca="false">IF(COUNT(E267,F267,I267)=0,"",(IF(N(T267)&gt;=1,1,0)+IF(N(U267)&gt;=1,1,0)+IF(N(V267)&gt;=1,1,0))/3)</f>
        <v/>
      </c>
      <c r="X267" s="27" t="n">
        <f aca="false">IF(AND(L267&lt;&gt;"",L267&lt;&gt;"Rest Day"),1,0)</f>
        <v>0</v>
      </c>
      <c r="Y267" s="34" t="n">
        <f aca="false">IF(X267=1,Y266+1,0)</f>
        <v>0</v>
      </c>
      <c r="Z267" s="34" t="n">
        <f aca="false">IF(N(T267)&gt;=1,Z266+1,0)</f>
        <v>0</v>
      </c>
      <c r="AA267" s="34" t="n">
        <f aca="false">IF(N(U267)&gt;=1,AA266+1,0)</f>
        <v>0</v>
      </c>
      <c r="AB267" s="34" t="n">
        <f aca="false">IF(N(V267)&gt;=1,AB266+1,0)</f>
        <v>0</v>
      </c>
      <c r="AC267" s="34" t="str">
        <f aca="false">IF(COUNT(E267,F267,I267,J267)=0,"",ROUND((MIN(IFERROR(E267/StepGoal,0),1)*100)*0.2+(MIN(IFERROR(F267/SleepGoal,0),1)*100)*0.2+(IF(L267="",0,IF(L267="Rest Day",100,MIN(IFERROR(M267/60,0),1)*100)))*0.25+(IFERROR(INDEX('Recovery Tracker'!$E$5:$E$369,MATCH(A267,'Recovery Tracker'!$A$5:$A$369,0))+0,70))*0.15+(MIN(IFERROR(I267/WaterGoal,0),1)*100)*0.1+(IF(J267="",0,MAX(0,100-MIN(ABS(J267-CalorieGoal)/CalorieGoal,1)*100)))*0.1,0))</f>
        <v/>
      </c>
    </row>
    <row r="268" customFormat="false" ht="15" hidden="false" customHeight="false" outlineLevel="0" collapsed="false">
      <c r="A268" s="35" t="n">
        <f aca="false">A267+1</f>
        <v>46286</v>
      </c>
      <c r="B268" s="36" t="str">
        <f aca="false">TEXT(A268,"ddd")</f>
        <v>Mon</v>
      </c>
      <c r="C268" s="36" t="n">
        <f aca="false">INT((A268-StartDate)/7)+1</f>
        <v>38</v>
      </c>
      <c r="D268" s="36" t="str">
        <f aca="false">TEXT(A268,"mmm")</f>
        <v>Sep</v>
      </c>
      <c r="E268" s="28"/>
      <c r="F268" s="29"/>
      <c r="G268" s="29"/>
      <c r="H268" s="30"/>
      <c r="I268" s="29"/>
      <c r="J268" s="28"/>
      <c r="K268" s="28"/>
      <c r="L268" s="31"/>
      <c r="M268" s="28"/>
      <c r="N268" s="31"/>
      <c r="O268" s="31"/>
      <c r="P268" s="31"/>
      <c r="Q268" s="31"/>
      <c r="R268" s="31"/>
      <c r="S268" s="32"/>
      <c r="T268" s="37" t="str">
        <f aca="false">IF(E268="","",E268/StepGoal)</f>
        <v/>
      </c>
      <c r="U268" s="37" t="str">
        <f aca="false">IF(F268="","",F268/SleepGoal)</f>
        <v/>
      </c>
      <c r="V268" s="37" t="str">
        <f aca="false">IF(I268="","",I268/WaterGoal)</f>
        <v/>
      </c>
      <c r="W268" s="37" t="str">
        <f aca="false">IF(COUNT(E268,F268,I268)=0,"",(IF(N(T268)&gt;=1,1,0)+IF(N(U268)&gt;=1,1,0)+IF(N(V268)&gt;=1,1,0))/3)</f>
        <v/>
      </c>
      <c r="X268" s="36" t="n">
        <f aca="false">IF(AND(L268&lt;&gt;"",L268&lt;&gt;"Rest Day"),1,0)</f>
        <v>0</v>
      </c>
      <c r="Y268" s="38" t="n">
        <f aca="false">IF(X268=1,Y267+1,0)</f>
        <v>0</v>
      </c>
      <c r="Z268" s="38" t="n">
        <f aca="false">IF(N(T268)&gt;=1,Z267+1,0)</f>
        <v>0</v>
      </c>
      <c r="AA268" s="38" t="n">
        <f aca="false">IF(N(U268)&gt;=1,AA267+1,0)</f>
        <v>0</v>
      </c>
      <c r="AB268" s="38" t="n">
        <f aca="false">IF(N(V268)&gt;=1,AB267+1,0)</f>
        <v>0</v>
      </c>
      <c r="AC268" s="38" t="str">
        <f aca="false">IF(COUNT(E268,F268,I268,J268)=0,"",ROUND((MIN(IFERROR(E268/StepGoal,0),1)*100)*0.2+(MIN(IFERROR(F268/SleepGoal,0),1)*100)*0.2+(IF(L268="",0,IF(L268="Rest Day",100,MIN(IFERROR(M268/60,0),1)*100)))*0.25+(IFERROR(INDEX('Recovery Tracker'!$E$5:$E$369,MATCH(A268,'Recovery Tracker'!$A$5:$A$369,0))+0,70))*0.15+(MIN(IFERROR(I268/WaterGoal,0),1)*100)*0.1+(IF(J268="",0,MAX(0,100-MIN(ABS(J268-CalorieGoal)/CalorieGoal,1)*100)))*0.1,0))</f>
        <v/>
      </c>
    </row>
    <row r="269" customFormat="false" ht="15" hidden="false" customHeight="false" outlineLevel="0" collapsed="false">
      <c r="A269" s="26" t="n">
        <f aca="false">A268+1</f>
        <v>46287</v>
      </c>
      <c r="B269" s="27" t="str">
        <f aca="false">TEXT(A269,"ddd")</f>
        <v>Tue</v>
      </c>
      <c r="C269" s="27" t="n">
        <f aca="false">INT((A269-StartDate)/7)+1</f>
        <v>38</v>
      </c>
      <c r="D269" s="27" t="str">
        <f aca="false">TEXT(A269,"mmm")</f>
        <v>Sep</v>
      </c>
      <c r="E269" s="28"/>
      <c r="F269" s="29"/>
      <c r="G269" s="29"/>
      <c r="H269" s="30"/>
      <c r="I269" s="29"/>
      <c r="J269" s="28"/>
      <c r="K269" s="28"/>
      <c r="L269" s="31"/>
      <c r="M269" s="28"/>
      <c r="N269" s="31"/>
      <c r="O269" s="31"/>
      <c r="P269" s="31"/>
      <c r="Q269" s="31"/>
      <c r="R269" s="31"/>
      <c r="S269" s="32"/>
      <c r="T269" s="33" t="str">
        <f aca="false">IF(E269="","",E269/StepGoal)</f>
        <v/>
      </c>
      <c r="U269" s="33" t="str">
        <f aca="false">IF(F269="","",F269/SleepGoal)</f>
        <v/>
      </c>
      <c r="V269" s="33" t="str">
        <f aca="false">IF(I269="","",I269/WaterGoal)</f>
        <v/>
      </c>
      <c r="W269" s="33" t="str">
        <f aca="false">IF(COUNT(E269,F269,I269)=0,"",(IF(N(T269)&gt;=1,1,0)+IF(N(U269)&gt;=1,1,0)+IF(N(V269)&gt;=1,1,0))/3)</f>
        <v/>
      </c>
      <c r="X269" s="27" t="n">
        <f aca="false">IF(AND(L269&lt;&gt;"",L269&lt;&gt;"Rest Day"),1,0)</f>
        <v>0</v>
      </c>
      <c r="Y269" s="34" t="n">
        <f aca="false">IF(X269=1,Y268+1,0)</f>
        <v>0</v>
      </c>
      <c r="Z269" s="34" t="n">
        <f aca="false">IF(N(T269)&gt;=1,Z268+1,0)</f>
        <v>0</v>
      </c>
      <c r="AA269" s="34" t="n">
        <f aca="false">IF(N(U269)&gt;=1,AA268+1,0)</f>
        <v>0</v>
      </c>
      <c r="AB269" s="34" t="n">
        <f aca="false">IF(N(V269)&gt;=1,AB268+1,0)</f>
        <v>0</v>
      </c>
      <c r="AC269" s="34" t="str">
        <f aca="false">IF(COUNT(E269,F269,I269,J269)=0,"",ROUND((MIN(IFERROR(E269/StepGoal,0),1)*100)*0.2+(MIN(IFERROR(F269/SleepGoal,0),1)*100)*0.2+(IF(L269="",0,IF(L269="Rest Day",100,MIN(IFERROR(M269/60,0),1)*100)))*0.25+(IFERROR(INDEX('Recovery Tracker'!$E$5:$E$369,MATCH(A269,'Recovery Tracker'!$A$5:$A$369,0))+0,70))*0.15+(MIN(IFERROR(I269/WaterGoal,0),1)*100)*0.1+(IF(J269="",0,MAX(0,100-MIN(ABS(J269-CalorieGoal)/CalorieGoal,1)*100)))*0.1,0))</f>
        <v/>
      </c>
    </row>
    <row r="270" customFormat="false" ht="15" hidden="false" customHeight="false" outlineLevel="0" collapsed="false">
      <c r="A270" s="35" t="n">
        <f aca="false">A269+1</f>
        <v>46288</v>
      </c>
      <c r="B270" s="36" t="str">
        <f aca="false">TEXT(A270,"ddd")</f>
        <v>Wed</v>
      </c>
      <c r="C270" s="36" t="n">
        <f aca="false">INT((A270-StartDate)/7)+1</f>
        <v>38</v>
      </c>
      <c r="D270" s="36" t="str">
        <f aca="false">TEXT(A270,"mmm")</f>
        <v>Sep</v>
      </c>
      <c r="E270" s="28"/>
      <c r="F270" s="29"/>
      <c r="G270" s="29"/>
      <c r="H270" s="30"/>
      <c r="I270" s="29"/>
      <c r="J270" s="28"/>
      <c r="K270" s="28"/>
      <c r="L270" s="31"/>
      <c r="M270" s="28"/>
      <c r="N270" s="31"/>
      <c r="O270" s="31"/>
      <c r="P270" s="31"/>
      <c r="Q270" s="31"/>
      <c r="R270" s="31"/>
      <c r="S270" s="32"/>
      <c r="T270" s="37" t="str">
        <f aca="false">IF(E270="","",E270/StepGoal)</f>
        <v/>
      </c>
      <c r="U270" s="37" t="str">
        <f aca="false">IF(F270="","",F270/SleepGoal)</f>
        <v/>
      </c>
      <c r="V270" s="37" t="str">
        <f aca="false">IF(I270="","",I270/WaterGoal)</f>
        <v/>
      </c>
      <c r="W270" s="37" t="str">
        <f aca="false">IF(COUNT(E270,F270,I270)=0,"",(IF(N(T270)&gt;=1,1,0)+IF(N(U270)&gt;=1,1,0)+IF(N(V270)&gt;=1,1,0))/3)</f>
        <v/>
      </c>
      <c r="X270" s="36" t="n">
        <f aca="false">IF(AND(L270&lt;&gt;"",L270&lt;&gt;"Rest Day"),1,0)</f>
        <v>0</v>
      </c>
      <c r="Y270" s="38" t="n">
        <f aca="false">IF(X270=1,Y269+1,0)</f>
        <v>0</v>
      </c>
      <c r="Z270" s="38" t="n">
        <f aca="false">IF(N(T270)&gt;=1,Z269+1,0)</f>
        <v>0</v>
      </c>
      <c r="AA270" s="38" t="n">
        <f aca="false">IF(N(U270)&gt;=1,AA269+1,0)</f>
        <v>0</v>
      </c>
      <c r="AB270" s="38" t="n">
        <f aca="false">IF(N(V270)&gt;=1,AB269+1,0)</f>
        <v>0</v>
      </c>
      <c r="AC270" s="38" t="str">
        <f aca="false">IF(COUNT(E270,F270,I270,J270)=0,"",ROUND((MIN(IFERROR(E270/StepGoal,0),1)*100)*0.2+(MIN(IFERROR(F270/SleepGoal,0),1)*100)*0.2+(IF(L270="",0,IF(L270="Rest Day",100,MIN(IFERROR(M270/60,0),1)*100)))*0.25+(IFERROR(INDEX('Recovery Tracker'!$E$5:$E$369,MATCH(A270,'Recovery Tracker'!$A$5:$A$369,0))+0,70))*0.15+(MIN(IFERROR(I270/WaterGoal,0),1)*100)*0.1+(IF(J270="",0,MAX(0,100-MIN(ABS(J270-CalorieGoal)/CalorieGoal,1)*100)))*0.1,0))</f>
        <v/>
      </c>
    </row>
    <row r="271" customFormat="false" ht="15" hidden="false" customHeight="false" outlineLevel="0" collapsed="false">
      <c r="A271" s="26" t="n">
        <f aca="false">A270+1</f>
        <v>46289</v>
      </c>
      <c r="B271" s="27" t="str">
        <f aca="false">TEXT(A271,"ddd")</f>
        <v>Thu</v>
      </c>
      <c r="C271" s="27" t="n">
        <f aca="false">INT((A271-StartDate)/7)+1</f>
        <v>39</v>
      </c>
      <c r="D271" s="27" t="str">
        <f aca="false">TEXT(A271,"mmm")</f>
        <v>Sep</v>
      </c>
      <c r="E271" s="28"/>
      <c r="F271" s="29"/>
      <c r="G271" s="29"/>
      <c r="H271" s="30"/>
      <c r="I271" s="29"/>
      <c r="J271" s="28"/>
      <c r="K271" s="28"/>
      <c r="L271" s="31"/>
      <c r="M271" s="28"/>
      <c r="N271" s="31"/>
      <c r="O271" s="31"/>
      <c r="P271" s="31"/>
      <c r="Q271" s="31"/>
      <c r="R271" s="31"/>
      <c r="S271" s="32"/>
      <c r="T271" s="33" t="str">
        <f aca="false">IF(E271="","",E271/StepGoal)</f>
        <v/>
      </c>
      <c r="U271" s="33" t="str">
        <f aca="false">IF(F271="","",F271/SleepGoal)</f>
        <v/>
      </c>
      <c r="V271" s="33" t="str">
        <f aca="false">IF(I271="","",I271/WaterGoal)</f>
        <v/>
      </c>
      <c r="W271" s="33" t="str">
        <f aca="false">IF(COUNT(E271,F271,I271)=0,"",(IF(N(T271)&gt;=1,1,0)+IF(N(U271)&gt;=1,1,0)+IF(N(V271)&gt;=1,1,0))/3)</f>
        <v/>
      </c>
      <c r="X271" s="27" t="n">
        <f aca="false">IF(AND(L271&lt;&gt;"",L271&lt;&gt;"Rest Day"),1,0)</f>
        <v>0</v>
      </c>
      <c r="Y271" s="34" t="n">
        <f aca="false">IF(X271=1,Y270+1,0)</f>
        <v>0</v>
      </c>
      <c r="Z271" s="34" t="n">
        <f aca="false">IF(N(T271)&gt;=1,Z270+1,0)</f>
        <v>0</v>
      </c>
      <c r="AA271" s="34" t="n">
        <f aca="false">IF(N(U271)&gt;=1,AA270+1,0)</f>
        <v>0</v>
      </c>
      <c r="AB271" s="34" t="n">
        <f aca="false">IF(N(V271)&gt;=1,AB270+1,0)</f>
        <v>0</v>
      </c>
      <c r="AC271" s="34" t="str">
        <f aca="false">IF(COUNT(E271,F271,I271,J271)=0,"",ROUND((MIN(IFERROR(E271/StepGoal,0),1)*100)*0.2+(MIN(IFERROR(F271/SleepGoal,0),1)*100)*0.2+(IF(L271="",0,IF(L271="Rest Day",100,MIN(IFERROR(M271/60,0),1)*100)))*0.25+(IFERROR(INDEX('Recovery Tracker'!$E$5:$E$369,MATCH(A271,'Recovery Tracker'!$A$5:$A$369,0))+0,70))*0.15+(MIN(IFERROR(I271/WaterGoal,0),1)*100)*0.1+(IF(J271="",0,MAX(0,100-MIN(ABS(J271-CalorieGoal)/CalorieGoal,1)*100)))*0.1,0))</f>
        <v/>
      </c>
    </row>
    <row r="272" customFormat="false" ht="15" hidden="false" customHeight="false" outlineLevel="0" collapsed="false">
      <c r="A272" s="35" t="n">
        <f aca="false">A271+1</f>
        <v>46290</v>
      </c>
      <c r="B272" s="36" t="str">
        <f aca="false">TEXT(A272,"ddd")</f>
        <v>Fri</v>
      </c>
      <c r="C272" s="36" t="n">
        <f aca="false">INT((A272-StartDate)/7)+1</f>
        <v>39</v>
      </c>
      <c r="D272" s="36" t="str">
        <f aca="false">TEXT(A272,"mmm")</f>
        <v>Sep</v>
      </c>
      <c r="E272" s="28"/>
      <c r="F272" s="29"/>
      <c r="G272" s="29"/>
      <c r="H272" s="30"/>
      <c r="I272" s="29"/>
      <c r="J272" s="28"/>
      <c r="K272" s="28"/>
      <c r="L272" s="31"/>
      <c r="M272" s="28"/>
      <c r="N272" s="31"/>
      <c r="O272" s="31"/>
      <c r="P272" s="31"/>
      <c r="Q272" s="31"/>
      <c r="R272" s="31"/>
      <c r="S272" s="32"/>
      <c r="T272" s="37" t="str">
        <f aca="false">IF(E272="","",E272/StepGoal)</f>
        <v/>
      </c>
      <c r="U272" s="37" t="str">
        <f aca="false">IF(F272="","",F272/SleepGoal)</f>
        <v/>
      </c>
      <c r="V272" s="37" t="str">
        <f aca="false">IF(I272="","",I272/WaterGoal)</f>
        <v/>
      </c>
      <c r="W272" s="37" t="str">
        <f aca="false">IF(COUNT(E272,F272,I272)=0,"",(IF(N(T272)&gt;=1,1,0)+IF(N(U272)&gt;=1,1,0)+IF(N(V272)&gt;=1,1,0))/3)</f>
        <v/>
      </c>
      <c r="X272" s="36" t="n">
        <f aca="false">IF(AND(L272&lt;&gt;"",L272&lt;&gt;"Rest Day"),1,0)</f>
        <v>0</v>
      </c>
      <c r="Y272" s="38" t="n">
        <f aca="false">IF(X272=1,Y271+1,0)</f>
        <v>0</v>
      </c>
      <c r="Z272" s="38" t="n">
        <f aca="false">IF(N(T272)&gt;=1,Z271+1,0)</f>
        <v>0</v>
      </c>
      <c r="AA272" s="38" t="n">
        <f aca="false">IF(N(U272)&gt;=1,AA271+1,0)</f>
        <v>0</v>
      </c>
      <c r="AB272" s="38" t="n">
        <f aca="false">IF(N(V272)&gt;=1,AB271+1,0)</f>
        <v>0</v>
      </c>
      <c r="AC272" s="38" t="str">
        <f aca="false">IF(COUNT(E272,F272,I272,J272)=0,"",ROUND((MIN(IFERROR(E272/StepGoal,0),1)*100)*0.2+(MIN(IFERROR(F272/SleepGoal,0),1)*100)*0.2+(IF(L272="",0,IF(L272="Rest Day",100,MIN(IFERROR(M272/60,0),1)*100)))*0.25+(IFERROR(INDEX('Recovery Tracker'!$E$5:$E$369,MATCH(A272,'Recovery Tracker'!$A$5:$A$369,0))+0,70))*0.15+(MIN(IFERROR(I272/WaterGoal,0),1)*100)*0.1+(IF(J272="",0,MAX(0,100-MIN(ABS(J272-CalorieGoal)/CalorieGoal,1)*100)))*0.1,0))</f>
        <v/>
      </c>
    </row>
    <row r="273" customFormat="false" ht="15" hidden="false" customHeight="false" outlineLevel="0" collapsed="false">
      <c r="A273" s="26" t="n">
        <f aca="false">A272+1</f>
        <v>46291</v>
      </c>
      <c r="B273" s="27" t="str">
        <f aca="false">TEXT(A273,"ddd")</f>
        <v>Sat</v>
      </c>
      <c r="C273" s="27" t="n">
        <f aca="false">INT((A273-StartDate)/7)+1</f>
        <v>39</v>
      </c>
      <c r="D273" s="27" t="str">
        <f aca="false">TEXT(A273,"mmm")</f>
        <v>Sep</v>
      </c>
      <c r="E273" s="28"/>
      <c r="F273" s="29"/>
      <c r="G273" s="29"/>
      <c r="H273" s="30"/>
      <c r="I273" s="29"/>
      <c r="J273" s="28"/>
      <c r="K273" s="28"/>
      <c r="L273" s="31"/>
      <c r="M273" s="28"/>
      <c r="N273" s="31"/>
      <c r="O273" s="31"/>
      <c r="P273" s="31"/>
      <c r="Q273" s="31"/>
      <c r="R273" s="31"/>
      <c r="S273" s="32"/>
      <c r="T273" s="33" t="str">
        <f aca="false">IF(E273="","",E273/StepGoal)</f>
        <v/>
      </c>
      <c r="U273" s="33" t="str">
        <f aca="false">IF(F273="","",F273/SleepGoal)</f>
        <v/>
      </c>
      <c r="V273" s="33" t="str">
        <f aca="false">IF(I273="","",I273/WaterGoal)</f>
        <v/>
      </c>
      <c r="W273" s="33" t="str">
        <f aca="false">IF(COUNT(E273,F273,I273)=0,"",(IF(N(T273)&gt;=1,1,0)+IF(N(U273)&gt;=1,1,0)+IF(N(V273)&gt;=1,1,0))/3)</f>
        <v/>
      </c>
      <c r="X273" s="27" t="n">
        <f aca="false">IF(AND(L273&lt;&gt;"",L273&lt;&gt;"Rest Day"),1,0)</f>
        <v>0</v>
      </c>
      <c r="Y273" s="34" t="n">
        <f aca="false">IF(X273=1,Y272+1,0)</f>
        <v>0</v>
      </c>
      <c r="Z273" s="34" t="n">
        <f aca="false">IF(N(T273)&gt;=1,Z272+1,0)</f>
        <v>0</v>
      </c>
      <c r="AA273" s="34" t="n">
        <f aca="false">IF(N(U273)&gt;=1,AA272+1,0)</f>
        <v>0</v>
      </c>
      <c r="AB273" s="34" t="n">
        <f aca="false">IF(N(V273)&gt;=1,AB272+1,0)</f>
        <v>0</v>
      </c>
      <c r="AC273" s="34" t="str">
        <f aca="false">IF(COUNT(E273,F273,I273,J273)=0,"",ROUND((MIN(IFERROR(E273/StepGoal,0),1)*100)*0.2+(MIN(IFERROR(F273/SleepGoal,0),1)*100)*0.2+(IF(L273="",0,IF(L273="Rest Day",100,MIN(IFERROR(M273/60,0),1)*100)))*0.25+(IFERROR(INDEX('Recovery Tracker'!$E$5:$E$369,MATCH(A273,'Recovery Tracker'!$A$5:$A$369,0))+0,70))*0.15+(MIN(IFERROR(I273/WaterGoal,0),1)*100)*0.1+(IF(J273="",0,MAX(0,100-MIN(ABS(J273-CalorieGoal)/CalorieGoal,1)*100)))*0.1,0))</f>
        <v/>
      </c>
    </row>
    <row r="274" customFormat="false" ht="15" hidden="false" customHeight="false" outlineLevel="0" collapsed="false">
      <c r="A274" s="35" t="n">
        <f aca="false">A273+1</f>
        <v>46292</v>
      </c>
      <c r="B274" s="36" t="str">
        <f aca="false">TEXT(A274,"ddd")</f>
        <v>Sun</v>
      </c>
      <c r="C274" s="36" t="n">
        <f aca="false">INT((A274-StartDate)/7)+1</f>
        <v>39</v>
      </c>
      <c r="D274" s="36" t="str">
        <f aca="false">TEXT(A274,"mmm")</f>
        <v>Sep</v>
      </c>
      <c r="E274" s="28"/>
      <c r="F274" s="29"/>
      <c r="G274" s="29"/>
      <c r="H274" s="30"/>
      <c r="I274" s="29"/>
      <c r="J274" s="28"/>
      <c r="K274" s="28"/>
      <c r="L274" s="31"/>
      <c r="M274" s="28"/>
      <c r="N274" s="31"/>
      <c r="O274" s="31"/>
      <c r="P274" s="31"/>
      <c r="Q274" s="31"/>
      <c r="R274" s="31"/>
      <c r="S274" s="32"/>
      <c r="T274" s="37" t="str">
        <f aca="false">IF(E274="","",E274/StepGoal)</f>
        <v/>
      </c>
      <c r="U274" s="37" t="str">
        <f aca="false">IF(F274="","",F274/SleepGoal)</f>
        <v/>
      </c>
      <c r="V274" s="37" t="str">
        <f aca="false">IF(I274="","",I274/WaterGoal)</f>
        <v/>
      </c>
      <c r="W274" s="37" t="str">
        <f aca="false">IF(COUNT(E274,F274,I274)=0,"",(IF(N(T274)&gt;=1,1,0)+IF(N(U274)&gt;=1,1,0)+IF(N(V274)&gt;=1,1,0))/3)</f>
        <v/>
      </c>
      <c r="X274" s="36" t="n">
        <f aca="false">IF(AND(L274&lt;&gt;"",L274&lt;&gt;"Rest Day"),1,0)</f>
        <v>0</v>
      </c>
      <c r="Y274" s="38" t="n">
        <f aca="false">IF(X274=1,Y273+1,0)</f>
        <v>0</v>
      </c>
      <c r="Z274" s="38" t="n">
        <f aca="false">IF(N(T274)&gt;=1,Z273+1,0)</f>
        <v>0</v>
      </c>
      <c r="AA274" s="38" t="n">
        <f aca="false">IF(N(U274)&gt;=1,AA273+1,0)</f>
        <v>0</v>
      </c>
      <c r="AB274" s="38" t="n">
        <f aca="false">IF(N(V274)&gt;=1,AB273+1,0)</f>
        <v>0</v>
      </c>
      <c r="AC274" s="38" t="str">
        <f aca="false">IF(COUNT(E274,F274,I274,J274)=0,"",ROUND((MIN(IFERROR(E274/StepGoal,0),1)*100)*0.2+(MIN(IFERROR(F274/SleepGoal,0),1)*100)*0.2+(IF(L274="",0,IF(L274="Rest Day",100,MIN(IFERROR(M274/60,0),1)*100)))*0.25+(IFERROR(INDEX('Recovery Tracker'!$E$5:$E$369,MATCH(A274,'Recovery Tracker'!$A$5:$A$369,0))+0,70))*0.15+(MIN(IFERROR(I274/WaterGoal,0),1)*100)*0.1+(IF(J274="",0,MAX(0,100-MIN(ABS(J274-CalorieGoal)/CalorieGoal,1)*100)))*0.1,0))</f>
        <v/>
      </c>
    </row>
    <row r="275" customFormat="false" ht="15" hidden="false" customHeight="false" outlineLevel="0" collapsed="false">
      <c r="A275" s="26" t="n">
        <f aca="false">A274+1</f>
        <v>46293</v>
      </c>
      <c r="B275" s="27" t="str">
        <f aca="false">TEXT(A275,"ddd")</f>
        <v>Mon</v>
      </c>
      <c r="C275" s="27" t="n">
        <f aca="false">INT((A275-StartDate)/7)+1</f>
        <v>39</v>
      </c>
      <c r="D275" s="27" t="str">
        <f aca="false">TEXT(A275,"mmm")</f>
        <v>Sep</v>
      </c>
      <c r="E275" s="28"/>
      <c r="F275" s="29"/>
      <c r="G275" s="29"/>
      <c r="H275" s="30"/>
      <c r="I275" s="29"/>
      <c r="J275" s="28"/>
      <c r="K275" s="28"/>
      <c r="L275" s="31"/>
      <c r="M275" s="28"/>
      <c r="N275" s="31"/>
      <c r="O275" s="31"/>
      <c r="P275" s="31"/>
      <c r="Q275" s="31"/>
      <c r="R275" s="31"/>
      <c r="S275" s="32"/>
      <c r="T275" s="33" t="str">
        <f aca="false">IF(E275="","",E275/StepGoal)</f>
        <v/>
      </c>
      <c r="U275" s="33" t="str">
        <f aca="false">IF(F275="","",F275/SleepGoal)</f>
        <v/>
      </c>
      <c r="V275" s="33" t="str">
        <f aca="false">IF(I275="","",I275/WaterGoal)</f>
        <v/>
      </c>
      <c r="W275" s="33" t="str">
        <f aca="false">IF(COUNT(E275,F275,I275)=0,"",(IF(N(T275)&gt;=1,1,0)+IF(N(U275)&gt;=1,1,0)+IF(N(V275)&gt;=1,1,0))/3)</f>
        <v/>
      </c>
      <c r="X275" s="27" t="n">
        <f aca="false">IF(AND(L275&lt;&gt;"",L275&lt;&gt;"Rest Day"),1,0)</f>
        <v>0</v>
      </c>
      <c r="Y275" s="34" t="n">
        <f aca="false">IF(X275=1,Y274+1,0)</f>
        <v>0</v>
      </c>
      <c r="Z275" s="34" t="n">
        <f aca="false">IF(N(T275)&gt;=1,Z274+1,0)</f>
        <v>0</v>
      </c>
      <c r="AA275" s="34" t="n">
        <f aca="false">IF(N(U275)&gt;=1,AA274+1,0)</f>
        <v>0</v>
      </c>
      <c r="AB275" s="34" t="n">
        <f aca="false">IF(N(V275)&gt;=1,AB274+1,0)</f>
        <v>0</v>
      </c>
      <c r="AC275" s="34" t="str">
        <f aca="false">IF(COUNT(E275,F275,I275,J275)=0,"",ROUND((MIN(IFERROR(E275/StepGoal,0),1)*100)*0.2+(MIN(IFERROR(F275/SleepGoal,0),1)*100)*0.2+(IF(L275="",0,IF(L275="Rest Day",100,MIN(IFERROR(M275/60,0),1)*100)))*0.25+(IFERROR(INDEX('Recovery Tracker'!$E$5:$E$369,MATCH(A275,'Recovery Tracker'!$A$5:$A$369,0))+0,70))*0.15+(MIN(IFERROR(I275/WaterGoal,0),1)*100)*0.1+(IF(J275="",0,MAX(0,100-MIN(ABS(J275-CalorieGoal)/CalorieGoal,1)*100)))*0.1,0))</f>
        <v/>
      </c>
    </row>
    <row r="276" customFormat="false" ht="15" hidden="false" customHeight="false" outlineLevel="0" collapsed="false">
      <c r="A276" s="35" t="n">
        <f aca="false">A275+1</f>
        <v>46294</v>
      </c>
      <c r="B276" s="36" t="str">
        <f aca="false">TEXT(A276,"ddd")</f>
        <v>Tue</v>
      </c>
      <c r="C276" s="36" t="n">
        <f aca="false">INT((A276-StartDate)/7)+1</f>
        <v>39</v>
      </c>
      <c r="D276" s="36" t="str">
        <f aca="false">TEXT(A276,"mmm")</f>
        <v>Sep</v>
      </c>
      <c r="E276" s="28"/>
      <c r="F276" s="29"/>
      <c r="G276" s="29"/>
      <c r="H276" s="30"/>
      <c r="I276" s="29"/>
      <c r="J276" s="28"/>
      <c r="K276" s="28"/>
      <c r="L276" s="31"/>
      <c r="M276" s="28"/>
      <c r="N276" s="31"/>
      <c r="O276" s="31"/>
      <c r="P276" s="31"/>
      <c r="Q276" s="31"/>
      <c r="R276" s="31"/>
      <c r="S276" s="32"/>
      <c r="T276" s="37" t="str">
        <f aca="false">IF(E276="","",E276/StepGoal)</f>
        <v/>
      </c>
      <c r="U276" s="37" t="str">
        <f aca="false">IF(F276="","",F276/SleepGoal)</f>
        <v/>
      </c>
      <c r="V276" s="37" t="str">
        <f aca="false">IF(I276="","",I276/WaterGoal)</f>
        <v/>
      </c>
      <c r="W276" s="37" t="str">
        <f aca="false">IF(COUNT(E276,F276,I276)=0,"",(IF(N(T276)&gt;=1,1,0)+IF(N(U276)&gt;=1,1,0)+IF(N(V276)&gt;=1,1,0))/3)</f>
        <v/>
      </c>
      <c r="X276" s="36" t="n">
        <f aca="false">IF(AND(L276&lt;&gt;"",L276&lt;&gt;"Rest Day"),1,0)</f>
        <v>0</v>
      </c>
      <c r="Y276" s="38" t="n">
        <f aca="false">IF(X276=1,Y275+1,0)</f>
        <v>0</v>
      </c>
      <c r="Z276" s="38" t="n">
        <f aca="false">IF(N(T276)&gt;=1,Z275+1,0)</f>
        <v>0</v>
      </c>
      <c r="AA276" s="38" t="n">
        <f aca="false">IF(N(U276)&gt;=1,AA275+1,0)</f>
        <v>0</v>
      </c>
      <c r="AB276" s="38" t="n">
        <f aca="false">IF(N(V276)&gt;=1,AB275+1,0)</f>
        <v>0</v>
      </c>
      <c r="AC276" s="38" t="str">
        <f aca="false">IF(COUNT(E276,F276,I276,J276)=0,"",ROUND((MIN(IFERROR(E276/StepGoal,0),1)*100)*0.2+(MIN(IFERROR(F276/SleepGoal,0),1)*100)*0.2+(IF(L276="",0,IF(L276="Rest Day",100,MIN(IFERROR(M276/60,0),1)*100)))*0.25+(IFERROR(INDEX('Recovery Tracker'!$E$5:$E$369,MATCH(A276,'Recovery Tracker'!$A$5:$A$369,0))+0,70))*0.15+(MIN(IFERROR(I276/WaterGoal,0),1)*100)*0.1+(IF(J276="",0,MAX(0,100-MIN(ABS(J276-CalorieGoal)/CalorieGoal,1)*100)))*0.1,0))</f>
        <v/>
      </c>
    </row>
    <row r="277" customFormat="false" ht="15" hidden="false" customHeight="false" outlineLevel="0" collapsed="false">
      <c r="A277" s="26" t="n">
        <f aca="false">A276+1</f>
        <v>46295</v>
      </c>
      <c r="B277" s="27" t="str">
        <f aca="false">TEXT(A277,"ddd")</f>
        <v>Wed</v>
      </c>
      <c r="C277" s="27" t="n">
        <f aca="false">INT((A277-StartDate)/7)+1</f>
        <v>39</v>
      </c>
      <c r="D277" s="27" t="str">
        <f aca="false">TEXT(A277,"mmm")</f>
        <v>Sep</v>
      </c>
      <c r="E277" s="28"/>
      <c r="F277" s="29"/>
      <c r="G277" s="29"/>
      <c r="H277" s="30"/>
      <c r="I277" s="29"/>
      <c r="J277" s="28"/>
      <c r="K277" s="28"/>
      <c r="L277" s="31"/>
      <c r="M277" s="28"/>
      <c r="N277" s="31"/>
      <c r="O277" s="31"/>
      <c r="P277" s="31"/>
      <c r="Q277" s="31"/>
      <c r="R277" s="31"/>
      <c r="S277" s="32"/>
      <c r="T277" s="33" t="str">
        <f aca="false">IF(E277="","",E277/StepGoal)</f>
        <v/>
      </c>
      <c r="U277" s="33" t="str">
        <f aca="false">IF(F277="","",F277/SleepGoal)</f>
        <v/>
      </c>
      <c r="V277" s="33" t="str">
        <f aca="false">IF(I277="","",I277/WaterGoal)</f>
        <v/>
      </c>
      <c r="W277" s="33" t="str">
        <f aca="false">IF(COUNT(E277,F277,I277)=0,"",(IF(N(T277)&gt;=1,1,0)+IF(N(U277)&gt;=1,1,0)+IF(N(V277)&gt;=1,1,0))/3)</f>
        <v/>
      </c>
      <c r="X277" s="27" t="n">
        <f aca="false">IF(AND(L277&lt;&gt;"",L277&lt;&gt;"Rest Day"),1,0)</f>
        <v>0</v>
      </c>
      <c r="Y277" s="34" t="n">
        <f aca="false">IF(X277=1,Y276+1,0)</f>
        <v>0</v>
      </c>
      <c r="Z277" s="34" t="n">
        <f aca="false">IF(N(T277)&gt;=1,Z276+1,0)</f>
        <v>0</v>
      </c>
      <c r="AA277" s="34" t="n">
        <f aca="false">IF(N(U277)&gt;=1,AA276+1,0)</f>
        <v>0</v>
      </c>
      <c r="AB277" s="34" t="n">
        <f aca="false">IF(N(V277)&gt;=1,AB276+1,0)</f>
        <v>0</v>
      </c>
      <c r="AC277" s="34" t="str">
        <f aca="false">IF(COUNT(E277,F277,I277,J277)=0,"",ROUND((MIN(IFERROR(E277/StepGoal,0),1)*100)*0.2+(MIN(IFERROR(F277/SleepGoal,0),1)*100)*0.2+(IF(L277="",0,IF(L277="Rest Day",100,MIN(IFERROR(M277/60,0),1)*100)))*0.25+(IFERROR(INDEX('Recovery Tracker'!$E$5:$E$369,MATCH(A277,'Recovery Tracker'!$A$5:$A$369,0))+0,70))*0.15+(MIN(IFERROR(I277/WaterGoal,0),1)*100)*0.1+(IF(J277="",0,MAX(0,100-MIN(ABS(J277-CalorieGoal)/CalorieGoal,1)*100)))*0.1,0))</f>
        <v/>
      </c>
    </row>
    <row r="278" customFormat="false" ht="15" hidden="false" customHeight="false" outlineLevel="0" collapsed="false">
      <c r="A278" s="35" t="n">
        <f aca="false">A277+1</f>
        <v>46296</v>
      </c>
      <c r="B278" s="36" t="str">
        <f aca="false">TEXT(A278,"ddd")</f>
        <v>Thu</v>
      </c>
      <c r="C278" s="36" t="n">
        <f aca="false">INT((A278-StartDate)/7)+1</f>
        <v>40</v>
      </c>
      <c r="D278" s="36" t="str">
        <f aca="false">TEXT(A278,"mmm")</f>
        <v>Oct</v>
      </c>
      <c r="E278" s="28"/>
      <c r="F278" s="29"/>
      <c r="G278" s="29"/>
      <c r="H278" s="30"/>
      <c r="I278" s="29"/>
      <c r="J278" s="28"/>
      <c r="K278" s="28"/>
      <c r="L278" s="31"/>
      <c r="M278" s="28"/>
      <c r="N278" s="31"/>
      <c r="O278" s="31"/>
      <c r="P278" s="31"/>
      <c r="Q278" s="31"/>
      <c r="R278" s="31"/>
      <c r="S278" s="32"/>
      <c r="T278" s="37" t="str">
        <f aca="false">IF(E278="","",E278/StepGoal)</f>
        <v/>
      </c>
      <c r="U278" s="37" t="str">
        <f aca="false">IF(F278="","",F278/SleepGoal)</f>
        <v/>
      </c>
      <c r="V278" s="37" t="str">
        <f aca="false">IF(I278="","",I278/WaterGoal)</f>
        <v/>
      </c>
      <c r="W278" s="37" t="str">
        <f aca="false">IF(COUNT(E278,F278,I278)=0,"",(IF(N(T278)&gt;=1,1,0)+IF(N(U278)&gt;=1,1,0)+IF(N(V278)&gt;=1,1,0))/3)</f>
        <v/>
      </c>
      <c r="X278" s="36" t="n">
        <f aca="false">IF(AND(L278&lt;&gt;"",L278&lt;&gt;"Rest Day"),1,0)</f>
        <v>0</v>
      </c>
      <c r="Y278" s="38" t="n">
        <f aca="false">IF(X278=1,Y277+1,0)</f>
        <v>0</v>
      </c>
      <c r="Z278" s="38" t="n">
        <f aca="false">IF(N(T278)&gt;=1,Z277+1,0)</f>
        <v>0</v>
      </c>
      <c r="AA278" s="38" t="n">
        <f aca="false">IF(N(U278)&gt;=1,AA277+1,0)</f>
        <v>0</v>
      </c>
      <c r="AB278" s="38" t="n">
        <f aca="false">IF(N(V278)&gt;=1,AB277+1,0)</f>
        <v>0</v>
      </c>
      <c r="AC278" s="38" t="str">
        <f aca="false">IF(COUNT(E278,F278,I278,J278)=0,"",ROUND((MIN(IFERROR(E278/StepGoal,0),1)*100)*0.2+(MIN(IFERROR(F278/SleepGoal,0),1)*100)*0.2+(IF(L278="",0,IF(L278="Rest Day",100,MIN(IFERROR(M278/60,0),1)*100)))*0.25+(IFERROR(INDEX('Recovery Tracker'!$E$5:$E$369,MATCH(A278,'Recovery Tracker'!$A$5:$A$369,0))+0,70))*0.15+(MIN(IFERROR(I278/WaterGoal,0),1)*100)*0.1+(IF(J278="",0,MAX(0,100-MIN(ABS(J278-CalorieGoal)/CalorieGoal,1)*100)))*0.1,0))</f>
        <v/>
      </c>
    </row>
    <row r="279" customFormat="false" ht="15" hidden="false" customHeight="false" outlineLevel="0" collapsed="false">
      <c r="A279" s="26" t="n">
        <f aca="false">A278+1</f>
        <v>46297</v>
      </c>
      <c r="B279" s="27" t="str">
        <f aca="false">TEXT(A279,"ddd")</f>
        <v>Fri</v>
      </c>
      <c r="C279" s="27" t="n">
        <f aca="false">INT((A279-StartDate)/7)+1</f>
        <v>40</v>
      </c>
      <c r="D279" s="27" t="str">
        <f aca="false">TEXT(A279,"mmm")</f>
        <v>Oct</v>
      </c>
      <c r="E279" s="28"/>
      <c r="F279" s="29"/>
      <c r="G279" s="29"/>
      <c r="H279" s="30"/>
      <c r="I279" s="29"/>
      <c r="J279" s="28"/>
      <c r="K279" s="28"/>
      <c r="L279" s="31"/>
      <c r="M279" s="28"/>
      <c r="N279" s="31"/>
      <c r="O279" s="31"/>
      <c r="P279" s="31"/>
      <c r="Q279" s="31"/>
      <c r="R279" s="31"/>
      <c r="S279" s="32"/>
      <c r="T279" s="33" t="str">
        <f aca="false">IF(E279="","",E279/StepGoal)</f>
        <v/>
      </c>
      <c r="U279" s="33" t="str">
        <f aca="false">IF(F279="","",F279/SleepGoal)</f>
        <v/>
      </c>
      <c r="V279" s="33" t="str">
        <f aca="false">IF(I279="","",I279/WaterGoal)</f>
        <v/>
      </c>
      <c r="W279" s="33" t="str">
        <f aca="false">IF(COUNT(E279,F279,I279)=0,"",(IF(N(T279)&gt;=1,1,0)+IF(N(U279)&gt;=1,1,0)+IF(N(V279)&gt;=1,1,0))/3)</f>
        <v/>
      </c>
      <c r="X279" s="27" t="n">
        <f aca="false">IF(AND(L279&lt;&gt;"",L279&lt;&gt;"Rest Day"),1,0)</f>
        <v>0</v>
      </c>
      <c r="Y279" s="34" t="n">
        <f aca="false">IF(X279=1,Y278+1,0)</f>
        <v>0</v>
      </c>
      <c r="Z279" s="34" t="n">
        <f aca="false">IF(N(T279)&gt;=1,Z278+1,0)</f>
        <v>0</v>
      </c>
      <c r="AA279" s="34" t="n">
        <f aca="false">IF(N(U279)&gt;=1,AA278+1,0)</f>
        <v>0</v>
      </c>
      <c r="AB279" s="34" t="n">
        <f aca="false">IF(N(V279)&gt;=1,AB278+1,0)</f>
        <v>0</v>
      </c>
      <c r="AC279" s="34" t="str">
        <f aca="false">IF(COUNT(E279,F279,I279,J279)=0,"",ROUND((MIN(IFERROR(E279/StepGoal,0),1)*100)*0.2+(MIN(IFERROR(F279/SleepGoal,0),1)*100)*0.2+(IF(L279="",0,IF(L279="Rest Day",100,MIN(IFERROR(M279/60,0),1)*100)))*0.25+(IFERROR(INDEX('Recovery Tracker'!$E$5:$E$369,MATCH(A279,'Recovery Tracker'!$A$5:$A$369,0))+0,70))*0.15+(MIN(IFERROR(I279/WaterGoal,0),1)*100)*0.1+(IF(J279="",0,MAX(0,100-MIN(ABS(J279-CalorieGoal)/CalorieGoal,1)*100)))*0.1,0))</f>
        <v/>
      </c>
    </row>
    <row r="280" customFormat="false" ht="15" hidden="false" customHeight="false" outlineLevel="0" collapsed="false">
      <c r="A280" s="35" t="n">
        <f aca="false">A279+1</f>
        <v>46298</v>
      </c>
      <c r="B280" s="36" t="str">
        <f aca="false">TEXT(A280,"ddd")</f>
        <v>Sat</v>
      </c>
      <c r="C280" s="36" t="n">
        <f aca="false">INT((A280-StartDate)/7)+1</f>
        <v>40</v>
      </c>
      <c r="D280" s="36" t="str">
        <f aca="false">TEXT(A280,"mmm")</f>
        <v>Oct</v>
      </c>
      <c r="E280" s="28"/>
      <c r="F280" s="29"/>
      <c r="G280" s="29"/>
      <c r="H280" s="30"/>
      <c r="I280" s="29"/>
      <c r="J280" s="28"/>
      <c r="K280" s="28"/>
      <c r="L280" s="31"/>
      <c r="M280" s="28"/>
      <c r="N280" s="31"/>
      <c r="O280" s="31"/>
      <c r="P280" s="31"/>
      <c r="Q280" s="31"/>
      <c r="R280" s="31"/>
      <c r="S280" s="32"/>
      <c r="T280" s="37" t="str">
        <f aca="false">IF(E280="","",E280/StepGoal)</f>
        <v/>
      </c>
      <c r="U280" s="37" t="str">
        <f aca="false">IF(F280="","",F280/SleepGoal)</f>
        <v/>
      </c>
      <c r="V280" s="37" t="str">
        <f aca="false">IF(I280="","",I280/WaterGoal)</f>
        <v/>
      </c>
      <c r="W280" s="37" t="str">
        <f aca="false">IF(COUNT(E280,F280,I280)=0,"",(IF(N(T280)&gt;=1,1,0)+IF(N(U280)&gt;=1,1,0)+IF(N(V280)&gt;=1,1,0))/3)</f>
        <v/>
      </c>
      <c r="X280" s="36" t="n">
        <f aca="false">IF(AND(L280&lt;&gt;"",L280&lt;&gt;"Rest Day"),1,0)</f>
        <v>0</v>
      </c>
      <c r="Y280" s="38" t="n">
        <f aca="false">IF(X280=1,Y279+1,0)</f>
        <v>0</v>
      </c>
      <c r="Z280" s="38" t="n">
        <f aca="false">IF(N(T280)&gt;=1,Z279+1,0)</f>
        <v>0</v>
      </c>
      <c r="AA280" s="38" t="n">
        <f aca="false">IF(N(U280)&gt;=1,AA279+1,0)</f>
        <v>0</v>
      </c>
      <c r="AB280" s="38" t="n">
        <f aca="false">IF(N(V280)&gt;=1,AB279+1,0)</f>
        <v>0</v>
      </c>
      <c r="AC280" s="38" t="str">
        <f aca="false">IF(COUNT(E280,F280,I280,J280)=0,"",ROUND((MIN(IFERROR(E280/StepGoal,0),1)*100)*0.2+(MIN(IFERROR(F280/SleepGoal,0),1)*100)*0.2+(IF(L280="",0,IF(L280="Rest Day",100,MIN(IFERROR(M280/60,0),1)*100)))*0.25+(IFERROR(INDEX('Recovery Tracker'!$E$5:$E$369,MATCH(A280,'Recovery Tracker'!$A$5:$A$369,0))+0,70))*0.15+(MIN(IFERROR(I280/WaterGoal,0),1)*100)*0.1+(IF(J280="",0,MAX(0,100-MIN(ABS(J280-CalorieGoal)/CalorieGoal,1)*100)))*0.1,0))</f>
        <v/>
      </c>
    </row>
    <row r="281" customFormat="false" ht="15" hidden="false" customHeight="false" outlineLevel="0" collapsed="false">
      <c r="A281" s="26" t="n">
        <f aca="false">A280+1</f>
        <v>46299</v>
      </c>
      <c r="B281" s="27" t="str">
        <f aca="false">TEXT(A281,"ddd")</f>
        <v>Sun</v>
      </c>
      <c r="C281" s="27" t="n">
        <f aca="false">INT((A281-StartDate)/7)+1</f>
        <v>40</v>
      </c>
      <c r="D281" s="27" t="str">
        <f aca="false">TEXT(A281,"mmm")</f>
        <v>Oct</v>
      </c>
      <c r="E281" s="28"/>
      <c r="F281" s="29"/>
      <c r="G281" s="29"/>
      <c r="H281" s="30"/>
      <c r="I281" s="29"/>
      <c r="J281" s="28"/>
      <c r="K281" s="28"/>
      <c r="L281" s="31"/>
      <c r="M281" s="28"/>
      <c r="N281" s="31"/>
      <c r="O281" s="31"/>
      <c r="P281" s="31"/>
      <c r="Q281" s="31"/>
      <c r="R281" s="31"/>
      <c r="S281" s="32"/>
      <c r="T281" s="33" t="str">
        <f aca="false">IF(E281="","",E281/StepGoal)</f>
        <v/>
      </c>
      <c r="U281" s="33" t="str">
        <f aca="false">IF(F281="","",F281/SleepGoal)</f>
        <v/>
      </c>
      <c r="V281" s="33" t="str">
        <f aca="false">IF(I281="","",I281/WaterGoal)</f>
        <v/>
      </c>
      <c r="W281" s="33" t="str">
        <f aca="false">IF(COUNT(E281,F281,I281)=0,"",(IF(N(T281)&gt;=1,1,0)+IF(N(U281)&gt;=1,1,0)+IF(N(V281)&gt;=1,1,0))/3)</f>
        <v/>
      </c>
      <c r="X281" s="27" t="n">
        <f aca="false">IF(AND(L281&lt;&gt;"",L281&lt;&gt;"Rest Day"),1,0)</f>
        <v>0</v>
      </c>
      <c r="Y281" s="34" t="n">
        <f aca="false">IF(X281=1,Y280+1,0)</f>
        <v>0</v>
      </c>
      <c r="Z281" s="34" t="n">
        <f aca="false">IF(N(T281)&gt;=1,Z280+1,0)</f>
        <v>0</v>
      </c>
      <c r="AA281" s="34" t="n">
        <f aca="false">IF(N(U281)&gt;=1,AA280+1,0)</f>
        <v>0</v>
      </c>
      <c r="AB281" s="34" t="n">
        <f aca="false">IF(N(V281)&gt;=1,AB280+1,0)</f>
        <v>0</v>
      </c>
      <c r="AC281" s="34" t="str">
        <f aca="false">IF(COUNT(E281,F281,I281,J281)=0,"",ROUND((MIN(IFERROR(E281/StepGoal,0),1)*100)*0.2+(MIN(IFERROR(F281/SleepGoal,0),1)*100)*0.2+(IF(L281="",0,IF(L281="Rest Day",100,MIN(IFERROR(M281/60,0),1)*100)))*0.25+(IFERROR(INDEX('Recovery Tracker'!$E$5:$E$369,MATCH(A281,'Recovery Tracker'!$A$5:$A$369,0))+0,70))*0.15+(MIN(IFERROR(I281/WaterGoal,0),1)*100)*0.1+(IF(J281="",0,MAX(0,100-MIN(ABS(J281-CalorieGoal)/CalorieGoal,1)*100)))*0.1,0))</f>
        <v/>
      </c>
    </row>
    <row r="282" customFormat="false" ht="15" hidden="false" customHeight="false" outlineLevel="0" collapsed="false">
      <c r="A282" s="35" t="n">
        <f aca="false">A281+1</f>
        <v>46300</v>
      </c>
      <c r="B282" s="36" t="str">
        <f aca="false">TEXT(A282,"ddd")</f>
        <v>Mon</v>
      </c>
      <c r="C282" s="36" t="n">
        <f aca="false">INT((A282-StartDate)/7)+1</f>
        <v>40</v>
      </c>
      <c r="D282" s="36" t="str">
        <f aca="false">TEXT(A282,"mmm")</f>
        <v>Oct</v>
      </c>
      <c r="E282" s="28"/>
      <c r="F282" s="29"/>
      <c r="G282" s="29"/>
      <c r="H282" s="30"/>
      <c r="I282" s="29"/>
      <c r="J282" s="28"/>
      <c r="K282" s="28"/>
      <c r="L282" s="31"/>
      <c r="M282" s="28"/>
      <c r="N282" s="31"/>
      <c r="O282" s="31"/>
      <c r="P282" s="31"/>
      <c r="Q282" s="31"/>
      <c r="R282" s="31"/>
      <c r="S282" s="32"/>
      <c r="T282" s="37" t="str">
        <f aca="false">IF(E282="","",E282/StepGoal)</f>
        <v/>
      </c>
      <c r="U282" s="37" t="str">
        <f aca="false">IF(F282="","",F282/SleepGoal)</f>
        <v/>
      </c>
      <c r="V282" s="37" t="str">
        <f aca="false">IF(I282="","",I282/WaterGoal)</f>
        <v/>
      </c>
      <c r="W282" s="37" t="str">
        <f aca="false">IF(COUNT(E282,F282,I282)=0,"",(IF(N(T282)&gt;=1,1,0)+IF(N(U282)&gt;=1,1,0)+IF(N(V282)&gt;=1,1,0))/3)</f>
        <v/>
      </c>
      <c r="X282" s="36" t="n">
        <f aca="false">IF(AND(L282&lt;&gt;"",L282&lt;&gt;"Rest Day"),1,0)</f>
        <v>0</v>
      </c>
      <c r="Y282" s="38" t="n">
        <f aca="false">IF(X282=1,Y281+1,0)</f>
        <v>0</v>
      </c>
      <c r="Z282" s="38" t="n">
        <f aca="false">IF(N(T282)&gt;=1,Z281+1,0)</f>
        <v>0</v>
      </c>
      <c r="AA282" s="38" t="n">
        <f aca="false">IF(N(U282)&gt;=1,AA281+1,0)</f>
        <v>0</v>
      </c>
      <c r="AB282" s="38" t="n">
        <f aca="false">IF(N(V282)&gt;=1,AB281+1,0)</f>
        <v>0</v>
      </c>
      <c r="AC282" s="38" t="str">
        <f aca="false">IF(COUNT(E282,F282,I282,J282)=0,"",ROUND((MIN(IFERROR(E282/StepGoal,0),1)*100)*0.2+(MIN(IFERROR(F282/SleepGoal,0),1)*100)*0.2+(IF(L282="",0,IF(L282="Rest Day",100,MIN(IFERROR(M282/60,0),1)*100)))*0.25+(IFERROR(INDEX('Recovery Tracker'!$E$5:$E$369,MATCH(A282,'Recovery Tracker'!$A$5:$A$369,0))+0,70))*0.15+(MIN(IFERROR(I282/WaterGoal,0),1)*100)*0.1+(IF(J282="",0,MAX(0,100-MIN(ABS(J282-CalorieGoal)/CalorieGoal,1)*100)))*0.1,0))</f>
        <v/>
      </c>
    </row>
    <row r="283" customFormat="false" ht="15" hidden="false" customHeight="false" outlineLevel="0" collapsed="false">
      <c r="A283" s="26" t="n">
        <f aca="false">A282+1</f>
        <v>46301</v>
      </c>
      <c r="B283" s="27" t="str">
        <f aca="false">TEXT(A283,"ddd")</f>
        <v>Tue</v>
      </c>
      <c r="C283" s="27" t="n">
        <f aca="false">INT((A283-StartDate)/7)+1</f>
        <v>40</v>
      </c>
      <c r="D283" s="27" t="str">
        <f aca="false">TEXT(A283,"mmm")</f>
        <v>Oct</v>
      </c>
      <c r="E283" s="28"/>
      <c r="F283" s="29"/>
      <c r="G283" s="29"/>
      <c r="H283" s="30"/>
      <c r="I283" s="29"/>
      <c r="J283" s="28"/>
      <c r="K283" s="28"/>
      <c r="L283" s="31"/>
      <c r="M283" s="28"/>
      <c r="N283" s="31"/>
      <c r="O283" s="31"/>
      <c r="P283" s="31"/>
      <c r="Q283" s="31"/>
      <c r="R283" s="31"/>
      <c r="S283" s="32"/>
      <c r="T283" s="33" t="str">
        <f aca="false">IF(E283="","",E283/StepGoal)</f>
        <v/>
      </c>
      <c r="U283" s="33" t="str">
        <f aca="false">IF(F283="","",F283/SleepGoal)</f>
        <v/>
      </c>
      <c r="V283" s="33" t="str">
        <f aca="false">IF(I283="","",I283/WaterGoal)</f>
        <v/>
      </c>
      <c r="W283" s="33" t="str">
        <f aca="false">IF(COUNT(E283,F283,I283)=0,"",(IF(N(T283)&gt;=1,1,0)+IF(N(U283)&gt;=1,1,0)+IF(N(V283)&gt;=1,1,0))/3)</f>
        <v/>
      </c>
      <c r="X283" s="27" t="n">
        <f aca="false">IF(AND(L283&lt;&gt;"",L283&lt;&gt;"Rest Day"),1,0)</f>
        <v>0</v>
      </c>
      <c r="Y283" s="34" t="n">
        <f aca="false">IF(X283=1,Y282+1,0)</f>
        <v>0</v>
      </c>
      <c r="Z283" s="34" t="n">
        <f aca="false">IF(N(T283)&gt;=1,Z282+1,0)</f>
        <v>0</v>
      </c>
      <c r="AA283" s="34" t="n">
        <f aca="false">IF(N(U283)&gt;=1,AA282+1,0)</f>
        <v>0</v>
      </c>
      <c r="AB283" s="34" t="n">
        <f aca="false">IF(N(V283)&gt;=1,AB282+1,0)</f>
        <v>0</v>
      </c>
      <c r="AC283" s="34" t="str">
        <f aca="false">IF(COUNT(E283,F283,I283,J283)=0,"",ROUND((MIN(IFERROR(E283/StepGoal,0),1)*100)*0.2+(MIN(IFERROR(F283/SleepGoal,0),1)*100)*0.2+(IF(L283="",0,IF(L283="Rest Day",100,MIN(IFERROR(M283/60,0),1)*100)))*0.25+(IFERROR(INDEX('Recovery Tracker'!$E$5:$E$369,MATCH(A283,'Recovery Tracker'!$A$5:$A$369,0))+0,70))*0.15+(MIN(IFERROR(I283/WaterGoal,0),1)*100)*0.1+(IF(J283="",0,MAX(0,100-MIN(ABS(J283-CalorieGoal)/CalorieGoal,1)*100)))*0.1,0))</f>
        <v/>
      </c>
    </row>
    <row r="284" customFormat="false" ht="15" hidden="false" customHeight="false" outlineLevel="0" collapsed="false">
      <c r="A284" s="35" t="n">
        <f aca="false">A283+1</f>
        <v>46302</v>
      </c>
      <c r="B284" s="36" t="str">
        <f aca="false">TEXT(A284,"ddd")</f>
        <v>Wed</v>
      </c>
      <c r="C284" s="36" t="n">
        <f aca="false">INT((A284-StartDate)/7)+1</f>
        <v>40</v>
      </c>
      <c r="D284" s="36" t="str">
        <f aca="false">TEXT(A284,"mmm")</f>
        <v>Oct</v>
      </c>
      <c r="E284" s="28"/>
      <c r="F284" s="29"/>
      <c r="G284" s="29"/>
      <c r="H284" s="30"/>
      <c r="I284" s="29"/>
      <c r="J284" s="28"/>
      <c r="K284" s="28"/>
      <c r="L284" s="31"/>
      <c r="M284" s="28"/>
      <c r="N284" s="31"/>
      <c r="O284" s="31"/>
      <c r="P284" s="31"/>
      <c r="Q284" s="31"/>
      <c r="R284" s="31"/>
      <c r="S284" s="32"/>
      <c r="T284" s="37" t="str">
        <f aca="false">IF(E284="","",E284/StepGoal)</f>
        <v/>
      </c>
      <c r="U284" s="37" t="str">
        <f aca="false">IF(F284="","",F284/SleepGoal)</f>
        <v/>
      </c>
      <c r="V284" s="37" t="str">
        <f aca="false">IF(I284="","",I284/WaterGoal)</f>
        <v/>
      </c>
      <c r="W284" s="37" t="str">
        <f aca="false">IF(COUNT(E284,F284,I284)=0,"",(IF(N(T284)&gt;=1,1,0)+IF(N(U284)&gt;=1,1,0)+IF(N(V284)&gt;=1,1,0))/3)</f>
        <v/>
      </c>
      <c r="X284" s="36" t="n">
        <f aca="false">IF(AND(L284&lt;&gt;"",L284&lt;&gt;"Rest Day"),1,0)</f>
        <v>0</v>
      </c>
      <c r="Y284" s="38" t="n">
        <f aca="false">IF(X284=1,Y283+1,0)</f>
        <v>0</v>
      </c>
      <c r="Z284" s="38" t="n">
        <f aca="false">IF(N(T284)&gt;=1,Z283+1,0)</f>
        <v>0</v>
      </c>
      <c r="AA284" s="38" t="n">
        <f aca="false">IF(N(U284)&gt;=1,AA283+1,0)</f>
        <v>0</v>
      </c>
      <c r="AB284" s="38" t="n">
        <f aca="false">IF(N(V284)&gt;=1,AB283+1,0)</f>
        <v>0</v>
      </c>
      <c r="AC284" s="38" t="str">
        <f aca="false">IF(COUNT(E284,F284,I284,J284)=0,"",ROUND((MIN(IFERROR(E284/StepGoal,0),1)*100)*0.2+(MIN(IFERROR(F284/SleepGoal,0),1)*100)*0.2+(IF(L284="",0,IF(L284="Rest Day",100,MIN(IFERROR(M284/60,0),1)*100)))*0.25+(IFERROR(INDEX('Recovery Tracker'!$E$5:$E$369,MATCH(A284,'Recovery Tracker'!$A$5:$A$369,0))+0,70))*0.15+(MIN(IFERROR(I284/WaterGoal,0),1)*100)*0.1+(IF(J284="",0,MAX(0,100-MIN(ABS(J284-CalorieGoal)/CalorieGoal,1)*100)))*0.1,0))</f>
        <v/>
      </c>
    </row>
    <row r="285" customFormat="false" ht="15" hidden="false" customHeight="false" outlineLevel="0" collapsed="false">
      <c r="A285" s="26" t="n">
        <f aca="false">A284+1</f>
        <v>46303</v>
      </c>
      <c r="B285" s="27" t="str">
        <f aca="false">TEXT(A285,"ddd")</f>
        <v>Thu</v>
      </c>
      <c r="C285" s="27" t="n">
        <f aca="false">INT((A285-StartDate)/7)+1</f>
        <v>41</v>
      </c>
      <c r="D285" s="27" t="str">
        <f aca="false">TEXT(A285,"mmm")</f>
        <v>Oct</v>
      </c>
      <c r="E285" s="28"/>
      <c r="F285" s="29"/>
      <c r="G285" s="29"/>
      <c r="H285" s="30"/>
      <c r="I285" s="29"/>
      <c r="J285" s="28"/>
      <c r="K285" s="28"/>
      <c r="L285" s="31"/>
      <c r="M285" s="28"/>
      <c r="N285" s="31"/>
      <c r="O285" s="31"/>
      <c r="P285" s="31"/>
      <c r="Q285" s="31"/>
      <c r="R285" s="31"/>
      <c r="S285" s="32"/>
      <c r="T285" s="33" t="str">
        <f aca="false">IF(E285="","",E285/StepGoal)</f>
        <v/>
      </c>
      <c r="U285" s="33" t="str">
        <f aca="false">IF(F285="","",F285/SleepGoal)</f>
        <v/>
      </c>
      <c r="V285" s="33" t="str">
        <f aca="false">IF(I285="","",I285/WaterGoal)</f>
        <v/>
      </c>
      <c r="W285" s="33" t="str">
        <f aca="false">IF(COUNT(E285,F285,I285)=0,"",(IF(N(T285)&gt;=1,1,0)+IF(N(U285)&gt;=1,1,0)+IF(N(V285)&gt;=1,1,0))/3)</f>
        <v/>
      </c>
      <c r="X285" s="27" t="n">
        <f aca="false">IF(AND(L285&lt;&gt;"",L285&lt;&gt;"Rest Day"),1,0)</f>
        <v>0</v>
      </c>
      <c r="Y285" s="34" t="n">
        <f aca="false">IF(X285=1,Y284+1,0)</f>
        <v>0</v>
      </c>
      <c r="Z285" s="34" t="n">
        <f aca="false">IF(N(T285)&gt;=1,Z284+1,0)</f>
        <v>0</v>
      </c>
      <c r="AA285" s="34" t="n">
        <f aca="false">IF(N(U285)&gt;=1,AA284+1,0)</f>
        <v>0</v>
      </c>
      <c r="AB285" s="34" t="n">
        <f aca="false">IF(N(V285)&gt;=1,AB284+1,0)</f>
        <v>0</v>
      </c>
      <c r="AC285" s="34" t="str">
        <f aca="false">IF(COUNT(E285,F285,I285,J285)=0,"",ROUND((MIN(IFERROR(E285/StepGoal,0),1)*100)*0.2+(MIN(IFERROR(F285/SleepGoal,0),1)*100)*0.2+(IF(L285="",0,IF(L285="Rest Day",100,MIN(IFERROR(M285/60,0),1)*100)))*0.25+(IFERROR(INDEX('Recovery Tracker'!$E$5:$E$369,MATCH(A285,'Recovery Tracker'!$A$5:$A$369,0))+0,70))*0.15+(MIN(IFERROR(I285/WaterGoal,0),1)*100)*0.1+(IF(J285="",0,MAX(0,100-MIN(ABS(J285-CalorieGoal)/CalorieGoal,1)*100)))*0.1,0))</f>
        <v/>
      </c>
    </row>
    <row r="286" customFormat="false" ht="15" hidden="false" customHeight="false" outlineLevel="0" collapsed="false">
      <c r="A286" s="35" t="n">
        <f aca="false">A285+1</f>
        <v>46304</v>
      </c>
      <c r="B286" s="36" t="str">
        <f aca="false">TEXT(A286,"ddd")</f>
        <v>Fri</v>
      </c>
      <c r="C286" s="36" t="n">
        <f aca="false">INT((A286-StartDate)/7)+1</f>
        <v>41</v>
      </c>
      <c r="D286" s="36" t="str">
        <f aca="false">TEXT(A286,"mmm")</f>
        <v>Oct</v>
      </c>
      <c r="E286" s="28"/>
      <c r="F286" s="29"/>
      <c r="G286" s="29"/>
      <c r="H286" s="30"/>
      <c r="I286" s="29"/>
      <c r="J286" s="28"/>
      <c r="K286" s="28"/>
      <c r="L286" s="31"/>
      <c r="M286" s="28"/>
      <c r="N286" s="31"/>
      <c r="O286" s="31"/>
      <c r="P286" s="31"/>
      <c r="Q286" s="31"/>
      <c r="R286" s="31"/>
      <c r="S286" s="32"/>
      <c r="T286" s="37" t="str">
        <f aca="false">IF(E286="","",E286/StepGoal)</f>
        <v/>
      </c>
      <c r="U286" s="37" t="str">
        <f aca="false">IF(F286="","",F286/SleepGoal)</f>
        <v/>
      </c>
      <c r="V286" s="37" t="str">
        <f aca="false">IF(I286="","",I286/WaterGoal)</f>
        <v/>
      </c>
      <c r="W286" s="37" t="str">
        <f aca="false">IF(COUNT(E286,F286,I286)=0,"",(IF(N(T286)&gt;=1,1,0)+IF(N(U286)&gt;=1,1,0)+IF(N(V286)&gt;=1,1,0))/3)</f>
        <v/>
      </c>
      <c r="X286" s="36" t="n">
        <f aca="false">IF(AND(L286&lt;&gt;"",L286&lt;&gt;"Rest Day"),1,0)</f>
        <v>0</v>
      </c>
      <c r="Y286" s="38" t="n">
        <f aca="false">IF(X286=1,Y285+1,0)</f>
        <v>0</v>
      </c>
      <c r="Z286" s="38" t="n">
        <f aca="false">IF(N(T286)&gt;=1,Z285+1,0)</f>
        <v>0</v>
      </c>
      <c r="AA286" s="38" t="n">
        <f aca="false">IF(N(U286)&gt;=1,AA285+1,0)</f>
        <v>0</v>
      </c>
      <c r="AB286" s="38" t="n">
        <f aca="false">IF(N(V286)&gt;=1,AB285+1,0)</f>
        <v>0</v>
      </c>
      <c r="AC286" s="38" t="str">
        <f aca="false">IF(COUNT(E286,F286,I286,J286)=0,"",ROUND((MIN(IFERROR(E286/StepGoal,0),1)*100)*0.2+(MIN(IFERROR(F286/SleepGoal,0),1)*100)*0.2+(IF(L286="",0,IF(L286="Rest Day",100,MIN(IFERROR(M286/60,0),1)*100)))*0.25+(IFERROR(INDEX('Recovery Tracker'!$E$5:$E$369,MATCH(A286,'Recovery Tracker'!$A$5:$A$369,0))+0,70))*0.15+(MIN(IFERROR(I286/WaterGoal,0),1)*100)*0.1+(IF(J286="",0,MAX(0,100-MIN(ABS(J286-CalorieGoal)/CalorieGoal,1)*100)))*0.1,0))</f>
        <v/>
      </c>
    </row>
    <row r="287" customFormat="false" ht="15" hidden="false" customHeight="false" outlineLevel="0" collapsed="false">
      <c r="A287" s="26" t="n">
        <f aca="false">A286+1</f>
        <v>46305</v>
      </c>
      <c r="B287" s="27" t="str">
        <f aca="false">TEXT(A287,"ddd")</f>
        <v>Sat</v>
      </c>
      <c r="C287" s="27" t="n">
        <f aca="false">INT((A287-StartDate)/7)+1</f>
        <v>41</v>
      </c>
      <c r="D287" s="27" t="str">
        <f aca="false">TEXT(A287,"mmm")</f>
        <v>Oct</v>
      </c>
      <c r="E287" s="28"/>
      <c r="F287" s="29"/>
      <c r="G287" s="29"/>
      <c r="H287" s="30"/>
      <c r="I287" s="29"/>
      <c r="J287" s="28"/>
      <c r="K287" s="28"/>
      <c r="L287" s="31"/>
      <c r="M287" s="28"/>
      <c r="N287" s="31"/>
      <c r="O287" s="31"/>
      <c r="P287" s="31"/>
      <c r="Q287" s="31"/>
      <c r="R287" s="31"/>
      <c r="S287" s="32"/>
      <c r="T287" s="33" t="str">
        <f aca="false">IF(E287="","",E287/StepGoal)</f>
        <v/>
      </c>
      <c r="U287" s="33" t="str">
        <f aca="false">IF(F287="","",F287/SleepGoal)</f>
        <v/>
      </c>
      <c r="V287" s="33" t="str">
        <f aca="false">IF(I287="","",I287/WaterGoal)</f>
        <v/>
      </c>
      <c r="W287" s="33" t="str">
        <f aca="false">IF(COUNT(E287,F287,I287)=0,"",(IF(N(T287)&gt;=1,1,0)+IF(N(U287)&gt;=1,1,0)+IF(N(V287)&gt;=1,1,0))/3)</f>
        <v/>
      </c>
      <c r="X287" s="27" t="n">
        <f aca="false">IF(AND(L287&lt;&gt;"",L287&lt;&gt;"Rest Day"),1,0)</f>
        <v>0</v>
      </c>
      <c r="Y287" s="34" t="n">
        <f aca="false">IF(X287=1,Y286+1,0)</f>
        <v>0</v>
      </c>
      <c r="Z287" s="34" t="n">
        <f aca="false">IF(N(T287)&gt;=1,Z286+1,0)</f>
        <v>0</v>
      </c>
      <c r="AA287" s="34" t="n">
        <f aca="false">IF(N(U287)&gt;=1,AA286+1,0)</f>
        <v>0</v>
      </c>
      <c r="AB287" s="34" t="n">
        <f aca="false">IF(N(V287)&gt;=1,AB286+1,0)</f>
        <v>0</v>
      </c>
      <c r="AC287" s="34" t="str">
        <f aca="false">IF(COUNT(E287,F287,I287,J287)=0,"",ROUND((MIN(IFERROR(E287/StepGoal,0),1)*100)*0.2+(MIN(IFERROR(F287/SleepGoal,0),1)*100)*0.2+(IF(L287="",0,IF(L287="Rest Day",100,MIN(IFERROR(M287/60,0),1)*100)))*0.25+(IFERROR(INDEX('Recovery Tracker'!$E$5:$E$369,MATCH(A287,'Recovery Tracker'!$A$5:$A$369,0))+0,70))*0.15+(MIN(IFERROR(I287/WaterGoal,0),1)*100)*0.1+(IF(J287="",0,MAX(0,100-MIN(ABS(J287-CalorieGoal)/CalorieGoal,1)*100)))*0.1,0))</f>
        <v/>
      </c>
    </row>
    <row r="288" customFormat="false" ht="15" hidden="false" customHeight="false" outlineLevel="0" collapsed="false">
      <c r="A288" s="35" t="n">
        <f aca="false">A287+1</f>
        <v>46306</v>
      </c>
      <c r="B288" s="36" t="str">
        <f aca="false">TEXT(A288,"ddd")</f>
        <v>Sun</v>
      </c>
      <c r="C288" s="36" t="n">
        <f aca="false">INT((A288-StartDate)/7)+1</f>
        <v>41</v>
      </c>
      <c r="D288" s="36" t="str">
        <f aca="false">TEXT(A288,"mmm")</f>
        <v>Oct</v>
      </c>
      <c r="E288" s="28"/>
      <c r="F288" s="29"/>
      <c r="G288" s="29"/>
      <c r="H288" s="30"/>
      <c r="I288" s="29"/>
      <c r="J288" s="28"/>
      <c r="K288" s="28"/>
      <c r="L288" s="31"/>
      <c r="M288" s="28"/>
      <c r="N288" s="31"/>
      <c r="O288" s="31"/>
      <c r="P288" s="31"/>
      <c r="Q288" s="31"/>
      <c r="R288" s="31"/>
      <c r="S288" s="32"/>
      <c r="T288" s="37" t="str">
        <f aca="false">IF(E288="","",E288/StepGoal)</f>
        <v/>
      </c>
      <c r="U288" s="37" t="str">
        <f aca="false">IF(F288="","",F288/SleepGoal)</f>
        <v/>
      </c>
      <c r="V288" s="37" t="str">
        <f aca="false">IF(I288="","",I288/WaterGoal)</f>
        <v/>
      </c>
      <c r="W288" s="37" t="str">
        <f aca="false">IF(COUNT(E288,F288,I288)=0,"",(IF(N(T288)&gt;=1,1,0)+IF(N(U288)&gt;=1,1,0)+IF(N(V288)&gt;=1,1,0))/3)</f>
        <v/>
      </c>
      <c r="X288" s="36" t="n">
        <f aca="false">IF(AND(L288&lt;&gt;"",L288&lt;&gt;"Rest Day"),1,0)</f>
        <v>0</v>
      </c>
      <c r="Y288" s="38" t="n">
        <f aca="false">IF(X288=1,Y287+1,0)</f>
        <v>0</v>
      </c>
      <c r="Z288" s="38" t="n">
        <f aca="false">IF(N(T288)&gt;=1,Z287+1,0)</f>
        <v>0</v>
      </c>
      <c r="AA288" s="38" t="n">
        <f aca="false">IF(N(U288)&gt;=1,AA287+1,0)</f>
        <v>0</v>
      </c>
      <c r="AB288" s="38" t="n">
        <f aca="false">IF(N(V288)&gt;=1,AB287+1,0)</f>
        <v>0</v>
      </c>
      <c r="AC288" s="38" t="str">
        <f aca="false">IF(COUNT(E288,F288,I288,J288)=0,"",ROUND((MIN(IFERROR(E288/StepGoal,0),1)*100)*0.2+(MIN(IFERROR(F288/SleepGoal,0),1)*100)*0.2+(IF(L288="",0,IF(L288="Rest Day",100,MIN(IFERROR(M288/60,0),1)*100)))*0.25+(IFERROR(INDEX('Recovery Tracker'!$E$5:$E$369,MATCH(A288,'Recovery Tracker'!$A$5:$A$369,0))+0,70))*0.15+(MIN(IFERROR(I288/WaterGoal,0),1)*100)*0.1+(IF(J288="",0,MAX(0,100-MIN(ABS(J288-CalorieGoal)/CalorieGoal,1)*100)))*0.1,0))</f>
        <v/>
      </c>
    </row>
    <row r="289" customFormat="false" ht="15" hidden="false" customHeight="false" outlineLevel="0" collapsed="false">
      <c r="A289" s="26" t="n">
        <f aca="false">A288+1</f>
        <v>46307</v>
      </c>
      <c r="B289" s="27" t="str">
        <f aca="false">TEXT(A289,"ddd")</f>
        <v>Mon</v>
      </c>
      <c r="C289" s="27" t="n">
        <f aca="false">INT((A289-StartDate)/7)+1</f>
        <v>41</v>
      </c>
      <c r="D289" s="27" t="str">
        <f aca="false">TEXT(A289,"mmm")</f>
        <v>Oct</v>
      </c>
      <c r="E289" s="28"/>
      <c r="F289" s="29"/>
      <c r="G289" s="29"/>
      <c r="H289" s="30"/>
      <c r="I289" s="29"/>
      <c r="J289" s="28"/>
      <c r="K289" s="28"/>
      <c r="L289" s="31"/>
      <c r="M289" s="28"/>
      <c r="N289" s="31"/>
      <c r="O289" s="31"/>
      <c r="P289" s="31"/>
      <c r="Q289" s="31"/>
      <c r="R289" s="31"/>
      <c r="S289" s="32"/>
      <c r="T289" s="33" t="str">
        <f aca="false">IF(E289="","",E289/StepGoal)</f>
        <v/>
      </c>
      <c r="U289" s="33" t="str">
        <f aca="false">IF(F289="","",F289/SleepGoal)</f>
        <v/>
      </c>
      <c r="V289" s="33" t="str">
        <f aca="false">IF(I289="","",I289/WaterGoal)</f>
        <v/>
      </c>
      <c r="W289" s="33" t="str">
        <f aca="false">IF(COUNT(E289,F289,I289)=0,"",(IF(N(T289)&gt;=1,1,0)+IF(N(U289)&gt;=1,1,0)+IF(N(V289)&gt;=1,1,0))/3)</f>
        <v/>
      </c>
      <c r="X289" s="27" t="n">
        <f aca="false">IF(AND(L289&lt;&gt;"",L289&lt;&gt;"Rest Day"),1,0)</f>
        <v>0</v>
      </c>
      <c r="Y289" s="34" t="n">
        <f aca="false">IF(X289=1,Y288+1,0)</f>
        <v>0</v>
      </c>
      <c r="Z289" s="34" t="n">
        <f aca="false">IF(N(T289)&gt;=1,Z288+1,0)</f>
        <v>0</v>
      </c>
      <c r="AA289" s="34" t="n">
        <f aca="false">IF(N(U289)&gt;=1,AA288+1,0)</f>
        <v>0</v>
      </c>
      <c r="AB289" s="34" t="n">
        <f aca="false">IF(N(V289)&gt;=1,AB288+1,0)</f>
        <v>0</v>
      </c>
      <c r="AC289" s="34" t="str">
        <f aca="false">IF(COUNT(E289,F289,I289,J289)=0,"",ROUND((MIN(IFERROR(E289/StepGoal,0),1)*100)*0.2+(MIN(IFERROR(F289/SleepGoal,0),1)*100)*0.2+(IF(L289="",0,IF(L289="Rest Day",100,MIN(IFERROR(M289/60,0),1)*100)))*0.25+(IFERROR(INDEX('Recovery Tracker'!$E$5:$E$369,MATCH(A289,'Recovery Tracker'!$A$5:$A$369,0))+0,70))*0.15+(MIN(IFERROR(I289/WaterGoal,0),1)*100)*0.1+(IF(J289="",0,MAX(0,100-MIN(ABS(J289-CalorieGoal)/CalorieGoal,1)*100)))*0.1,0))</f>
        <v/>
      </c>
    </row>
    <row r="290" customFormat="false" ht="15" hidden="false" customHeight="false" outlineLevel="0" collapsed="false">
      <c r="A290" s="35" t="n">
        <f aca="false">A289+1</f>
        <v>46308</v>
      </c>
      <c r="B290" s="36" t="str">
        <f aca="false">TEXT(A290,"ddd")</f>
        <v>Tue</v>
      </c>
      <c r="C290" s="36" t="n">
        <f aca="false">INT((A290-StartDate)/7)+1</f>
        <v>41</v>
      </c>
      <c r="D290" s="36" t="str">
        <f aca="false">TEXT(A290,"mmm")</f>
        <v>Oct</v>
      </c>
      <c r="E290" s="28"/>
      <c r="F290" s="29"/>
      <c r="G290" s="29"/>
      <c r="H290" s="30"/>
      <c r="I290" s="29"/>
      <c r="J290" s="28"/>
      <c r="K290" s="28"/>
      <c r="L290" s="31"/>
      <c r="M290" s="28"/>
      <c r="N290" s="31"/>
      <c r="O290" s="31"/>
      <c r="P290" s="31"/>
      <c r="Q290" s="31"/>
      <c r="R290" s="31"/>
      <c r="S290" s="32"/>
      <c r="T290" s="37" t="str">
        <f aca="false">IF(E290="","",E290/StepGoal)</f>
        <v/>
      </c>
      <c r="U290" s="37" t="str">
        <f aca="false">IF(F290="","",F290/SleepGoal)</f>
        <v/>
      </c>
      <c r="V290" s="37" t="str">
        <f aca="false">IF(I290="","",I290/WaterGoal)</f>
        <v/>
      </c>
      <c r="W290" s="37" t="str">
        <f aca="false">IF(COUNT(E290,F290,I290)=0,"",(IF(N(T290)&gt;=1,1,0)+IF(N(U290)&gt;=1,1,0)+IF(N(V290)&gt;=1,1,0))/3)</f>
        <v/>
      </c>
      <c r="X290" s="36" t="n">
        <f aca="false">IF(AND(L290&lt;&gt;"",L290&lt;&gt;"Rest Day"),1,0)</f>
        <v>0</v>
      </c>
      <c r="Y290" s="38" t="n">
        <f aca="false">IF(X290=1,Y289+1,0)</f>
        <v>0</v>
      </c>
      <c r="Z290" s="38" t="n">
        <f aca="false">IF(N(T290)&gt;=1,Z289+1,0)</f>
        <v>0</v>
      </c>
      <c r="AA290" s="38" t="n">
        <f aca="false">IF(N(U290)&gt;=1,AA289+1,0)</f>
        <v>0</v>
      </c>
      <c r="AB290" s="38" t="n">
        <f aca="false">IF(N(V290)&gt;=1,AB289+1,0)</f>
        <v>0</v>
      </c>
      <c r="AC290" s="38" t="str">
        <f aca="false">IF(COUNT(E290,F290,I290,J290)=0,"",ROUND((MIN(IFERROR(E290/StepGoal,0),1)*100)*0.2+(MIN(IFERROR(F290/SleepGoal,0),1)*100)*0.2+(IF(L290="",0,IF(L290="Rest Day",100,MIN(IFERROR(M290/60,0),1)*100)))*0.25+(IFERROR(INDEX('Recovery Tracker'!$E$5:$E$369,MATCH(A290,'Recovery Tracker'!$A$5:$A$369,0))+0,70))*0.15+(MIN(IFERROR(I290/WaterGoal,0),1)*100)*0.1+(IF(J290="",0,MAX(0,100-MIN(ABS(J290-CalorieGoal)/CalorieGoal,1)*100)))*0.1,0))</f>
        <v/>
      </c>
    </row>
    <row r="291" customFormat="false" ht="15" hidden="false" customHeight="false" outlineLevel="0" collapsed="false">
      <c r="A291" s="26" t="n">
        <f aca="false">A290+1</f>
        <v>46309</v>
      </c>
      <c r="B291" s="27" t="str">
        <f aca="false">TEXT(A291,"ddd")</f>
        <v>Wed</v>
      </c>
      <c r="C291" s="27" t="n">
        <f aca="false">INT((A291-StartDate)/7)+1</f>
        <v>41</v>
      </c>
      <c r="D291" s="27" t="str">
        <f aca="false">TEXT(A291,"mmm")</f>
        <v>Oct</v>
      </c>
      <c r="E291" s="28"/>
      <c r="F291" s="29"/>
      <c r="G291" s="29"/>
      <c r="H291" s="30"/>
      <c r="I291" s="29"/>
      <c r="J291" s="28"/>
      <c r="K291" s="28"/>
      <c r="L291" s="31"/>
      <c r="M291" s="28"/>
      <c r="N291" s="31"/>
      <c r="O291" s="31"/>
      <c r="P291" s="31"/>
      <c r="Q291" s="31"/>
      <c r="R291" s="31"/>
      <c r="S291" s="32"/>
      <c r="T291" s="33" t="str">
        <f aca="false">IF(E291="","",E291/StepGoal)</f>
        <v/>
      </c>
      <c r="U291" s="33" t="str">
        <f aca="false">IF(F291="","",F291/SleepGoal)</f>
        <v/>
      </c>
      <c r="V291" s="33" t="str">
        <f aca="false">IF(I291="","",I291/WaterGoal)</f>
        <v/>
      </c>
      <c r="W291" s="33" t="str">
        <f aca="false">IF(COUNT(E291,F291,I291)=0,"",(IF(N(T291)&gt;=1,1,0)+IF(N(U291)&gt;=1,1,0)+IF(N(V291)&gt;=1,1,0))/3)</f>
        <v/>
      </c>
      <c r="X291" s="27" t="n">
        <f aca="false">IF(AND(L291&lt;&gt;"",L291&lt;&gt;"Rest Day"),1,0)</f>
        <v>0</v>
      </c>
      <c r="Y291" s="34" t="n">
        <f aca="false">IF(X291=1,Y290+1,0)</f>
        <v>0</v>
      </c>
      <c r="Z291" s="34" t="n">
        <f aca="false">IF(N(T291)&gt;=1,Z290+1,0)</f>
        <v>0</v>
      </c>
      <c r="AA291" s="34" t="n">
        <f aca="false">IF(N(U291)&gt;=1,AA290+1,0)</f>
        <v>0</v>
      </c>
      <c r="AB291" s="34" t="n">
        <f aca="false">IF(N(V291)&gt;=1,AB290+1,0)</f>
        <v>0</v>
      </c>
      <c r="AC291" s="34" t="str">
        <f aca="false">IF(COUNT(E291,F291,I291,J291)=0,"",ROUND((MIN(IFERROR(E291/StepGoal,0),1)*100)*0.2+(MIN(IFERROR(F291/SleepGoal,0),1)*100)*0.2+(IF(L291="",0,IF(L291="Rest Day",100,MIN(IFERROR(M291/60,0),1)*100)))*0.25+(IFERROR(INDEX('Recovery Tracker'!$E$5:$E$369,MATCH(A291,'Recovery Tracker'!$A$5:$A$369,0))+0,70))*0.15+(MIN(IFERROR(I291/WaterGoal,0),1)*100)*0.1+(IF(J291="",0,MAX(0,100-MIN(ABS(J291-CalorieGoal)/CalorieGoal,1)*100)))*0.1,0))</f>
        <v/>
      </c>
    </row>
    <row r="292" customFormat="false" ht="15" hidden="false" customHeight="false" outlineLevel="0" collapsed="false">
      <c r="A292" s="35" t="n">
        <f aca="false">A291+1</f>
        <v>46310</v>
      </c>
      <c r="B292" s="36" t="str">
        <f aca="false">TEXT(A292,"ddd")</f>
        <v>Thu</v>
      </c>
      <c r="C292" s="36" t="n">
        <f aca="false">INT((A292-StartDate)/7)+1</f>
        <v>42</v>
      </c>
      <c r="D292" s="36" t="str">
        <f aca="false">TEXT(A292,"mmm")</f>
        <v>Oct</v>
      </c>
      <c r="E292" s="28"/>
      <c r="F292" s="29"/>
      <c r="G292" s="29"/>
      <c r="H292" s="30"/>
      <c r="I292" s="29"/>
      <c r="J292" s="28"/>
      <c r="K292" s="28"/>
      <c r="L292" s="31"/>
      <c r="M292" s="28"/>
      <c r="N292" s="31"/>
      <c r="O292" s="31"/>
      <c r="P292" s="31"/>
      <c r="Q292" s="31"/>
      <c r="R292" s="31"/>
      <c r="S292" s="32"/>
      <c r="T292" s="37" t="str">
        <f aca="false">IF(E292="","",E292/StepGoal)</f>
        <v/>
      </c>
      <c r="U292" s="37" t="str">
        <f aca="false">IF(F292="","",F292/SleepGoal)</f>
        <v/>
      </c>
      <c r="V292" s="37" t="str">
        <f aca="false">IF(I292="","",I292/WaterGoal)</f>
        <v/>
      </c>
      <c r="W292" s="37" t="str">
        <f aca="false">IF(COUNT(E292,F292,I292)=0,"",(IF(N(T292)&gt;=1,1,0)+IF(N(U292)&gt;=1,1,0)+IF(N(V292)&gt;=1,1,0))/3)</f>
        <v/>
      </c>
      <c r="X292" s="36" t="n">
        <f aca="false">IF(AND(L292&lt;&gt;"",L292&lt;&gt;"Rest Day"),1,0)</f>
        <v>0</v>
      </c>
      <c r="Y292" s="38" t="n">
        <f aca="false">IF(X292=1,Y291+1,0)</f>
        <v>0</v>
      </c>
      <c r="Z292" s="38" t="n">
        <f aca="false">IF(N(T292)&gt;=1,Z291+1,0)</f>
        <v>0</v>
      </c>
      <c r="AA292" s="38" t="n">
        <f aca="false">IF(N(U292)&gt;=1,AA291+1,0)</f>
        <v>0</v>
      </c>
      <c r="AB292" s="38" t="n">
        <f aca="false">IF(N(V292)&gt;=1,AB291+1,0)</f>
        <v>0</v>
      </c>
      <c r="AC292" s="38" t="str">
        <f aca="false">IF(COUNT(E292,F292,I292,J292)=0,"",ROUND((MIN(IFERROR(E292/StepGoal,0),1)*100)*0.2+(MIN(IFERROR(F292/SleepGoal,0),1)*100)*0.2+(IF(L292="",0,IF(L292="Rest Day",100,MIN(IFERROR(M292/60,0),1)*100)))*0.25+(IFERROR(INDEX('Recovery Tracker'!$E$5:$E$369,MATCH(A292,'Recovery Tracker'!$A$5:$A$369,0))+0,70))*0.15+(MIN(IFERROR(I292/WaterGoal,0),1)*100)*0.1+(IF(J292="",0,MAX(0,100-MIN(ABS(J292-CalorieGoal)/CalorieGoal,1)*100)))*0.1,0))</f>
        <v/>
      </c>
    </row>
    <row r="293" customFormat="false" ht="15" hidden="false" customHeight="false" outlineLevel="0" collapsed="false">
      <c r="A293" s="26" t="n">
        <f aca="false">A292+1</f>
        <v>46311</v>
      </c>
      <c r="B293" s="27" t="str">
        <f aca="false">TEXT(A293,"ddd")</f>
        <v>Fri</v>
      </c>
      <c r="C293" s="27" t="n">
        <f aca="false">INT((A293-StartDate)/7)+1</f>
        <v>42</v>
      </c>
      <c r="D293" s="27" t="str">
        <f aca="false">TEXT(A293,"mmm")</f>
        <v>Oct</v>
      </c>
      <c r="E293" s="28"/>
      <c r="F293" s="29"/>
      <c r="G293" s="29"/>
      <c r="H293" s="30"/>
      <c r="I293" s="29"/>
      <c r="J293" s="28"/>
      <c r="K293" s="28"/>
      <c r="L293" s="31"/>
      <c r="M293" s="28"/>
      <c r="N293" s="31"/>
      <c r="O293" s="31"/>
      <c r="P293" s="31"/>
      <c r="Q293" s="31"/>
      <c r="R293" s="31"/>
      <c r="S293" s="32"/>
      <c r="T293" s="33" t="str">
        <f aca="false">IF(E293="","",E293/StepGoal)</f>
        <v/>
      </c>
      <c r="U293" s="33" t="str">
        <f aca="false">IF(F293="","",F293/SleepGoal)</f>
        <v/>
      </c>
      <c r="V293" s="33" t="str">
        <f aca="false">IF(I293="","",I293/WaterGoal)</f>
        <v/>
      </c>
      <c r="W293" s="33" t="str">
        <f aca="false">IF(COUNT(E293,F293,I293)=0,"",(IF(N(T293)&gt;=1,1,0)+IF(N(U293)&gt;=1,1,0)+IF(N(V293)&gt;=1,1,0))/3)</f>
        <v/>
      </c>
      <c r="X293" s="27" t="n">
        <f aca="false">IF(AND(L293&lt;&gt;"",L293&lt;&gt;"Rest Day"),1,0)</f>
        <v>0</v>
      </c>
      <c r="Y293" s="34" t="n">
        <f aca="false">IF(X293=1,Y292+1,0)</f>
        <v>0</v>
      </c>
      <c r="Z293" s="34" t="n">
        <f aca="false">IF(N(T293)&gt;=1,Z292+1,0)</f>
        <v>0</v>
      </c>
      <c r="AA293" s="34" t="n">
        <f aca="false">IF(N(U293)&gt;=1,AA292+1,0)</f>
        <v>0</v>
      </c>
      <c r="AB293" s="34" t="n">
        <f aca="false">IF(N(V293)&gt;=1,AB292+1,0)</f>
        <v>0</v>
      </c>
      <c r="AC293" s="34" t="str">
        <f aca="false">IF(COUNT(E293,F293,I293,J293)=0,"",ROUND((MIN(IFERROR(E293/StepGoal,0),1)*100)*0.2+(MIN(IFERROR(F293/SleepGoal,0),1)*100)*0.2+(IF(L293="",0,IF(L293="Rest Day",100,MIN(IFERROR(M293/60,0),1)*100)))*0.25+(IFERROR(INDEX('Recovery Tracker'!$E$5:$E$369,MATCH(A293,'Recovery Tracker'!$A$5:$A$369,0))+0,70))*0.15+(MIN(IFERROR(I293/WaterGoal,0),1)*100)*0.1+(IF(J293="",0,MAX(0,100-MIN(ABS(J293-CalorieGoal)/CalorieGoal,1)*100)))*0.1,0))</f>
        <v/>
      </c>
    </row>
    <row r="294" customFormat="false" ht="15" hidden="false" customHeight="false" outlineLevel="0" collapsed="false">
      <c r="A294" s="35" t="n">
        <f aca="false">A293+1</f>
        <v>46312</v>
      </c>
      <c r="B294" s="36" t="str">
        <f aca="false">TEXT(A294,"ddd")</f>
        <v>Sat</v>
      </c>
      <c r="C294" s="36" t="n">
        <f aca="false">INT((A294-StartDate)/7)+1</f>
        <v>42</v>
      </c>
      <c r="D294" s="36" t="str">
        <f aca="false">TEXT(A294,"mmm")</f>
        <v>Oct</v>
      </c>
      <c r="E294" s="28"/>
      <c r="F294" s="29"/>
      <c r="G294" s="29"/>
      <c r="H294" s="30"/>
      <c r="I294" s="29"/>
      <c r="J294" s="28"/>
      <c r="K294" s="28"/>
      <c r="L294" s="31"/>
      <c r="M294" s="28"/>
      <c r="N294" s="31"/>
      <c r="O294" s="31"/>
      <c r="P294" s="31"/>
      <c r="Q294" s="31"/>
      <c r="R294" s="31"/>
      <c r="S294" s="32"/>
      <c r="T294" s="37" t="str">
        <f aca="false">IF(E294="","",E294/StepGoal)</f>
        <v/>
      </c>
      <c r="U294" s="37" t="str">
        <f aca="false">IF(F294="","",F294/SleepGoal)</f>
        <v/>
      </c>
      <c r="V294" s="37" t="str">
        <f aca="false">IF(I294="","",I294/WaterGoal)</f>
        <v/>
      </c>
      <c r="W294" s="37" t="str">
        <f aca="false">IF(COUNT(E294,F294,I294)=0,"",(IF(N(T294)&gt;=1,1,0)+IF(N(U294)&gt;=1,1,0)+IF(N(V294)&gt;=1,1,0))/3)</f>
        <v/>
      </c>
      <c r="X294" s="36" t="n">
        <f aca="false">IF(AND(L294&lt;&gt;"",L294&lt;&gt;"Rest Day"),1,0)</f>
        <v>0</v>
      </c>
      <c r="Y294" s="38" t="n">
        <f aca="false">IF(X294=1,Y293+1,0)</f>
        <v>0</v>
      </c>
      <c r="Z294" s="38" t="n">
        <f aca="false">IF(N(T294)&gt;=1,Z293+1,0)</f>
        <v>0</v>
      </c>
      <c r="AA294" s="38" t="n">
        <f aca="false">IF(N(U294)&gt;=1,AA293+1,0)</f>
        <v>0</v>
      </c>
      <c r="AB294" s="38" t="n">
        <f aca="false">IF(N(V294)&gt;=1,AB293+1,0)</f>
        <v>0</v>
      </c>
      <c r="AC294" s="38" t="str">
        <f aca="false">IF(COUNT(E294,F294,I294,J294)=0,"",ROUND((MIN(IFERROR(E294/StepGoal,0),1)*100)*0.2+(MIN(IFERROR(F294/SleepGoal,0),1)*100)*0.2+(IF(L294="",0,IF(L294="Rest Day",100,MIN(IFERROR(M294/60,0),1)*100)))*0.25+(IFERROR(INDEX('Recovery Tracker'!$E$5:$E$369,MATCH(A294,'Recovery Tracker'!$A$5:$A$369,0))+0,70))*0.15+(MIN(IFERROR(I294/WaterGoal,0),1)*100)*0.1+(IF(J294="",0,MAX(0,100-MIN(ABS(J294-CalorieGoal)/CalorieGoal,1)*100)))*0.1,0))</f>
        <v/>
      </c>
    </row>
    <row r="295" customFormat="false" ht="15" hidden="false" customHeight="false" outlineLevel="0" collapsed="false">
      <c r="A295" s="26" t="n">
        <f aca="false">A294+1</f>
        <v>46313</v>
      </c>
      <c r="B295" s="27" t="str">
        <f aca="false">TEXT(A295,"ddd")</f>
        <v>Sun</v>
      </c>
      <c r="C295" s="27" t="n">
        <f aca="false">INT((A295-StartDate)/7)+1</f>
        <v>42</v>
      </c>
      <c r="D295" s="27" t="str">
        <f aca="false">TEXT(A295,"mmm")</f>
        <v>Oct</v>
      </c>
      <c r="E295" s="28"/>
      <c r="F295" s="29"/>
      <c r="G295" s="29"/>
      <c r="H295" s="30"/>
      <c r="I295" s="29"/>
      <c r="J295" s="28"/>
      <c r="K295" s="28"/>
      <c r="L295" s="31"/>
      <c r="M295" s="28"/>
      <c r="N295" s="31"/>
      <c r="O295" s="31"/>
      <c r="P295" s="31"/>
      <c r="Q295" s="31"/>
      <c r="R295" s="31"/>
      <c r="S295" s="32"/>
      <c r="T295" s="33" t="str">
        <f aca="false">IF(E295="","",E295/StepGoal)</f>
        <v/>
      </c>
      <c r="U295" s="33" t="str">
        <f aca="false">IF(F295="","",F295/SleepGoal)</f>
        <v/>
      </c>
      <c r="V295" s="33" t="str">
        <f aca="false">IF(I295="","",I295/WaterGoal)</f>
        <v/>
      </c>
      <c r="W295" s="33" t="str">
        <f aca="false">IF(COUNT(E295,F295,I295)=0,"",(IF(N(T295)&gt;=1,1,0)+IF(N(U295)&gt;=1,1,0)+IF(N(V295)&gt;=1,1,0))/3)</f>
        <v/>
      </c>
      <c r="X295" s="27" t="n">
        <f aca="false">IF(AND(L295&lt;&gt;"",L295&lt;&gt;"Rest Day"),1,0)</f>
        <v>0</v>
      </c>
      <c r="Y295" s="34" t="n">
        <f aca="false">IF(X295=1,Y294+1,0)</f>
        <v>0</v>
      </c>
      <c r="Z295" s="34" t="n">
        <f aca="false">IF(N(T295)&gt;=1,Z294+1,0)</f>
        <v>0</v>
      </c>
      <c r="AA295" s="34" t="n">
        <f aca="false">IF(N(U295)&gt;=1,AA294+1,0)</f>
        <v>0</v>
      </c>
      <c r="AB295" s="34" t="n">
        <f aca="false">IF(N(V295)&gt;=1,AB294+1,0)</f>
        <v>0</v>
      </c>
      <c r="AC295" s="34" t="str">
        <f aca="false">IF(COUNT(E295,F295,I295,J295)=0,"",ROUND((MIN(IFERROR(E295/StepGoal,0),1)*100)*0.2+(MIN(IFERROR(F295/SleepGoal,0),1)*100)*0.2+(IF(L295="",0,IF(L295="Rest Day",100,MIN(IFERROR(M295/60,0),1)*100)))*0.25+(IFERROR(INDEX('Recovery Tracker'!$E$5:$E$369,MATCH(A295,'Recovery Tracker'!$A$5:$A$369,0))+0,70))*0.15+(MIN(IFERROR(I295/WaterGoal,0),1)*100)*0.1+(IF(J295="",0,MAX(0,100-MIN(ABS(J295-CalorieGoal)/CalorieGoal,1)*100)))*0.1,0))</f>
        <v/>
      </c>
    </row>
    <row r="296" customFormat="false" ht="15" hidden="false" customHeight="false" outlineLevel="0" collapsed="false">
      <c r="A296" s="35" t="n">
        <f aca="false">A295+1</f>
        <v>46314</v>
      </c>
      <c r="B296" s="36" t="str">
        <f aca="false">TEXT(A296,"ddd")</f>
        <v>Mon</v>
      </c>
      <c r="C296" s="36" t="n">
        <f aca="false">INT((A296-StartDate)/7)+1</f>
        <v>42</v>
      </c>
      <c r="D296" s="36" t="str">
        <f aca="false">TEXT(A296,"mmm")</f>
        <v>Oct</v>
      </c>
      <c r="E296" s="28"/>
      <c r="F296" s="29"/>
      <c r="G296" s="29"/>
      <c r="H296" s="30"/>
      <c r="I296" s="29"/>
      <c r="J296" s="28"/>
      <c r="K296" s="28"/>
      <c r="L296" s="31"/>
      <c r="M296" s="28"/>
      <c r="N296" s="31"/>
      <c r="O296" s="31"/>
      <c r="P296" s="31"/>
      <c r="Q296" s="31"/>
      <c r="R296" s="31"/>
      <c r="S296" s="32"/>
      <c r="T296" s="37" t="str">
        <f aca="false">IF(E296="","",E296/StepGoal)</f>
        <v/>
      </c>
      <c r="U296" s="37" t="str">
        <f aca="false">IF(F296="","",F296/SleepGoal)</f>
        <v/>
      </c>
      <c r="V296" s="37" t="str">
        <f aca="false">IF(I296="","",I296/WaterGoal)</f>
        <v/>
      </c>
      <c r="W296" s="37" t="str">
        <f aca="false">IF(COUNT(E296,F296,I296)=0,"",(IF(N(T296)&gt;=1,1,0)+IF(N(U296)&gt;=1,1,0)+IF(N(V296)&gt;=1,1,0))/3)</f>
        <v/>
      </c>
      <c r="X296" s="36" t="n">
        <f aca="false">IF(AND(L296&lt;&gt;"",L296&lt;&gt;"Rest Day"),1,0)</f>
        <v>0</v>
      </c>
      <c r="Y296" s="38" t="n">
        <f aca="false">IF(X296=1,Y295+1,0)</f>
        <v>0</v>
      </c>
      <c r="Z296" s="38" t="n">
        <f aca="false">IF(N(T296)&gt;=1,Z295+1,0)</f>
        <v>0</v>
      </c>
      <c r="AA296" s="38" t="n">
        <f aca="false">IF(N(U296)&gt;=1,AA295+1,0)</f>
        <v>0</v>
      </c>
      <c r="AB296" s="38" t="n">
        <f aca="false">IF(N(V296)&gt;=1,AB295+1,0)</f>
        <v>0</v>
      </c>
      <c r="AC296" s="38" t="str">
        <f aca="false">IF(COUNT(E296,F296,I296,J296)=0,"",ROUND((MIN(IFERROR(E296/StepGoal,0),1)*100)*0.2+(MIN(IFERROR(F296/SleepGoal,0),1)*100)*0.2+(IF(L296="",0,IF(L296="Rest Day",100,MIN(IFERROR(M296/60,0),1)*100)))*0.25+(IFERROR(INDEX('Recovery Tracker'!$E$5:$E$369,MATCH(A296,'Recovery Tracker'!$A$5:$A$369,0))+0,70))*0.15+(MIN(IFERROR(I296/WaterGoal,0),1)*100)*0.1+(IF(J296="",0,MAX(0,100-MIN(ABS(J296-CalorieGoal)/CalorieGoal,1)*100)))*0.1,0))</f>
        <v/>
      </c>
    </row>
    <row r="297" customFormat="false" ht="15" hidden="false" customHeight="false" outlineLevel="0" collapsed="false">
      <c r="A297" s="26" t="n">
        <f aca="false">A296+1</f>
        <v>46315</v>
      </c>
      <c r="B297" s="27" t="str">
        <f aca="false">TEXT(A297,"ddd")</f>
        <v>Tue</v>
      </c>
      <c r="C297" s="27" t="n">
        <f aca="false">INT((A297-StartDate)/7)+1</f>
        <v>42</v>
      </c>
      <c r="D297" s="27" t="str">
        <f aca="false">TEXT(A297,"mmm")</f>
        <v>Oct</v>
      </c>
      <c r="E297" s="28"/>
      <c r="F297" s="29"/>
      <c r="G297" s="29"/>
      <c r="H297" s="30"/>
      <c r="I297" s="29"/>
      <c r="J297" s="28"/>
      <c r="K297" s="28"/>
      <c r="L297" s="31"/>
      <c r="M297" s="28"/>
      <c r="N297" s="31"/>
      <c r="O297" s="31"/>
      <c r="P297" s="31"/>
      <c r="Q297" s="31"/>
      <c r="R297" s="31"/>
      <c r="S297" s="32"/>
      <c r="T297" s="33" t="str">
        <f aca="false">IF(E297="","",E297/StepGoal)</f>
        <v/>
      </c>
      <c r="U297" s="33" t="str">
        <f aca="false">IF(F297="","",F297/SleepGoal)</f>
        <v/>
      </c>
      <c r="V297" s="33" t="str">
        <f aca="false">IF(I297="","",I297/WaterGoal)</f>
        <v/>
      </c>
      <c r="W297" s="33" t="str">
        <f aca="false">IF(COUNT(E297,F297,I297)=0,"",(IF(N(T297)&gt;=1,1,0)+IF(N(U297)&gt;=1,1,0)+IF(N(V297)&gt;=1,1,0))/3)</f>
        <v/>
      </c>
      <c r="X297" s="27" t="n">
        <f aca="false">IF(AND(L297&lt;&gt;"",L297&lt;&gt;"Rest Day"),1,0)</f>
        <v>0</v>
      </c>
      <c r="Y297" s="34" t="n">
        <f aca="false">IF(X297=1,Y296+1,0)</f>
        <v>0</v>
      </c>
      <c r="Z297" s="34" t="n">
        <f aca="false">IF(N(T297)&gt;=1,Z296+1,0)</f>
        <v>0</v>
      </c>
      <c r="AA297" s="34" t="n">
        <f aca="false">IF(N(U297)&gt;=1,AA296+1,0)</f>
        <v>0</v>
      </c>
      <c r="AB297" s="34" t="n">
        <f aca="false">IF(N(V297)&gt;=1,AB296+1,0)</f>
        <v>0</v>
      </c>
      <c r="AC297" s="34" t="str">
        <f aca="false">IF(COUNT(E297,F297,I297,J297)=0,"",ROUND((MIN(IFERROR(E297/StepGoal,0),1)*100)*0.2+(MIN(IFERROR(F297/SleepGoal,0),1)*100)*0.2+(IF(L297="",0,IF(L297="Rest Day",100,MIN(IFERROR(M297/60,0),1)*100)))*0.25+(IFERROR(INDEX('Recovery Tracker'!$E$5:$E$369,MATCH(A297,'Recovery Tracker'!$A$5:$A$369,0))+0,70))*0.15+(MIN(IFERROR(I297/WaterGoal,0),1)*100)*0.1+(IF(J297="",0,MAX(0,100-MIN(ABS(J297-CalorieGoal)/CalorieGoal,1)*100)))*0.1,0))</f>
        <v/>
      </c>
    </row>
    <row r="298" customFormat="false" ht="15" hidden="false" customHeight="false" outlineLevel="0" collapsed="false">
      <c r="A298" s="35" t="n">
        <f aca="false">A297+1</f>
        <v>46316</v>
      </c>
      <c r="B298" s="36" t="str">
        <f aca="false">TEXT(A298,"ddd")</f>
        <v>Wed</v>
      </c>
      <c r="C298" s="36" t="n">
        <f aca="false">INT((A298-StartDate)/7)+1</f>
        <v>42</v>
      </c>
      <c r="D298" s="36" t="str">
        <f aca="false">TEXT(A298,"mmm")</f>
        <v>Oct</v>
      </c>
      <c r="E298" s="28"/>
      <c r="F298" s="29"/>
      <c r="G298" s="29"/>
      <c r="H298" s="30"/>
      <c r="I298" s="29"/>
      <c r="J298" s="28"/>
      <c r="K298" s="28"/>
      <c r="L298" s="31"/>
      <c r="M298" s="28"/>
      <c r="N298" s="31"/>
      <c r="O298" s="31"/>
      <c r="P298" s="31"/>
      <c r="Q298" s="31"/>
      <c r="R298" s="31"/>
      <c r="S298" s="32"/>
      <c r="T298" s="37" t="str">
        <f aca="false">IF(E298="","",E298/StepGoal)</f>
        <v/>
      </c>
      <c r="U298" s="37" t="str">
        <f aca="false">IF(F298="","",F298/SleepGoal)</f>
        <v/>
      </c>
      <c r="V298" s="37" t="str">
        <f aca="false">IF(I298="","",I298/WaterGoal)</f>
        <v/>
      </c>
      <c r="W298" s="37" t="str">
        <f aca="false">IF(COUNT(E298,F298,I298)=0,"",(IF(N(T298)&gt;=1,1,0)+IF(N(U298)&gt;=1,1,0)+IF(N(V298)&gt;=1,1,0))/3)</f>
        <v/>
      </c>
      <c r="X298" s="36" t="n">
        <f aca="false">IF(AND(L298&lt;&gt;"",L298&lt;&gt;"Rest Day"),1,0)</f>
        <v>0</v>
      </c>
      <c r="Y298" s="38" t="n">
        <f aca="false">IF(X298=1,Y297+1,0)</f>
        <v>0</v>
      </c>
      <c r="Z298" s="38" t="n">
        <f aca="false">IF(N(T298)&gt;=1,Z297+1,0)</f>
        <v>0</v>
      </c>
      <c r="AA298" s="38" t="n">
        <f aca="false">IF(N(U298)&gt;=1,AA297+1,0)</f>
        <v>0</v>
      </c>
      <c r="AB298" s="38" t="n">
        <f aca="false">IF(N(V298)&gt;=1,AB297+1,0)</f>
        <v>0</v>
      </c>
      <c r="AC298" s="38" t="str">
        <f aca="false">IF(COUNT(E298,F298,I298,J298)=0,"",ROUND((MIN(IFERROR(E298/StepGoal,0),1)*100)*0.2+(MIN(IFERROR(F298/SleepGoal,0),1)*100)*0.2+(IF(L298="",0,IF(L298="Rest Day",100,MIN(IFERROR(M298/60,0),1)*100)))*0.25+(IFERROR(INDEX('Recovery Tracker'!$E$5:$E$369,MATCH(A298,'Recovery Tracker'!$A$5:$A$369,0))+0,70))*0.15+(MIN(IFERROR(I298/WaterGoal,0),1)*100)*0.1+(IF(J298="",0,MAX(0,100-MIN(ABS(J298-CalorieGoal)/CalorieGoal,1)*100)))*0.1,0))</f>
        <v/>
      </c>
    </row>
    <row r="299" customFormat="false" ht="15" hidden="false" customHeight="false" outlineLevel="0" collapsed="false">
      <c r="A299" s="26" t="n">
        <f aca="false">A298+1</f>
        <v>46317</v>
      </c>
      <c r="B299" s="27" t="str">
        <f aca="false">TEXT(A299,"ddd")</f>
        <v>Thu</v>
      </c>
      <c r="C299" s="27" t="n">
        <f aca="false">INT((A299-StartDate)/7)+1</f>
        <v>43</v>
      </c>
      <c r="D299" s="27" t="str">
        <f aca="false">TEXT(A299,"mmm")</f>
        <v>Oct</v>
      </c>
      <c r="E299" s="28"/>
      <c r="F299" s="29"/>
      <c r="G299" s="29"/>
      <c r="H299" s="30"/>
      <c r="I299" s="29"/>
      <c r="J299" s="28"/>
      <c r="K299" s="28"/>
      <c r="L299" s="31"/>
      <c r="M299" s="28"/>
      <c r="N299" s="31"/>
      <c r="O299" s="31"/>
      <c r="P299" s="31"/>
      <c r="Q299" s="31"/>
      <c r="R299" s="31"/>
      <c r="S299" s="32"/>
      <c r="T299" s="33" t="str">
        <f aca="false">IF(E299="","",E299/StepGoal)</f>
        <v/>
      </c>
      <c r="U299" s="33" t="str">
        <f aca="false">IF(F299="","",F299/SleepGoal)</f>
        <v/>
      </c>
      <c r="V299" s="33" t="str">
        <f aca="false">IF(I299="","",I299/WaterGoal)</f>
        <v/>
      </c>
      <c r="W299" s="33" t="str">
        <f aca="false">IF(COUNT(E299,F299,I299)=0,"",(IF(N(T299)&gt;=1,1,0)+IF(N(U299)&gt;=1,1,0)+IF(N(V299)&gt;=1,1,0))/3)</f>
        <v/>
      </c>
      <c r="X299" s="27" t="n">
        <f aca="false">IF(AND(L299&lt;&gt;"",L299&lt;&gt;"Rest Day"),1,0)</f>
        <v>0</v>
      </c>
      <c r="Y299" s="34" t="n">
        <f aca="false">IF(X299=1,Y298+1,0)</f>
        <v>0</v>
      </c>
      <c r="Z299" s="34" t="n">
        <f aca="false">IF(N(T299)&gt;=1,Z298+1,0)</f>
        <v>0</v>
      </c>
      <c r="AA299" s="34" t="n">
        <f aca="false">IF(N(U299)&gt;=1,AA298+1,0)</f>
        <v>0</v>
      </c>
      <c r="AB299" s="34" t="n">
        <f aca="false">IF(N(V299)&gt;=1,AB298+1,0)</f>
        <v>0</v>
      </c>
      <c r="AC299" s="34" t="str">
        <f aca="false">IF(COUNT(E299,F299,I299,J299)=0,"",ROUND((MIN(IFERROR(E299/StepGoal,0),1)*100)*0.2+(MIN(IFERROR(F299/SleepGoal,0),1)*100)*0.2+(IF(L299="",0,IF(L299="Rest Day",100,MIN(IFERROR(M299/60,0),1)*100)))*0.25+(IFERROR(INDEX('Recovery Tracker'!$E$5:$E$369,MATCH(A299,'Recovery Tracker'!$A$5:$A$369,0))+0,70))*0.15+(MIN(IFERROR(I299/WaterGoal,0),1)*100)*0.1+(IF(J299="",0,MAX(0,100-MIN(ABS(J299-CalorieGoal)/CalorieGoal,1)*100)))*0.1,0))</f>
        <v/>
      </c>
    </row>
    <row r="300" customFormat="false" ht="15" hidden="false" customHeight="false" outlineLevel="0" collapsed="false">
      <c r="A300" s="35" t="n">
        <f aca="false">A299+1</f>
        <v>46318</v>
      </c>
      <c r="B300" s="36" t="str">
        <f aca="false">TEXT(A300,"ddd")</f>
        <v>Fri</v>
      </c>
      <c r="C300" s="36" t="n">
        <f aca="false">INT((A300-StartDate)/7)+1</f>
        <v>43</v>
      </c>
      <c r="D300" s="36" t="str">
        <f aca="false">TEXT(A300,"mmm")</f>
        <v>Oct</v>
      </c>
      <c r="E300" s="28"/>
      <c r="F300" s="29"/>
      <c r="G300" s="29"/>
      <c r="H300" s="30"/>
      <c r="I300" s="29"/>
      <c r="J300" s="28"/>
      <c r="K300" s="28"/>
      <c r="L300" s="31"/>
      <c r="M300" s="28"/>
      <c r="N300" s="31"/>
      <c r="O300" s="31"/>
      <c r="P300" s="31"/>
      <c r="Q300" s="31"/>
      <c r="R300" s="31"/>
      <c r="S300" s="32"/>
      <c r="T300" s="37" t="str">
        <f aca="false">IF(E300="","",E300/StepGoal)</f>
        <v/>
      </c>
      <c r="U300" s="37" t="str">
        <f aca="false">IF(F300="","",F300/SleepGoal)</f>
        <v/>
      </c>
      <c r="V300" s="37" t="str">
        <f aca="false">IF(I300="","",I300/WaterGoal)</f>
        <v/>
      </c>
      <c r="W300" s="37" t="str">
        <f aca="false">IF(COUNT(E300,F300,I300)=0,"",(IF(N(T300)&gt;=1,1,0)+IF(N(U300)&gt;=1,1,0)+IF(N(V300)&gt;=1,1,0))/3)</f>
        <v/>
      </c>
      <c r="X300" s="36" t="n">
        <f aca="false">IF(AND(L300&lt;&gt;"",L300&lt;&gt;"Rest Day"),1,0)</f>
        <v>0</v>
      </c>
      <c r="Y300" s="38" t="n">
        <f aca="false">IF(X300=1,Y299+1,0)</f>
        <v>0</v>
      </c>
      <c r="Z300" s="38" t="n">
        <f aca="false">IF(N(T300)&gt;=1,Z299+1,0)</f>
        <v>0</v>
      </c>
      <c r="AA300" s="38" t="n">
        <f aca="false">IF(N(U300)&gt;=1,AA299+1,0)</f>
        <v>0</v>
      </c>
      <c r="AB300" s="38" t="n">
        <f aca="false">IF(N(V300)&gt;=1,AB299+1,0)</f>
        <v>0</v>
      </c>
      <c r="AC300" s="38" t="str">
        <f aca="false">IF(COUNT(E300,F300,I300,J300)=0,"",ROUND((MIN(IFERROR(E300/StepGoal,0),1)*100)*0.2+(MIN(IFERROR(F300/SleepGoal,0),1)*100)*0.2+(IF(L300="",0,IF(L300="Rest Day",100,MIN(IFERROR(M300/60,0),1)*100)))*0.25+(IFERROR(INDEX('Recovery Tracker'!$E$5:$E$369,MATCH(A300,'Recovery Tracker'!$A$5:$A$369,0))+0,70))*0.15+(MIN(IFERROR(I300/WaterGoal,0),1)*100)*0.1+(IF(J300="",0,MAX(0,100-MIN(ABS(J300-CalorieGoal)/CalorieGoal,1)*100)))*0.1,0))</f>
        <v/>
      </c>
    </row>
    <row r="301" customFormat="false" ht="15" hidden="false" customHeight="false" outlineLevel="0" collapsed="false">
      <c r="A301" s="26" t="n">
        <f aca="false">A300+1</f>
        <v>46319</v>
      </c>
      <c r="B301" s="27" t="str">
        <f aca="false">TEXT(A301,"ddd")</f>
        <v>Sat</v>
      </c>
      <c r="C301" s="27" t="n">
        <f aca="false">INT((A301-StartDate)/7)+1</f>
        <v>43</v>
      </c>
      <c r="D301" s="27" t="str">
        <f aca="false">TEXT(A301,"mmm")</f>
        <v>Oct</v>
      </c>
      <c r="E301" s="28"/>
      <c r="F301" s="29"/>
      <c r="G301" s="29"/>
      <c r="H301" s="30"/>
      <c r="I301" s="29"/>
      <c r="J301" s="28"/>
      <c r="K301" s="28"/>
      <c r="L301" s="31"/>
      <c r="M301" s="28"/>
      <c r="N301" s="31"/>
      <c r="O301" s="31"/>
      <c r="P301" s="31"/>
      <c r="Q301" s="31"/>
      <c r="R301" s="31"/>
      <c r="S301" s="32"/>
      <c r="T301" s="33" t="str">
        <f aca="false">IF(E301="","",E301/StepGoal)</f>
        <v/>
      </c>
      <c r="U301" s="33" t="str">
        <f aca="false">IF(F301="","",F301/SleepGoal)</f>
        <v/>
      </c>
      <c r="V301" s="33" t="str">
        <f aca="false">IF(I301="","",I301/WaterGoal)</f>
        <v/>
      </c>
      <c r="W301" s="33" t="str">
        <f aca="false">IF(COUNT(E301,F301,I301)=0,"",(IF(N(T301)&gt;=1,1,0)+IF(N(U301)&gt;=1,1,0)+IF(N(V301)&gt;=1,1,0))/3)</f>
        <v/>
      </c>
      <c r="X301" s="27" t="n">
        <f aca="false">IF(AND(L301&lt;&gt;"",L301&lt;&gt;"Rest Day"),1,0)</f>
        <v>0</v>
      </c>
      <c r="Y301" s="34" t="n">
        <f aca="false">IF(X301=1,Y300+1,0)</f>
        <v>0</v>
      </c>
      <c r="Z301" s="34" t="n">
        <f aca="false">IF(N(T301)&gt;=1,Z300+1,0)</f>
        <v>0</v>
      </c>
      <c r="AA301" s="34" t="n">
        <f aca="false">IF(N(U301)&gt;=1,AA300+1,0)</f>
        <v>0</v>
      </c>
      <c r="AB301" s="34" t="n">
        <f aca="false">IF(N(V301)&gt;=1,AB300+1,0)</f>
        <v>0</v>
      </c>
      <c r="AC301" s="34" t="str">
        <f aca="false">IF(COUNT(E301,F301,I301,J301)=0,"",ROUND((MIN(IFERROR(E301/StepGoal,0),1)*100)*0.2+(MIN(IFERROR(F301/SleepGoal,0),1)*100)*0.2+(IF(L301="",0,IF(L301="Rest Day",100,MIN(IFERROR(M301/60,0),1)*100)))*0.25+(IFERROR(INDEX('Recovery Tracker'!$E$5:$E$369,MATCH(A301,'Recovery Tracker'!$A$5:$A$369,0))+0,70))*0.15+(MIN(IFERROR(I301/WaterGoal,0),1)*100)*0.1+(IF(J301="",0,MAX(0,100-MIN(ABS(J301-CalorieGoal)/CalorieGoal,1)*100)))*0.1,0))</f>
        <v/>
      </c>
    </row>
    <row r="302" customFormat="false" ht="15" hidden="false" customHeight="false" outlineLevel="0" collapsed="false">
      <c r="A302" s="35" t="n">
        <f aca="false">A301+1</f>
        <v>46320</v>
      </c>
      <c r="B302" s="36" t="str">
        <f aca="false">TEXT(A302,"ddd")</f>
        <v>Sun</v>
      </c>
      <c r="C302" s="36" t="n">
        <f aca="false">INT((A302-StartDate)/7)+1</f>
        <v>43</v>
      </c>
      <c r="D302" s="36" t="str">
        <f aca="false">TEXT(A302,"mmm")</f>
        <v>Oct</v>
      </c>
      <c r="E302" s="28"/>
      <c r="F302" s="29"/>
      <c r="G302" s="29"/>
      <c r="H302" s="30"/>
      <c r="I302" s="29"/>
      <c r="J302" s="28"/>
      <c r="K302" s="28"/>
      <c r="L302" s="31"/>
      <c r="M302" s="28"/>
      <c r="N302" s="31"/>
      <c r="O302" s="31"/>
      <c r="P302" s="31"/>
      <c r="Q302" s="31"/>
      <c r="R302" s="31"/>
      <c r="S302" s="32"/>
      <c r="T302" s="37" t="str">
        <f aca="false">IF(E302="","",E302/StepGoal)</f>
        <v/>
      </c>
      <c r="U302" s="37" t="str">
        <f aca="false">IF(F302="","",F302/SleepGoal)</f>
        <v/>
      </c>
      <c r="V302" s="37" t="str">
        <f aca="false">IF(I302="","",I302/WaterGoal)</f>
        <v/>
      </c>
      <c r="W302" s="37" t="str">
        <f aca="false">IF(COUNT(E302,F302,I302)=0,"",(IF(N(T302)&gt;=1,1,0)+IF(N(U302)&gt;=1,1,0)+IF(N(V302)&gt;=1,1,0))/3)</f>
        <v/>
      </c>
      <c r="X302" s="36" t="n">
        <f aca="false">IF(AND(L302&lt;&gt;"",L302&lt;&gt;"Rest Day"),1,0)</f>
        <v>0</v>
      </c>
      <c r="Y302" s="38" t="n">
        <f aca="false">IF(X302=1,Y301+1,0)</f>
        <v>0</v>
      </c>
      <c r="Z302" s="38" t="n">
        <f aca="false">IF(N(T302)&gt;=1,Z301+1,0)</f>
        <v>0</v>
      </c>
      <c r="AA302" s="38" t="n">
        <f aca="false">IF(N(U302)&gt;=1,AA301+1,0)</f>
        <v>0</v>
      </c>
      <c r="AB302" s="38" t="n">
        <f aca="false">IF(N(V302)&gt;=1,AB301+1,0)</f>
        <v>0</v>
      </c>
      <c r="AC302" s="38" t="str">
        <f aca="false">IF(COUNT(E302,F302,I302,J302)=0,"",ROUND((MIN(IFERROR(E302/StepGoal,0),1)*100)*0.2+(MIN(IFERROR(F302/SleepGoal,0),1)*100)*0.2+(IF(L302="",0,IF(L302="Rest Day",100,MIN(IFERROR(M302/60,0),1)*100)))*0.25+(IFERROR(INDEX('Recovery Tracker'!$E$5:$E$369,MATCH(A302,'Recovery Tracker'!$A$5:$A$369,0))+0,70))*0.15+(MIN(IFERROR(I302/WaterGoal,0),1)*100)*0.1+(IF(J302="",0,MAX(0,100-MIN(ABS(J302-CalorieGoal)/CalorieGoal,1)*100)))*0.1,0))</f>
        <v/>
      </c>
    </row>
    <row r="303" customFormat="false" ht="15" hidden="false" customHeight="false" outlineLevel="0" collapsed="false">
      <c r="A303" s="26" t="n">
        <f aca="false">A302+1</f>
        <v>46321</v>
      </c>
      <c r="B303" s="27" t="str">
        <f aca="false">TEXT(A303,"ddd")</f>
        <v>Mon</v>
      </c>
      <c r="C303" s="27" t="n">
        <f aca="false">INT((A303-StartDate)/7)+1</f>
        <v>43</v>
      </c>
      <c r="D303" s="27" t="str">
        <f aca="false">TEXT(A303,"mmm")</f>
        <v>Oct</v>
      </c>
      <c r="E303" s="28"/>
      <c r="F303" s="29"/>
      <c r="G303" s="29"/>
      <c r="H303" s="30"/>
      <c r="I303" s="29"/>
      <c r="J303" s="28"/>
      <c r="K303" s="28"/>
      <c r="L303" s="31"/>
      <c r="M303" s="28"/>
      <c r="N303" s="31"/>
      <c r="O303" s="31"/>
      <c r="P303" s="31"/>
      <c r="Q303" s="31"/>
      <c r="R303" s="31"/>
      <c r="S303" s="32"/>
      <c r="T303" s="33" t="str">
        <f aca="false">IF(E303="","",E303/StepGoal)</f>
        <v/>
      </c>
      <c r="U303" s="33" t="str">
        <f aca="false">IF(F303="","",F303/SleepGoal)</f>
        <v/>
      </c>
      <c r="V303" s="33" t="str">
        <f aca="false">IF(I303="","",I303/WaterGoal)</f>
        <v/>
      </c>
      <c r="W303" s="33" t="str">
        <f aca="false">IF(COUNT(E303,F303,I303)=0,"",(IF(N(T303)&gt;=1,1,0)+IF(N(U303)&gt;=1,1,0)+IF(N(V303)&gt;=1,1,0))/3)</f>
        <v/>
      </c>
      <c r="X303" s="27" t="n">
        <f aca="false">IF(AND(L303&lt;&gt;"",L303&lt;&gt;"Rest Day"),1,0)</f>
        <v>0</v>
      </c>
      <c r="Y303" s="34" t="n">
        <f aca="false">IF(X303=1,Y302+1,0)</f>
        <v>0</v>
      </c>
      <c r="Z303" s="34" t="n">
        <f aca="false">IF(N(T303)&gt;=1,Z302+1,0)</f>
        <v>0</v>
      </c>
      <c r="AA303" s="34" t="n">
        <f aca="false">IF(N(U303)&gt;=1,AA302+1,0)</f>
        <v>0</v>
      </c>
      <c r="AB303" s="34" t="n">
        <f aca="false">IF(N(V303)&gt;=1,AB302+1,0)</f>
        <v>0</v>
      </c>
      <c r="AC303" s="34" t="str">
        <f aca="false">IF(COUNT(E303,F303,I303,J303)=0,"",ROUND((MIN(IFERROR(E303/StepGoal,0),1)*100)*0.2+(MIN(IFERROR(F303/SleepGoal,0),1)*100)*0.2+(IF(L303="",0,IF(L303="Rest Day",100,MIN(IFERROR(M303/60,0),1)*100)))*0.25+(IFERROR(INDEX('Recovery Tracker'!$E$5:$E$369,MATCH(A303,'Recovery Tracker'!$A$5:$A$369,0))+0,70))*0.15+(MIN(IFERROR(I303/WaterGoal,0),1)*100)*0.1+(IF(J303="",0,MAX(0,100-MIN(ABS(J303-CalorieGoal)/CalorieGoal,1)*100)))*0.1,0))</f>
        <v/>
      </c>
    </row>
    <row r="304" customFormat="false" ht="15" hidden="false" customHeight="false" outlineLevel="0" collapsed="false">
      <c r="A304" s="35" t="n">
        <f aca="false">A303+1</f>
        <v>46322</v>
      </c>
      <c r="B304" s="36" t="str">
        <f aca="false">TEXT(A304,"ddd")</f>
        <v>Tue</v>
      </c>
      <c r="C304" s="36" t="n">
        <f aca="false">INT((A304-StartDate)/7)+1</f>
        <v>43</v>
      </c>
      <c r="D304" s="36" t="str">
        <f aca="false">TEXT(A304,"mmm")</f>
        <v>Oct</v>
      </c>
      <c r="E304" s="28"/>
      <c r="F304" s="29"/>
      <c r="G304" s="29"/>
      <c r="H304" s="30"/>
      <c r="I304" s="29"/>
      <c r="J304" s="28"/>
      <c r="K304" s="28"/>
      <c r="L304" s="31"/>
      <c r="M304" s="28"/>
      <c r="N304" s="31"/>
      <c r="O304" s="31"/>
      <c r="P304" s="31"/>
      <c r="Q304" s="31"/>
      <c r="R304" s="31"/>
      <c r="S304" s="32"/>
      <c r="T304" s="37" t="str">
        <f aca="false">IF(E304="","",E304/StepGoal)</f>
        <v/>
      </c>
      <c r="U304" s="37" t="str">
        <f aca="false">IF(F304="","",F304/SleepGoal)</f>
        <v/>
      </c>
      <c r="V304" s="37" t="str">
        <f aca="false">IF(I304="","",I304/WaterGoal)</f>
        <v/>
      </c>
      <c r="W304" s="37" t="str">
        <f aca="false">IF(COUNT(E304,F304,I304)=0,"",(IF(N(T304)&gt;=1,1,0)+IF(N(U304)&gt;=1,1,0)+IF(N(V304)&gt;=1,1,0))/3)</f>
        <v/>
      </c>
      <c r="X304" s="36" t="n">
        <f aca="false">IF(AND(L304&lt;&gt;"",L304&lt;&gt;"Rest Day"),1,0)</f>
        <v>0</v>
      </c>
      <c r="Y304" s="38" t="n">
        <f aca="false">IF(X304=1,Y303+1,0)</f>
        <v>0</v>
      </c>
      <c r="Z304" s="38" t="n">
        <f aca="false">IF(N(T304)&gt;=1,Z303+1,0)</f>
        <v>0</v>
      </c>
      <c r="AA304" s="38" t="n">
        <f aca="false">IF(N(U304)&gt;=1,AA303+1,0)</f>
        <v>0</v>
      </c>
      <c r="AB304" s="38" t="n">
        <f aca="false">IF(N(V304)&gt;=1,AB303+1,0)</f>
        <v>0</v>
      </c>
      <c r="AC304" s="38" t="str">
        <f aca="false">IF(COUNT(E304,F304,I304,J304)=0,"",ROUND((MIN(IFERROR(E304/StepGoal,0),1)*100)*0.2+(MIN(IFERROR(F304/SleepGoal,0),1)*100)*0.2+(IF(L304="",0,IF(L304="Rest Day",100,MIN(IFERROR(M304/60,0),1)*100)))*0.25+(IFERROR(INDEX('Recovery Tracker'!$E$5:$E$369,MATCH(A304,'Recovery Tracker'!$A$5:$A$369,0))+0,70))*0.15+(MIN(IFERROR(I304/WaterGoal,0),1)*100)*0.1+(IF(J304="",0,MAX(0,100-MIN(ABS(J304-CalorieGoal)/CalorieGoal,1)*100)))*0.1,0))</f>
        <v/>
      </c>
    </row>
    <row r="305" customFormat="false" ht="15" hidden="false" customHeight="false" outlineLevel="0" collapsed="false">
      <c r="A305" s="26" t="n">
        <f aca="false">A304+1</f>
        <v>46323</v>
      </c>
      <c r="B305" s="27" t="str">
        <f aca="false">TEXT(A305,"ddd")</f>
        <v>Wed</v>
      </c>
      <c r="C305" s="27" t="n">
        <f aca="false">INT((A305-StartDate)/7)+1</f>
        <v>43</v>
      </c>
      <c r="D305" s="27" t="str">
        <f aca="false">TEXT(A305,"mmm")</f>
        <v>Oct</v>
      </c>
      <c r="E305" s="28"/>
      <c r="F305" s="29"/>
      <c r="G305" s="29"/>
      <c r="H305" s="30"/>
      <c r="I305" s="29"/>
      <c r="J305" s="28"/>
      <c r="K305" s="28"/>
      <c r="L305" s="31"/>
      <c r="M305" s="28"/>
      <c r="N305" s="31"/>
      <c r="O305" s="31"/>
      <c r="P305" s="31"/>
      <c r="Q305" s="31"/>
      <c r="R305" s="31"/>
      <c r="S305" s="32"/>
      <c r="T305" s="33" t="str">
        <f aca="false">IF(E305="","",E305/StepGoal)</f>
        <v/>
      </c>
      <c r="U305" s="33" t="str">
        <f aca="false">IF(F305="","",F305/SleepGoal)</f>
        <v/>
      </c>
      <c r="V305" s="33" t="str">
        <f aca="false">IF(I305="","",I305/WaterGoal)</f>
        <v/>
      </c>
      <c r="W305" s="33" t="str">
        <f aca="false">IF(COUNT(E305,F305,I305)=0,"",(IF(N(T305)&gt;=1,1,0)+IF(N(U305)&gt;=1,1,0)+IF(N(V305)&gt;=1,1,0))/3)</f>
        <v/>
      </c>
      <c r="X305" s="27" t="n">
        <f aca="false">IF(AND(L305&lt;&gt;"",L305&lt;&gt;"Rest Day"),1,0)</f>
        <v>0</v>
      </c>
      <c r="Y305" s="34" t="n">
        <f aca="false">IF(X305=1,Y304+1,0)</f>
        <v>0</v>
      </c>
      <c r="Z305" s="34" t="n">
        <f aca="false">IF(N(T305)&gt;=1,Z304+1,0)</f>
        <v>0</v>
      </c>
      <c r="AA305" s="34" t="n">
        <f aca="false">IF(N(U305)&gt;=1,AA304+1,0)</f>
        <v>0</v>
      </c>
      <c r="AB305" s="34" t="n">
        <f aca="false">IF(N(V305)&gt;=1,AB304+1,0)</f>
        <v>0</v>
      </c>
      <c r="AC305" s="34" t="str">
        <f aca="false">IF(COUNT(E305,F305,I305,J305)=0,"",ROUND((MIN(IFERROR(E305/StepGoal,0),1)*100)*0.2+(MIN(IFERROR(F305/SleepGoal,0),1)*100)*0.2+(IF(L305="",0,IF(L305="Rest Day",100,MIN(IFERROR(M305/60,0),1)*100)))*0.25+(IFERROR(INDEX('Recovery Tracker'!$E$5:$E$369,MATCH(A305,'Recovery Tracker'!$A$5:$A$369,0))+0,70))*0.15+(MIN(IFERROR(I305/WaterGoal,0),1)*100)*0.1+(IF(J305="",0,MAX(0,100-MIN(ABS(J305-CalorieGoal)/CalorieGoal,1)*100)))*0.1,0))</f>
        <v/>
      </c>
    </row>
    <row r="306" customFormat="false" ht="15" hidden="false" customHeight="false" outlineLevel="0" collapsed="false">
      <c r="A306" s="35" t="n">
        <f aca="false">A305+1</f>
        <v>46324</v>
      </c>
      <c r="B306" s="36" t="str">
        <f aca="false">TEXT(A306,"ddd")</f>
        <v>Thu</v>
      </c>
      <c r="C306" s="36" t="n">
        <f aca="false">INT((A306-StartDate)/7)+1</f>
        <v>44</v>
      </c>
      <c r="D306" s="36" t="str">
        <f aca="false">TEXT(A306,"mmm")</f>
        <v>Oct</v>
      </c>
      <c r="E306" s="28"/>
      <c r="F306" s="29"/>
      <c r="G306" s="29"/>
      <c r="H306" s="30"/>
      <c r="I306" s="29"/>
      <c r="J306" s="28"/>
      <c r="K306" s="28"/>
      <c r="L306" s="31"/>
      <c r="M306" s="28"/>
      <c r="N306" s="31"/>
      <c r="O306" s="31"/>
      <c r="P306" s="31"/>
      <c r="Q306" s="31"/>
      <c r="R306" s="31"/>
      <c r="S306" s="32"/>
      <c r="T306" s="37" t="str">
        <f aca="false">IF(E306="","",E306/StepGoal)</f>
        <v/>
      </c>
      <c r="U306" s="37" t="str">
        <f aca="false">IF(F306="","",F306/SleepGoal)</f>
        <v/>
      </c>
      <c r="V306" s="37" t="str">
        <f aca="false">IF(I306="","",I306/WaterGoal)</f>
        <v/>
      </c>
      <c r="W306" s="37" t="str">
        <f aca="false">IF(COUNT(E306,F306,I306)=0,"",(IF(N(T306)&gt;=1,1,0)+IF(N(U306)&gt;=1,1,0)+IF(N(V306)&gt;=1,1,0))/3)</f>
        <v/>
      </c>
      <c r="X306" s="36" t="n">
        <f aca="false">IF(AND(L306&lt;&gt;"",L306&lt;&gt;"Rest Day"),1,0)</f>
        <v>0</v>
      </c>
      <c r="Y306" s="38" t="n">
        <f aca="false">IF(X306=1,Y305+1,0)</f>
        <v>0</v>
      </c>
      <c r="Z306" s="38" t="n">
        <f aca="false">IF(N(T306)&gt;=1,Z305+1,0)</f>
        <v>0</v>
      </c>
      <c r="AA306" s="38" t="n">
        <f aca="false">IF(N(U306)&gt;=1,AA305+1,0)</f>
        <v>0</v>
      </c>
      <c r="AB306" s="38" t="n">
        <f aca="false">IF(N(V306)&gt;=1,AB305+1,0)</f>
        <v>0</v>
      </c>
      <c r="AC306" s="38" t="str">
        <f aca="false">IF(COUNT(E306,F306,I306,J306)=0,"",ROUND((MIN(IFERROR(E306/StepGoal,0),1)*100)*0.2+(MIN(IFERROR(F306/SleepGoal,0),1)*100)*0.2+(IF(L306="",0,IF(L306="Rest Day",100,MIN(IFERROR(M306/60,0),1)*100)))*0.25+(IFERROR(INDEX('Recovery Tracker'!$E$5:$E$369,MATCH(A306,'Recovery Tracker'!$A$5:$A$369,0))+0,70))*0.15+(MIN(IFERROR(I306/WaterGoal,0),1)*100)*0.1+(IF(J306="",0,MAX(0,100-MIN(ABS(J306-CalorieGoal)/CalorieGoal,1)*100)))*0.1,0))</f>
        <v/>
      </c>
    </row>
    <row r="307" customFormat="false" ht="15" hidden="false" customHeight="false" outlineLevel="0" collapsed="false">
      <c r="A307" s="26" t="n">
        <f aca="false">A306+1</f>
        <v>46325</v>
      </c>
      <c r="B307" s="27" t="str">
        <f aca="false">TEXT(A307,"ddd")</f>
        <v>Fri</v>
      </c>
      <c r="C307" s="27" t="n">
        <f aca="false">INT((A307-StartDate)/7)+1</f>
        <v>44</v>
      </c>
      <c r="D307" s="27" t="str">
        <f aca="false">TEXT(A307,"mmm")</f>
        <v>Oct</v>
      </c>
      <c r="E307" s="28"/>
      <c r="F307" s="29"/>
      <c r="G307" s="29"/>
      <c r="H307" s="30"/>
      <c r="I307" s="29"/>
      <c r="J307" s="28"/>
      <c r="K307" s="28"/>
      <c r="L307" s="31"/>
      <c r="M307" s="28"/>
      <c r="N307" s="31"/>
      <c r="O307" s="31"/>
      <c r="P307" s="31"/>
      <c r="Q307" s="31"/>
      <c r="R307" s="31"/>
      <c r="S307" s="32"/>
      <c r="T307" s="33" t="str">
        <f aca="false">IF(E307="","",E307/StepGoal)</f>
        <v/>
      </c>
      <c r="U307" s="33" t="str">
        <f aca="false">IF(F307="","",F307/SleepGoal)</f>
        <v/>
      </c>
      <c r="V307" s="33" t="str">
        <f aca="false">IF(I307="","",I307/WaterGoal)</f>
        <v/>
      </c>
      <c r="W307" s="33" t="str">
        <f aca="false">IF(COUNT(E307,F307,I307)=0,"",(IF(N(T307)&gt;=1,1,0)+IF(N(U307)&gt;=1,1,0)+IF(N(V307)&gt;=1,1,0))/3)</f>
        <v/>
      </c>
      <c r="X307" s="27" t="n">
        <f aca="false">IF(AND(L307&lt;&gt;"",L307&lt;&gt;"Rest Day"),1,0)</f>
        <v>0</v>
      </c>
      <c r="Y307" s="34" t="n">
        <f aca="false">IF(X307=1,Y306+1,0)</f>
        <v>0</v>
      </c>
      <c r="Z307" s="34" t="n">
        <f aca="false">IF(N(T307)&gt;=1,Z306+1,0)</f>
        <v>0</v>
      </c>
      <c r="AA307" s="34" t="n">
        <f aca="false">IF(N(U307)&gt;=1,AA306+1,0)</f>
        <v>0</v>
      </c>
      <c r="AB307" s="34" t="n">
        <f aca="false">IF(N(V307)&gt;=1,AB306+1,0)</f>
        <v>0</v>
      </c>
      <c r="AC307" s="34" t="str">
        <f aca="false">IF(COUNT(E307,F307,I307,J307)=0,"",ROUND((MIN(IFERROR(E307/StepGoal,0),1)*100)*0.2+(MIN(IFERROR(F307/SleepGoal,0),1)*100)*0.2+(IF(L307="",0,IF(L307="Rest Day",100,MIN(IFERROR(M307/60,0),1)*100)))*0.25+(IFERROR(INDEX('Recovery Tracker'!$E$5:$E$369,MATCH(A307,'Recovery Tracker'!$A$5:$A$369,0))+0,70))*0.15+(MIN(IFERROR(I307/WaterGoal,0),1)*100)*0.1+(IF(J307="",0,MAX(0,100-MIN(ABS(J307-CalorieGoal)/CalorieGoal,1)*100)))*0.1,0))</f>
        <v/>
      </c>
    </row>
    <row r="308" customFormat="false" ht="15" hidden="false" customHeight="false" outlineLevel="0" collapsed="false">
      <c r="A308" s="35" t="n">
        <f aca="false">A307+1</f>
        <v>46326</v>
      </c>
      <c r="B308" s="36" t="str">
        <f aca="false">TEXT(A308,"ddd")</f>
        <v>Sat</v>
      </c>
      <c r="C308" s="36" t="n">
        <f aca="false">INT((A308-StartDate)/7)+1</f>
        <v>44</v>
      </c>
      <c r="D308" s="36" t="str">
        <f aca="false">TEXT(A308,"mmm")</f>
        <v>Oct</v>
      </c>
      <c r="E308" s="28"/>
      <c r="F308" s="29"/>
      <c r="G308" s="29"/>
      <c r="H308" s="30"/>
      <c r="I308" s="29"/>
      <c r="J308" s="28"/>
      <c r="K308" s="28"/>
      <c r="L308" s="31"/>
      <c r="M308" s="28"/>
      <c r="N308" s="31"/>
      <c r="O308" s="31"/>
      <c r="P308" s="31"/>
      <c r="Q308" s="31"/>
      <c r="R308" s="31"/>
      <c r="S308" s="32"/>
      <c r="T308" s="37" t="str">
        <f aca="false">IF(E308="","",E308/StepGoal)</f>
        <v/>
      </c>
      <c r="U308" s="37" t="str">
        <f aca="false">IF(F308="","",F308/SleepGoal)</f>
        <v/>
      </c>
      <c r="V308" s="37" t="str">
        <f aca="false">IF(I308="","",I308/WaterGoal)</f>
        <v/>
      </c>
      <c r="W308" s="37" t="str">
        <f aca="false">IF(COUNT(E308,F308,I308)=0,"",(IF(N(T308)&gt;=1,1,0)+IF(N(U308)&gt;=1,1,0)+IF(N(V308)&gt;=1,1,0))/3)</f>
        <v/>
      </c>
      <c r="X308" s="36" t="n">
        <f aca="false">IF(AND(L308&lt;&gt;"",L308&lt;&gt;"Rest Day"),1,0)</f>
        <v>0</v>
      </c>
      <c r="Y308" s="38" t="n">
        <f aca="false">IF(X308=1,Y307+1,0)</f>
        <v>0</v>
      </c>
      <c r="Z308" s="38" t="n">
        <f aca="false">IF(N(T308)&gt;=1,Z307+1,0)</f>
        <v>0</v>
      </c>
      <c r="AA308" s="38" t="n">
        <f aca="false">IF(N(U308)&gt;=1,AA307+1,0)</f>
        <v>0</v>
      </c>
      <c r="AB308" s="38" t="n">
        <f aca="false">IF(N(V308)&gt;=1,AB307+1,0)</f>
        <v>0</v>
      </c>
      <c r="AC308" s="38" t="str">
        <f aca="false">IF(COUNT(E308,F308,I308,J308)=0,"",ROUND((MIN(IFERROR(E308/StepGoal,0),1)*100)*0.2+(MIN(IFERROR(F308/SleepGoal,0),1)*100)*0.2+(IF(L308="",0,IF(L308="Rest Day",100,MIN(IFERROR(M308/60,0),1)*100)))*0.25+(IFERROR(INDEX('Recovery Tracker'!$E$5:$E$369,MATCH(A308,'Recovery Tracker'!$A$5:$A$369,0))+0,70))*0.15+(MIN(IFERROR(I308/WaterGoal,0),1)*100)*0.1+(IF(J308="",0,MAX(0,100-MIN(ABS(J308-CalorieGoal)/CalorieGoal,1)*100)))*0.1,0))</f>
        <v/>
      </c>
    </row>
    <row r="309" customFormat="false" ht="15" hidden="false" customHeight="false" outlineLevel="0" collapsed="false">
      <c r="A309" s="26" t="n">
        <f aca="false">A308+1</f>
        <v>46327</v>
      </c>
      <c r="B309" s="27" t="str">
        <f aca="false">TEXT(A309,"ddd")</f>
        <v>Sun</v>
      </c>
      <c r="C309" s="27" t="n">
        <f aca="false">INT((A309-StartDate)/7)+1</f>
        <v>44</v>
      </c>
      <c r="D309" s="27" t="str">
        <f aca="false">TEXT(A309,"mmm")</f>
        <v>Nov</v>
      </c>
      <c r="E309" s="28"/>
      <c r="F309" s="29"/>
      <c r="G309" s="29"/>
      <c r="H309" s="30"/>
      <c r="I309" s="29"/>
      <c r="J309" s="28"/>
      <c r="K309" s="28"/>
      <c r="L309" s="31"/>
      <c r="M309" s="28"/>
      <c r="N309" s="31"/>
      <c r="O309" s="31"/>
      <c r="P309" s="31"/>
      <c r="Q309" s="31"/>
      <c r="R309" s="31"/>
      <c r="S309" s="32"/>
      <c r="T309" s="33" t="str">
        <f aca="false">IF(E309="","",E309/StepGoal)</f>
        <v/>
      </c>
      <c r="U309" s="33" t="str">
        <f aca="false">IF(F309="","",F309/SleepGoal)</f>
        <v/>
      </c>
      <c r="V309" s="33" t="str">
        <f aca="false">IF(I309="","",I309/WaterGoal)</f>
        <v/>
      </c>
      <c r="W309" s="33" t="str">
        <f aca="false">IF(COUNT(E309,F309,I309)=0,"",(IF(N(T309)&gt;=1,1,0)+IF(N(U309)&gt;=1,1,0)+IF(N(V309)&gt;=1,1,0))/3)</f>
        <v/>
      </c>
      <c r="X309" s="27" t="n">
        <f aca="false">IF(AND(L309&lt;&gt;"",L309&lt;&gt;"Rest Day"),1,0)</f>
        <v>0</v>
      </c>
      <c r="Y309" s="34" t="n">
        <f aca="false">IF(X309=1,Y308+1,0)</f>
        <v>0</v>
      </c>
      <c r="Z309" s="34" t="n">
        <f aca="false">IF(N(T309)&gt;=1,Z308+1,0)</f>
        <v>0</v>
      </c>
      <c r="AA309" s="34" t="n">
        <f aca="false">IF(N(U309)&gt;=1,AA308+1,0)</f>
        <v>0</v>
      </c>
      <c r="AB309" s="34" t="n">
        <f aca="false">IF(N(V309)&gt;=1,AB308+1,0)</f>
        <v>0</v>
      </c>
      <c r="AC309" s="34" t="str">
        <f aca="false">IF(COUNT(E309,F309,I309,J309)=0,"",ROUND((MIN(IFERROR(E309/StepGoal,0),1)*100)*0.2+(MIN(IFERROR(F309/SleepGoal,0),1)*100)*0.2+(IF(L309="",0,IF(L309="Rest Day",100,MIN(IFERROR(M309/60,0),1)*100)))*0.25+(IFERROR(INDEX('Recovery Tracker'!$E$5:$E$369,MATCH(A309,'Recovery Tracker'!$A$5:$A$369,0))+0,70))*0.15+(MIN(IFERROR(I309/WaterGoal,0),1)*100)*0.1+(IF(J309="",0,MAX(0,100-MIN(ABS(J309-CalorieGoal)/CalorieGoal,1)*100)))*0.1,0))</f>
        <v/>
      </c>
    </row>
    <row r="310" customFormat="false" ht="15" hidden="false" customHeight="false" outlineLevel="0" collapsed="false">
      <c r="A310" s="35" t="n">
        <f aca="false">A309+1</f>
        <v>46328</v>
      </c>
      <c r="B310" s="36" t="str">
        <f aca="false">TEXT(A310,"ddd")</f>
        <v>Mon</v>
      </c>
      <c r="C310" s="36" t="n">
        <f aca="false">INT((A310-StartDate)/7)+1</f>
        <v>44</v>
      </c>
      <c r="D310" s="36" t="str">
        <f aca="false">TEXT(A310,"mmm")</f>
        <v>Nov</v>
      </c>
      <c r="E310" s="28"/>
      <c r="F310" s="29"/>
      <c r="G310" s="29"/>
      <c r="H310" s="30"/>
      <c r="I310" s="29"/>
      <c r="J310" s="28"/>
      <c r="K310" s="28"/>
      <c r="L310" s="31"/>
      <c r="M310" s="28"/>
      <c r="N310" s="31"/>
      <c r="O310" s="31"/>
      <c r="P310" s="31"/>
      <c r="Q310" s="31"/>
      <c r="R310" s="31"/>
      <c r="S310" s="32"/>
      <c r="T310" s="37" t="str">
        <f aca="false">IF(E310="","",E310/StepGoal)</f>
        <v/>
      </c>
      <c r="U310" s="37" t="str">
        <f aca="false">IF(F310="","",F310/SleepGoal)</f>
        <v/>
      </c>
      <c r="V310" s="37" t="str">
        <f aca="false">IF(I310="","",I310/WaterGoal)</f>
        <v/>
      </c>
      <c r="W310" s="37" t="str">
        <f aca="false">IF(COUNT(E310,F310,I310)=0,"",(IF(N(T310)&gt;=1,1,0)+IF(N(U310)&gt;=1,1,0)+IF(N(V310)&gt;=1,1,0))/3)</f>
        <v/>
      </c>
      <c r="X310" s="36" t="n">
        <f aca="false">IF(AND(L310&lt;&gt;"",L310&lt;&gt;"Rest Day"),1,0)</f>
        <v>0</v>
      </c>
      <c r="Y310" s="38" t="n">
        <f aca="false">IF(X310=1,Y309+1,0)</f>
        <v>0</v>
      </c>
      <c r="Z310" s="38" t="n">
        <f aca="false">IF(N(T310)&gt;=1,Z309+1,0)</f>
        <v>0</v>
      </c>
      <c r="AA310" s="38" t="n">
        <f aca="false">IF(N(U310)&gt;=1,AA309+1,0)</f>
        <v>0</v>
      </c>
      <c r="AB310" s="38" t="n">
        <f aca="false">IF(N(V310)&gt;=1,AB309+1,0)</f>
        <v>0</v>
      </c>
      <c r="AC310" s="38" t="str">
        <f aca="false">IF(COUNT(E310,F310,I310,J310)=0,"",ROUND((MIN(IFERROR(E310/StepGoal,0),1)*100)*0.2+(MIN(IFERROR(F310/SleepGoal,0),1)*100)*0.2+(IF(L310="",0,IF(L310="Rest Day",100,MIN(IFERROR(M310/60,0),1)*100)))*0.25+(IFERROR(INDEX('Recovery Tracker'!$E$5:$E$369,MATCH(A310,'Recovery Tracker'!$A$5:$A$369,0))+0,70))*0.15+(MIN(IFERROR(I310/WaterGoal,0),1)*100)*0.1+(IF(J310="",0,MAX(0,100-MIN(ABS(J310-CalorieGoal)/CalorieGoal,1)*100)))*0.1,0))</f>
        <v/>
      </c>
    </row>
    <row r="311" customFormat="false" ht="15" hidden="false" customHeight="false" outlineLevel="0" collapsed="false">
      <c r="A311" s="26" t="n">
        <f aca="false">A310+1</f>
        <v>46329</v>
      </c>
      <c r="B311" s="27" t="str">
        <f aca="false">TEXT(A311,"ddd")</f>
        <v>Tue</v>
      </c>
      <c r="C311" s="27" t="n">
        <f aca="false">INT((A311-StartDate)/7)+1</f>
        <v>44</v>
      </c>
      <c r="D311" s="27" t="str">
        <f aca="false">TEXT(A311,"mmm")</f>
        <v>Nov</v>
      </c>
      <c r="E311" s="28"/>
      <c r="F311" s="29"/>
      <c r="G311" s="29"/>
      <c r="H311" s="30"/>
      <c r="I311" s="29"/>
      <c r="J311" s="28"/>
      <c r="K311" s="28"/>
      <c r="L311" s="31"/>
      <c r="M311" s="28"/>
      <c r="N311" s="31"/>
      <c r="O311" s="31"/>
      <c r="P311" s="31"/>
      <c r="Q311" s="31"/>
      <c r="R311" s="31"/>
      <c r="S311" s="32"/>
      <c r="T311" s="33" t="str">
        <f aca="false">IF(E311="","",E311/StepGoal)</f>
        <v/>
      </c>
      <c r="U311" s="33" t="str">
        <f aca="false">IF(F311="","",F311/SleepGoal)</f>
        <v/>
      </c>
      <c r="V311" s="33" t="str">
        <f aca="false">IF(I311="","",I311/WaterGoal)</f>
        <v/>
      </c>
      <c r="W311" s="33" t="str">
        <f aca="false">IF(COUNT(E311,F311,I311)=0,"",(IF(N(T311)&gt;=1,1,0)+IF(N(U311)&gt;=1,1,0)+IF(N(V311)&gt;=1,1,0))/3)</f>
        <v/>
      </c>
      <c r="X311" s="27" t="n">
        <f aca="false">IF(AND(L311&lt;&gt;"",L311&lt;&gt;"Rest Day"),1,0)</f>
        <v>0</v>
      </c>
      <c r="Y311" s="34" t="n">
        <f aca="false">IF(X311=1,Y310+1,0)</f>
        <v>0</v>
      </c>
      <c r="Z311" s="34" t="n">
        <f aca="false">IF(N(T311)&gt;=1,Z310+1,0)</f>
        <v>0</v>
      </c>
      <c r="AA311" s="34" t="n">
        <f aca="false">IF(N(U311)&gt;=1,AA310+1,0)</f>
        <v>0</v>
      </c>
      <c r="AB311" s="34" t="n">
        <f aca="false">IF(N(V311)&gt;=1,AB310+1,0)</f>
        <v>0</v>
      </c>
      <c r="AC311" s="34" t="str">
        <f aca="false">IF(COUNT(E311,F311,I311,J311)=0,"",ROUND((MIN(IFERROR(E311/StepGoal,0),1)*100)*0.2+(MIN(IFERROR(F311/SleepGoal,0),1)*100)*0.2+(IF(L311="",0,IF(L311="Rest Day",100,MIN(IFERROR(M311/60,0),1)*100)))*0.25+(IFERROR(INDEX('Recovery Tracker'!$E$5:$E$369,MATCH(A311,'Recovery Tracker'!$A$5:$A$369,0))+0,70))*0.15+(MIN(IFERROR(I311/WaterGoal,0),1)*100)*0.1+(IF(J311="",0,MAX(0,100-MIN(ABS(J311-CalorieGoal)/CalorieGoal,1)*100)))*0.1,0))</f>
        <v/>
      </c>
    </row>
    <row r="312" customFormat="false" ht="15" hidden="false" customHeight="false" outlineLevel="0" collapsed="false">
      <c r="A312" s="35" t="n">
        <f aca="false">A311+1</f>
        <v>46330</v>
      </c>
      <c r="B312" s="36" t="str">
        <f aca="false">TEXT(A312,"ddd")</f>
        <v>Wed</v>
      </c>
      <c r="C312" s="36" t="n">
        <f aca="false">INT((A312-StartDate)/7)+1</f>
        <v>44</v>
      </c>
      <c r="D312" s="36" t="str">
        <f aca="false">TEXT(A312,"mmm")</f>
        <v>Nov</v>
      </c>
      <c r="E312" s="28"/>
      <c r="F312" s="29"/>
      <c r="G312" s="29"/>
      <c r="H312" s="30"/>
      <c r="I312" s="29"/>
      <c r="J312" s="28"/>
      <c r="K312" s="28"/>
      <c r="L312" s="31"/>
      <c r="M312" s="28"/>
      <c r="N312" s="31"/>
      <c r="O312" s="31"/>
      <c r="P312" s="31"/>
      <c r="Q312" s="31"/>
      <c r="R312" s="31"/>
      <c r="S312" s="32"/>
      <c r="T312" s="37" t="str">
        <f aca="false">IF(E312="","",E312/StepGoal)</f>
        <v/>
      </c>
      <c r="U312" s="37" t="str">
        <f aca="false">IF(F312="","",F312/SleepGoal)</f>
        <v/>
      </c>
      <c r="V312" s="37" t="str">
        <f aca="false">IF(I312="","",I312/WaterGoal)</f>
        <v/>
      </c>
      <c r="W312" s="37" t="str">
        <f aca="false">IF(COUNT(E312,F312,I312)=0,"",(IF(N(T312)&gt;=1,1,0)+IF(N(U312)&gt;=1,1,0)+IF(N(V312)&gt;=1,1,0))/3)</f>
        <v/>
      </c>
      <c r="X312" s="36" t="n">
        <f aca="false">IF(AND(L312&lt;&gt;"",L312&lt;&gt;"Rest Day"),1,0)</f>
        <v>0</v>
      </c>
      <c r="Y312" s="38" t="n">
        <f aca="false">IF(X312=1,Y311+1,0)</f>
        <v>0</v>
      </c>
      <c r="Z312" s="38" t="n">
        <f aca="false">IF(N(T312)&gt;=1,Z311+1,0)</f>
        <v>0</v>
      </c>
      <c r="AA312" s="38" t="n">
        <f aca="false">IF(N(U312)&gt;=1,AA311+1,0)</f>
        <v>0</v>
      </c>
      <c r="AB312" s="38" t="n">
        <f aca="false">IF(N(V312)&gt;=1,AB311+1,0)</f>
        <v>0</v>
      </c>
      <c r="AC312" s="38" t="str">
        <f aca="false">IF(COUNT(E312,F312,I312,J312)=0,"",ROUND((MIN(IFERROR(E312/StepGoal,0),1)*100)*0.2+(MIN(IFERROR(F312/SleepGoal,0),1)*100)*0.2+(IF(L312="",0,IF(L312="Rest Day",100,MIN(IFERROR(M312/60,0),1)*100)))*0.25+(IFERROR(INDEX('Recovery Tracker'!$E$5:$E$369,MATCH(A312,'Recovery Tracker'!$A$5:$A$369,0))+0,70))*0.15+(MIN(IFERROR(I312/WaterGoal,0),1)*100)*0.1+(IF(J312="",0,MAX(0,100-MIN(ABS(J312-CalorieGoal)/CalorieGoal,1)*100)))*0.1,0))</f>
        <v/>
      </c>
    </row>
    <row r="313" customFormat="false" ht="15" hidden="false" customHeight="false" outlineLevel="0" collapsed="false">
      <c r="A313" s="26" t="n">
        <f aca="false">A312+1</f>
        <v>46331</v>
      </c>
      <c r="B313" s="27" t="str">
        <f aca="false">TEXT(A313,"ddd")</f>
        <v>Thu</v>
      </c>
      <c r="C313" s="27" t="n">
        <f aca="false">INT((A313-StartDate)/7)+1</f>
        <v>45</v>
      </c>
      <c r="D313" s="27" t="str">
        <f aca="false">TEXT(A313,"mmm")</f>
        <v>Nov</v>
      </c>
      <c r="E313" s="28"/>
      <c r="F313" s="29"/>
      <c r="G313" s="29"/>
      <c r="H313" s="30"/>
      <c r="I313" s="29"/>
      <c r="J313" s="28"/>
      <c r="K313" s="28"/>
      <c r="L313" s="31"/>
      <c r="M313" s="28"/>
      <c r="N313" s="31"/>
      <c r="O313" s="31"/>
      <c r="P313" s="31"/>
      <c r="Q313" s="31"/>
      <c r="R313" s="31"/>
      <c r="S313" s="32"/>
      <c r="T313" s="33" t="str">
        <f aca="false">IF(E313="","",E313/StepGoal)</f>
        <v/>
      </c>
      <c r="U313" s="33" t="str">
        <f aca="false">IF(F313="","",F313/SleepGoal)</f>
        <v/>
      </c>
      <c r="V313" s="33" t="str">
        <f aca="false">IF(I313="","",I313/WaterGoal)</f>
        <v/>
      </c>
      <c r="W313" s="33" t="str">
        <f aca="false">IF(COUNT(E313,F313,I313)=0,"",(IF(N(T313)&gt;=1,1,0)+IF(N(U313)&gt;=1,1,0)+IF(N(V313)&gt;=1,1,0))/3)</f>
        <v/>
      </c>
      <c r="X313" s="27" t="n">
        <f aca="false">IF(AND(L313&lt;&gt;"",L313&lt;&gt;"Rest Day"),1,0)</f>
        <v>0</v>
      </c>
      <c r="Y313" s="34" t="n">
        <f aca="false">IF(X313=1,Y312+1,0)</f>
        <v>0</v>
      </c>
      <c r="Z313" s="34" t="n">
        <f aca="false">IF(N(T313)&gt;=1,Z312+1,0)</f>
        <v>0</v>
      </c>
      <c r="AA313" s="34" t="n">
        <f aca="false">IF(N(U313)&gt;=1,AA312+1,0)</f>
        <v>0</v>
      </c>
      <c r="AB313" s="34" t="n">
        <f aca="false">IF(N(V313)&gt;=1,AB312+1,0)</f>
        <v>0</v>
      </c>
      <c r="AC313" s="34" t="str">
        <f aca="false">IF(COUNT(E313,F313,I313,J313)=0,"",ROUND((MIN(IFERROR(E313/StepGoal,0),1)*100)*0.2+(MIN(IFERROR(F313/SleepGoal,0),1)*100)*0.2+(IF(L313="",0,IF(L313="Rest Day",100,MIN(IFERROR(M313/60,0),1)*100)))*0.25+(IFERROR(INDEX('Recovery Tracker'!$E$5:$E$369,MATCH(A313,'Recovery Tracker'!$A$5:$A$369,0))+0,70))*0.15+(MIN(IFERROR(I313/WaterGoal,0),1)*100)*0.1+(IF(J313="",0,MAX(0,100-MIN(ABS(J313-CalorieGoal)/CalorieGoal,1)*100)))*0.1,0))</f>
        <v/>
      </c>
    </row>
    <row r="314" customFormat="false" ht="15" hidden="false" customHeight="false" outlineLevel="0" collapsed="false">
      <c r="A314" s="35" t="n">
        <f aca="false">A313+1</f>
        <v>46332</v>
      </c>
      <c r="B314" s="36" t="str">
        <f aca="false">TEXT(A314,"ddd")</f>
        <v>Fri</v>
      </c>
      <c r="C314" s="36" t="n">
        <f aca="false">INT((A314-StartDate)/7)+1</f>
        <v>45</v>
      </c>
      <c r="D314" s="36" t="str">
        <f aca="false">TEXT(A314,"mmm")</f>
        <v>Nov</v>
      </c>
      <c r="E314" s="28"/>
      <c r="F314" s="29"/>
      <c r="G314" s="29"/>
      <c r="H314" s="30"/>
      <c r="I314" s="29"/>
      <c r="J314" s="28"/>
      <c r="K314" s="28"/>
      <c r="L314" s="31"/>
      <c r="M314" s="28"/>
      <c r="N314" s="31"/>
      <c r="O314" s="31"/>
      <c r="P314" s="31"/>
      <c r="Q314" s="31"/>
      <c r="R314" s="31"/>
      <c r="S314" s="32"/>
      <c r="T314" s="37" t="str">
        <f aca="false">IF(E314="","",E314/StepGoal)</f>
        <v/>
      </c>
      <c r="U314" s="37" t="str">
        <f aca="false">IF(F314="","",F314/SleepGoal)</f>
        <v/>
      </c>
      <c r="V314" s="37" t="str">
        <f aca="false">IF(I314="","",I314/WaterGoal)</f>
        <v/>
      </c>
      <c r="W314" s="37" t="str">
        <f aca="false">IF(COUNT(E314,F314,I314)=0,"",(IF(N(T314)&gt;=1,1,0)+IF(N(U314)&gt;=1,1,0)+IF(N(V314)&gt;=1,1,0))/3)</f>
        <v/>
      </c>
      <c r="X314" s="36" t="n">
        <f aca="false">IF(AND(L314&lt;&gt;"",L314&lt;&gt;"Rest Day"),1,0)</f>
        <v>0</v>
      </c>
      <c r="Y314" s="38" t="n">
        <f aca="false">IF(X314=1,Y313+1,0)</f>
        <v>0</v>
      </c>
      <c r="Z314" s="38" t="n">
        <f aca="false">IF(N(T314)&gt;=1,Z313+1,0)</f>
        <v>0</v>
      </c>
      <c r="AA314" s="38" t="n">
        <f aca="false">IF(N(U314)&gt;=1,AA313+1,0)</f>
        <v>0</v>
      </c>
      <c r="AB314" s="38" t="n">
        <f aca="false">IF(N(V314)&gt;=1,AB313+1,0)</f>
        <v>0</v>
      </c>
      <c r="AC314" s="38" t="str">
        <f aca="false">IF(COUNT(E314,F314,I314,J314)=0,"",ROUND((MIN(IFERROR(E314/StepGoal,0),1)*100)*0.2+(MIN(IFERROR(F314/SleepGoal,0),1)*100)*0.2+(IF(L314="",0,IF(L314="Rest Day",100,MIN(IFERROR(M314/60,0),1)*100)))*0.25+(IFERROR(INDEX('Recovery Tracker'!$E$5:$E$369,MATCH(A314,'Recovery Tracker'!$A$5:$A$369,0))+0,70))*0.15+(MIN(IFERROR(I314/WaterGoal,0),1)*100)*0.1+(IF(J314="",0,MAX(0,100-MIN(ABS(J314-CalorieGoal)/CalorieGoal,1)*100)))*0.1,0))</f>
        <v/>
      </c>
    </row>
    <row r="315" customFormat="false" ht="15" hidden="false" customHeight="false" outlineLevel="0" collapsed="false">
      <c r="A315" s="26" t="n">
        <f aca="false">A314+1</f>
        <v>46333</v>
      </c>
      <c r="B315" s="27" t="str">
        <f aca="false">TEXT(A315,"ddd")</f>
        <v>Sat</v>
      </c>
      <c r="C315" s="27" t="n">
        <f aca="false">INT((A315-StartDate)/7)+1</f>
        <v>45</v>
      </c>
      <c r="D315" s="27" t="str">
        <f aca="false">TEXT(A315,"mmm")</f>
        <v>Nov</v>
      </c>
      <c r="E315" s="28"/>
      <c r="F315" s="29"/>
      <c r="G315" s="29"/>
      <c r="H315" s="30"/>
      <c r="I315" s="29"/>
      <c r="J315" s="28"/>
      <c r="K315" s="28"/>
      <c r="L315" s="31"/>
      <c r="M315" s="28"/>
      <c r="N315" s="31"/>
      <c r="O315" s="31"/>
      <c r="P315" s="31"/>
      <c r="Q315" s="31"/>
      <c r="R315" s="31"/>
      <c r="S315" s="32"/>
      <c r="T315" s="33" t="str">
        <f aca="false">IF(E315="","",E315/StepGoal)</f>
        <v/>
      </c>
      <c r="U315" s="33" t="str">
        <f aca="false">IF(F315="","",F315/SleepGoal)</f>
        <v/>
      </c>
      <c r="V315" s="33" t="str">
        <f aca="false">IF(I315="","",I315/WaterGoal)</f>
        <v/>
      </c>
      <c r="W315" s="33" t="str">
        <f aca="false">IF(COUNT(E315,F315,I315)=0,"",(IF(N(T315)&gt;=1,1,0)+IF(N(U315)&gt;=1,1,0)+IF(N(V315)&gt;=1,1,0))/3)</f>
        <v/>
      </c>
      <c r="X315" s="27" t="n">
        <f aca="false">IF(AND(L315&lt;&gt;"",L315&lt;&gt;"Rest Day"),1,0)</f>
        <v>0</v>
      </c>
      <c r="Y315" s="34" t="n">
        <f aca="false">IF(X315=1,Y314+1,0)</f>
        <v>0</v>
      </c>
      <c r="Z315" s="34" t="n">
        <f aca="false">IF(N(T315)&gt;=1,Z314+1,0)</f>
        <v>0</v>
      </c>
      <c r="AA315" s="34" t="n">
        <f aca="false">IF(N(U315)&gt;=1,AA314+1,0)</f>
        <v>0</v>
      </c>
      <c r="AB315" s="34" t="n">
        <f aca="false">IF(N(V315)&gt;=1,AB314+1,0)</f>
        <v>0</v>
      </c>
      <c r="AC315" s="34" t="str">
        <f aca="false">IF(COUNT(E315,F315,I315,J315)=0,"",ROUND((MIN(IFERROR(E315/StepGoal,0),1)*100)*0.2+(MIN(IFERROR(F315/SleepGoal,0),1)*100)*0.2+(IF(L315="",0,IF(L315="Rest Day",100,MIN(IFERROR(M315/60,0),1)*100)))*0.25+(IFERROR(INDEX('Recovery Tracker'!$E$5:$E$369,MATCH(A315,'Recovery Tracker'!$A$5:$A$369,0))+0,70))*0.15+(MIN(IFERROR(I315/WaterGoal,0),1)*100)*0.1+(IF(J315="",0,MAX(0,100-MIN(ABS(J315-CalorieGoal)/CalorieGoal,1)*100)))*0.1,0))</f>
        <v/>
      </c>
    </row>
    <row r="316" customFormat="false" ht="15" hidden="false" customHeight="false" outlineLevel="0" collapsed="false">
      <c r="A316" s="35" t="n">
        <f aca="false">A315+1</f>
        <v>46334</v>
      </c>
      <c r="B316" s="36" t="str">
        <f aca="false">TEXT(A316,"ddd")</f>
        <v>Sun</v>
      </c>
      <c r="C316" s="36" t="n">
        <f aca="false">INT((A316-StartDate)/7)+1</f>
        <v>45</v>
      </c>
      <c r="D316" s="36" t="str">
        <f aca="false">TEXT(A316,"mmm")</f>
        <v>Nov</v>
      </c>
      <c r="E316" s="28"/>
      <c r="F316" s="29"/>
      <c r="G316" s="29"/>
      <c r="H316" s="30"/>
      <c r="I316" s="29"/>
      <c r="J316" s="28"/>
      <c r="K316" s="28"/>
      <c r="L316" s="31"/>
      <c r="M316" s="28"/>
      <c r="N316" s="31"/>
      <c r="O316" s="31"/>
      <c r="P316" s="31"/>
      <c r="Q316" s="31"/>
      <c r="R316" s="31"/>
      <c r="S316" s="32"/>
      <c r="T316" s="37" t="str">
        <f aca="false">IF(E316="","",E316/StepGoal)</f>
        <v/>
      </c>
      <c r="U316" s="37" t="str">
        <f aca="false">IF(F316="","",F316/SleepGoal)</f>
        <v/>
      </c>
      <c r="V316" s="37" t="str">
        <f aca="false">IF(I316="","",I316/WaterGoal)</f>
        <v/>
      </c>
      <c r="W316" s="37" t="str">
        <f aca="false">IF(COUNT(E316,F316,I316)=0,"",(IF(N(T316)&gt;=1,1,0)+IF(N(U316)&gt;=1,1,0)+IF(N(V316)&gt;=1,1,0))/3)</f>
        <v/>
      </c>
      <c r="X316" s="36" t="n">
        <f aca="false">IF(AND(L316&lt;&gt;"",L316&lt;&gt;"Rest Day"),1,0)</f>
        <v>0</v>
      </c>
      <c r="Y316" s="38" t="n">
        <f aca="false">IF(X316=1,Y315+1,0)</f>
        <v>0</v>
      </c>
      <c r="Z316" s="38" t="n">
        <f aca="false">IF(N(T316)&gt;=1,Z315+1,0)</f>
        <v>0</v>
      </c>
      <c r="AA316" s="38" t="n">
        <f aca="false">IF(N(U316)&gt;=1,AA315+1,0)</f>
        <v>0</v>
      </c>
      <c r="AB316" s="38" t="n">
        <f aca="false">IF(N(V316)&gt;=1,AB315+1,0)</f>
        <v>0</v>
      </c>
      <c r="AC316" s="38" t="str">
        <f aca="false">IF(COUNT(E316,F316,I316,J316)=0,"",ROUND((MIN(IFERROR(E316/StepGoal,0),1)*100)*0.2+(MIN(IFERROR(F316/SleepGoal,0),1)*100)*0.2+(IF(L316="",0,IF(L316="Rest Day",100,MIN(IFERROR(M316/60,0),1)*100)))*0.25+(IFERROR(INDEX('Recovery Tracker'!$E$5:$E$369,MATCH(A316,'Recovery Tracker'!$A$5:$A$369,0))+0,70))*0.15+(MIN(IFERROR(I316/WaterGoal,0),1)*100)*0.1+(IF(J316="",0,MAX(0,100-MIN(ABS(J316-CalorieGoal)/CalorieGoal,1)*100)))*0.1,0))</f>
        <v/>
      </c>
    </row>
    <row r="317" customFormat="false" ht="15" hidden="false" customHeight="false" outlineLevel="0" collapsed="false">
      <c r="A317" s="26" t="n">
        <f aca="false">A316+1</f>
        <v>46335</v>
      </c>
      <c r="B317" s="27" t="str">
        <f aca="false">TEXT(A317,"ddd")</f>
        <v>Mon</v>
      </c>
      <c r="C317" s="27" t="n">
        <f aca="false">INT((A317-StartDate)/7)+1</f>
        <v>45</v>
      </c>
      <c r="D317" s="27" t="str">
        <f aca="false">TEXT(A317,"mmm")</f>
        <v>Nov</v>
      </c>
      <c r="E317" s="28"/>
      <c r="F317" s="29"/>
      <c r="G317" s="29"/>
      <c r="H317" s="30"/>
      <c r="I317" s="29"/>
      <c r="J317" s="28"/>
      <c r="K317" s="28"/>
      <c r="L317" s="31"/>
      <c r="M317" s="28"/>
      <c r="N317" s="31"/>
      <c r="O317" s="31"/>
      <c r="P317" s="31"/>
      <c r="Q317" s="31"/>
      <c r="R317" s="31"/>
      <c r="S317" s="32"/>
      <c r="T317" s="33" t="str">
        <f aca="false">IF(E317="","",E317/StepGoal)</f>
        <v/>
      </c>
      <c r="U317" s="33" t="str">
        <f aca="false">IF(F317="","",F317/SleepGoal)</f>
        <v/>
      </c>
      <c r="V317" s="33" t="str">
        <f aca="false">IF(I317="","",I317/WaterGoal)</f>
        <v/>
      </c>
      <c r="W317" s="33" t="str">
        <f aca="false">IF(COUNT(E317,F317,I317)=0,"",(IF(N(T317)&gt;=1,1,0)+IF(N(U317)&gt;=1,1,0)+IF(N(V317)&gt;=1,1,0))/3)</f>
        <v/>
      </c>
      <c r="X317" s="27" t="n">
        <f aca="false">IF(AND(L317&lt;&gt;"",L317&lt;&gt;"Rest Day"),1,0)</f>
        <v>0</v>
      </c>
      <c r="Y317" s="34" t="n">
        <f aca="false">IF(X317=1,Y316+1,0)</f>
        <v>0</v>
      </c>
      <c r="Z317" s="34" t="n">
        <f aca="false">IF(N(T317)&gt;=1,Z316+1,0)</f>
        <v>0</v>
      </c>
      <c r="AA317" s="34" t="n">
        <f aca="false">IF(N(U317)&gt;=1,AA316+1,0)</f>
        <v>0</v>
      </c>
      <c r="AB317" s="34" t="n">
        <f aca="false">IF(N(V317)&gt;=1,AB316+1,0)</f>
        <v>0</v>
      </c>
      <c r="AC317" s="34" t="str">
        <f aca="false">IF(COUNT(E317,F317,I317,J317)=0,"",ROUND((MIN(IFERROR(E317/StepGoal,0),1)*100)*0.2+(MIN(IFERROR(F317/SleepGoal,0),1)*100)*0.2+(IF(L317="",0,IF(L317="Rest Day",100,MIN(IFERROR(M317/60,0),1)*100)))*0.25+(IFERROR(INDEX('Recovery Tracker'!$E$5:$E$369,MATCH(A317,'Recovery Tracker'!$A$5:$A$369,0))+0,70))*0.15+(MIN(IFERROR(I317/WaterGoal,0),1)*100)*0.1+(IF(J317="",0,MAX(0,100-MIN(ABS(J317-CalorieGoal)/CalorieGoal,1)*100)))*0.1,0))</f>
        <v/>
      </c>
    </row>
    <row r="318" customFormat="false" ht="15" hidden="false" customHeight="false" outlineLevel="0" collapsed="false">
      <c r="A318" s="35" t="n">
        <f aca="false">A317+1</f>
        <v>46336</v>
      </c>
      <c r="B318" s="36" t="str">
        <f aca="false">TEXT(A318,"ddd")</f>
        <v>Tue</v>
      </c>
      <c r="C318" s="36" t="n">
        <f aca="false">INT((A318-StartDate)/7)+1</f>
        <v>45</v>
      </c>
      <c r="D318" s="36" t="str">
        <f aca="false">TEXT(A318,"mmm")</f>
        <v>Nov</v>
      </c>
      <c r="E318" s="28"/>
      <c r="F318" s="29"/>
      <c r="G318" s="29"/>
      <c r="H318" s="30"/>
      <c r="I318" s="29"/>
      <c r="J318" s="28"/>
      <c r="K318" s="28"/>
      <c r="L318" s="31"/>
      <c r="M318" s="28"/>
      <c r="N318" s="31"/>
      <c r="O318" s="31"/>
      <c r="P318" s="31"/>
      <c r="Q318" s="31"/>
      <c r="R318" s="31"/>
      <c r="S318" s="32"/>
      <c r="T318" s="37" t="str">
        <f aca="false">IF(E318="","",E318/StepGoal)</f>
        <v/>
      </c>
      <c r="U318" s="37" t="str">
        <f aca="false">IF(F318="","",F318/SleepGoal)</f>
        <v/>
      </c>
      <c r="V318" s="37" t="str">
        <f aca="false">IF(I318="","",I318/WaterGoal)</f>
        <v/>
      </c>
      <c r="W318" s="37" t="str">
        <f aca="false">IF(COUNT(E318,F318,I318)=0,"",(IF(N(T318)&gt;=1,1,0)+IF(N(U318)&gt;=1,1,0)+IF(N(V318)&gt;=1,1,0))/3)</f>
        <v/>
      </c>
      <c r="X318" s="36" t="n">
        <f aca="false">IF(AND(L318&lt;&gt;"",L318&lt;&gt;"Rest Day"),1,0)</f>
        <v>0</v>
      </c>
      <c r="Y318" s="38" t="n">
        <f aca="false">IF(X318=1,Y317+1,0)</f>
        <v>0</v>
      </c>
      <c r="Z318" s="38" t="n">
        <f aca="false">IF(N(T318)&gt;=1,Z317+1,0)</f>
        <v>0</v>
      </c>
      <c r="AA318" s="38" t="n">
        <f aca="false">IF(N(U318)&gt;=1,AA317+1,0)</f>
        <v>0</v>
      </c>
      <c r="AB318" s="38" t="n">
        <f aca="false">IF(N(V318)&gt;=1,AB317+1,0)</f>
        <v>0</v>
      </c>
      <c r="AC318" s="38" t="str">
        <f aca="false">IF(COUNT(E318,F318,I318,J318)=0,"",ROUND((MIN(IFERROR(E318/StepGoal,0),1)*100)*0.2+(MIN(IFERROR(F318/SleepGoal,0),1)*100)*0.2+(IF(L318="",0,IF(L318="Rest Day",100,MIN(IFERROR(M318/60,0),1)*100)))*0.25+(IFERROR(INDEX('Recovery Tracker'!$E$5:$E$369,MATCH(A318,'Recovery Tracker'!$A$5:$A$369,0))+0,70))*0.15+(MIN(IFERROR(I318/WaterGoal,0),1)*100)*0.1+(IF(J318="",0,MAX(0,100-MIN(ABS(J318-CalorieGoal)/CalorieGoal,1)*100)))*0.1,0))</f>
        <v/>
      </c>
    </row>
    <row r="319" customFormat="false" ht="15" hidden="false" customHeight="false" outlineLevel="0" collapsed="false">
      <c r="A319" s="26" t="n">
        <f aca="false">A318+1</f>
        <v>46337</v>
      </c>
      <c r="B319" s="27" t="str">
        <f aca="false">TEXT(A319,"ddd")</f>
        <v>Wed</v>
      </c>
      <c r="C319" s="27" t="n">
        <f aca="false">INT((A319-StartDate)/7)+1</f>
        <v>45</v>
      </c>
      <c r="D319" s="27" t="str">
        <f aca="false">TEXT(A319,"mmm")</f>
        <v>Nov</v>
      </c>
      <c r="E319" s="28"/>
      <c r="F319" s="29"/>
      <c r="G319" s="29"/>
      <c r="H319" s="30"/>
      <c r="I319" s="29"/>
      <c r="J319" s="28"/>
      <c r="K319" s="28"/>
      <c r="L319" s="31"/>
      <c r="M319" s="28"/>
      <c r="N319" s="31"/>
      <c r="O319" s="31"/>
      <c r="P319" s="31"/>
      <c r="Q319" s="31"/>
      <c r="R319" s="31"/>
      <c r="S319" s="32"/>
      <c r="T319" s="33" t="str">
        <f aca="false">IF(E319="","",E319/StepGoal)</f>
        <v/>
      </c>
      <c r="U319" s="33" t="str">
        <f aca="false">IF(F319="","",F319/SleepGoal)</f>
        <v/>
      </c>
      <c r="V319" s="33" t="str">
        <f aca="false">IF(I319="","",I319/WaterGoal)</f>
        <v/>
      </c>
      <c r="W319" s="33" t="str">
        <f aca="false">IF(COUNT(E319,F319,I319)=0,"",(IF(N(T319)&gt;=1,1,0)+IF(N(U319)&gt;=1,1,0)+IF(N(V319)&gt;=1,1,0))/3)</f>
        <v/>
      </c>
      <c r="X319" s="27" t="n">
        <f aca="false">IF(AND(L319&lt;&gt;"",L319&lt;&gt;"Rest Day"),1,0)</f>
        <v>0</v>
      </c>
      <c r="Y319" s="34" t="n">
        <f aca="false">IF(X319=1,Y318+1,0)</f>
        <v>0</v>
      </c>
      <c r="Z319" s="34" t="n">
        <f aca="false">IF(N(T319)&gt;=1,Z318+1,0)</f>
        <v>0</v>
      </c>
      <c r="AA319" s="34" t="n">
        <f aca="false">IF(N(U319)&gt;=1,AA318+1,0)</f>
        <v>0</v>
      </c>
      <c r="AB319" s="34" t="n">
        <f aca="false">IF(N(V319)&gt;=1,AB318+1,0)</f>
        <v>0</v>
      </c>
      <c r="AC319" s="34" t="str">
        <f aca="false">IF(COUNT(E319,F319,I319,J319)=0,"",ROUND((MIN(IFERROR(E319/StepGoal,0),1)*100)*0.2+(MIN(IFERROR(F319/SleepGoal,0),1)*100)*0.2+(IF(L319="",0,IF(L319="Rest Day",100,MIN(IFERROR(M319/60,0),1)*100)))*0.25+(IFERROR(INDEX('Recovery Tracker'!$E$5:$E$369,MATCH(A319,'Recovery Tracker'!$A$5:$A$369,0))+0,70))*0.15+(MIN(IFERROR(I319/WaterGoal,0),1)*100)*0.1+(IF(J319="",0,MAX(0,100-MIN(ABS(J319-CalorieGoal)/CalorieGoal,1)*100)))*0.1,0))</f>
        <v/>
      </c>
    </row>
    <row r="320" customFormat="false" ht="15" hidden="false" customHeight="false" outlineLevel="0" collapsed="false">
      <c r="A320" s="35" t="n">
        <f aca="false">A319+1</f>
        <v>46338</v>
      </c>
      <c r="B320" s="36" t="str">
        <f aca="false">TEXT(A320,"ddd")</f>
        <v>Thu</v>
      </c>
      <c r="C320" s="36" t="n">
        <f aca="false">INT((A320-StartDate)/7)+1</f>
        <v>46</v>
      </c>
      <c r="D320" s="36" t="str">
        <f aca="false">TEXT(A320,"mmm")</f>
        <v>Nov</v>
      </c>
      <c r="E320" s="28"/>
      <c r="F320" s="29"/>
      <c r="G320" s="29"/>
      <c r="H320" s="30"/>
      <c r="I320" s="29"/>
      <c r="J320" s="28"/>
      <c r="K320" s="28"/>
      <c r="L320" s="31"/>
      <c r="M320" s="28"/>
      <c r="N320" s="31"/>
      <c r="O320" s="31"/>
      <c r="P320" s="31"/>
      <c r="Q320" s="31"/>
      <c r="R320" s="31"/>
      <c r="S320" s="32"/>
      <c r="T320" s="37" t="str">
        <f aca="false">IF(E320="","",E320/StepGoal)</f>
        <v/>
      </c>
      <c r="U320" s="37" t="str">
        <f aca="false">IF(F320="","",F320/SleepGoal)</f>
        <v/>
      </c>
      <c r="V320" s="37" t="str">
        <f aca="false">IF(I320="","",I320/WaterGoal)</f>
        <v/>
      </c>
      <c r="W320" s="37" t="str">
        <f aca="false">IF(COUNT(E320,F320,I320)=0,"",(IF(N(T320)&gt;=1,1,0)+IF(N(U320)&gt;=1,1,0)+IF(N(V320)&gt;=1,1,0))/3)</f>
        <v/>
      </c>
      <c r="X320" s="36" t="n">
        <f aca="false">IF(AND(L320&lt;&gt;"",L320&lt;&gt;"Rest Day"),1,0)</f>
        <v>0</v>
      </c>
      <c r="Y320" s="38" t="n">
        <f aca="false">IF(X320=1,Y319+1,0)</f>
        <v>0</v>
      </c>
      <c r="Z320" s="38" t="n">
        <f aca="false">IF(N(T320)&gt;=1,Z319+1,0)</f>
        <v>0</v>
      </c>
      <c r="AA320" s="38" t="n">
        <f aca="false">IF(N(U320)&gt;=1,AA319+1,0)</f>
        <v>0</v>
      </c>
      <c r="AB320" s="38" t="n">
        <f aca="false">IF(N(V320)&gt;=1,AB319+1,0)</f>
        <v>0</v>
      </c>
      <c r="AC320" s="38" t="str">
        <f aca="false">IF(COUNT(E320,F320,I320,J320)=0,"",ROUND((MIN(IFERROR(E320/StepGoal,0),1)*100)*0.2+(MIN(IFERROR(F320/SleepGoal,0),1)*100)*0.2+(IF(L320="",0,IF(L320="Rest Day",100,MIN(IFERROR(M320/60,0),1)*100)))*0.25+(IFERROR(INDEX('Recovery Tracker'!$E$5:$E$369,MATCH(A320,'Recovery Tracker'!$A$5:$A$369,0))+0,70))*0.15+(MIN(IFERROR(I320/WaterGoal,0),1)*100)*0.1+(IF(J320="",0,MAX(0,100-MIN(ABS(J320-CalorieGoal)/CalorieGoal,1)*100)))*0.1,0))</f>
        <v/>
      </c>
    </row>
    <row r="321" customFormat="false" ht="15" hidden="false" customHeight="false" outlineLevel="0" collapsed="false">
      <c r="A321" s="26" t="n">
        <f aca="false">A320+1</f>
        <v>46339</v>
      </c>
      <c r="B321" s="27" t="str">
        <f aca="false">TEXT(A321,"ddd")</f>
        <v>Fri</v>
      </c>
      <c r="C321" s="27" t="n">
        <f aca="false">INT((A321-StartDate)/7)+1</f>
        <v>46</v>
      </c>
      <c r="D321" s="27" t="str">
        <f aca="false">TEXT(A321,"mmm")</f>
        <v>Nov</v>
      </c>
      <c r="E321" s="28"/>
      <c r="F321" s="29"/>
      <c r="G321" s="29"/>
      <c r="H321" s="30"/>
      <c r="I321" s="29"/>
      <c r="J321" s="28"/>
      <c r="K321" s="28"/>
      <c r="L321" s="31"/>
      <c r="M321" s="28"/>
      <c r="N321" s="31"/>
      <c r="O321" s="31"/>
      <c r="P321" s="31"/>
      <c r="Q321" s="31"/>
      <c r="R321" s="31"/>
      <c r="S321" s="32"/>
      <c r="T321" s="33" t="str">
        <f aca="false">IF(E321="","",E321/StepGoal)</f>
        <v/>
      </c>
      <c r="U321" s="33" t="str">
        <f aca="false">IF(F321="","",F321/SleepGoal)</f>
        <v/>
      </c>
      <c r="V321" s="33" t="str">
        <f aca="false">IF(I321="","",I321/WaterGoal)</f>
        <v/>
      </c>
      <c r="W321" s="33" t="str">
        <f aca="false">IF(COUNT(E321,F321,I321)=0,"",(IF(N(T321)&gt;=1,1,0)+IF(N(U321)&gt;=1,1,0)+IF(N(V321)&gt;=1,1,0))/3)</f>
        <v/>
      </c>
      <c r="X321" s="27" t="n">
        <f aca="false">IF(AND(L321&lt;&gt;"",L321&lt;&gt;"Rest Day"),1,0)</f>
        <v>0</v>
      </c>
      <c r="Y321" s="34" t="n">
        <f aca="false">IF(X321=1,Y320+1,0)</f>
        <v>0</v>
      </c>
      <c r="Z321" s="34" t="n">
        <f aca="false">IF(N(T321)&gt;=1,Z320+1,0)</f>
        <v>0</v>
      </c>
      <c r="AA321" s="34" t="n">
        <f aca="false">IF(N(U321)&gt;=1,AA320+1,0)</f>
        <v>0</v>
      </c>
      <c r="AB321" s="34" t="n">
        <f aca="false">IF(N(V321)&gt;=1,AB320+1,0)</f>
        <v>0</v>
      </c>
      <c r="AC321" s="34" t="str">
        <f aca="false">IF(COUNT(E321,F321,I321,J321)=0,"",ROUND((MIN(IFERROR(E321/StepGoal,0),1)*100)*0.2+(MIN(IFERROR(F321/SleepGoal,0),1)*100)*0.2+(IF(L321="",0,IF(L321="Rest Day",100,MIN(IFERROR(M321/60,0),1)*100)))*0.25+(IFERROR(INDEX('Recovery Tracker'!$E$5:$E$369,MATCH(A321,'Recovery Tracker'!$A$5:$A$369,0))+0,70))*0.15+(MIN(IFERROR(I321/WaterGoal,0),1)*100)*0.1+(IF(J321="",0,MAX(0,100-MIN(ABS(J321-CalorieGoal)/CalorieGoal,1)*100)))*0.1,0))</f>
        <v/>
      </c>
    </row>
    <row r="322" customFormat="false" ht="15" hidden="false" customHeight="false" outlineLevel="0" collapsed="false">
      <c r="A322" s="35" t="n">
        <f aca="false">A321+1</f>
        <v>46340</v>
      </c>
      <c r="B322" s="36" t="str">
        <f aca="false">TEXT(A322,"ddd")</f>
        <v>Sat</v>
      </c>
      <c r="C322" s="36" t="n">
        <f aca="false">INT((A322-StartDate)/7)+1</f>
        <v>46</v>
      </c>
      <c r="D322" s="36" t="str">
        <f aca="false">TEXT(A322,"mmm")</f>
        <v>Nov</v>
      </c>
      <c r="E322" s="28"/>
      <c r="F322" s="29"/>
      <c r="G322" s="29"/>
      <c r="H322" s="30"/>
      <c r="I322" s="29"/>
      <c r="J322" s="28"/>
      <c r="K322" s="28"/>
      <c r="L322" s="31"/>
      <c r="M322" s="28"/>
      <c r="N322" s="31"/>
      <c r="O322" s="31"/>
      <c r="P322" s="31"/>
      <c r="Q322" s="31"/>
      <c r="R322" s="31"/>
      <c r="S322" s="32"/>
      <c r="T322" s="37" t="str">
        <f aca="false">IF(E322="","",E322/StepGoal)</f>
        <v/>
      </c>
      <c r="U322" s="37" t="str">
        <f aca="false">IF(F322="","",F322/SleepGoal)</f>
        <v/>
      </c>
      <c r="V322" s="37" t="str">
        <f aca="false">IF(I322="","",I322/WaterGoal)</f>
        <v/>
      </c>
      <c r="W322" s="37" t="str">
        <f aca="false">IF(COUNT(E322,F322,I322)=0,"",(IF(N(T322)&gt;=1,1,0)+IF(N(U322)&gt;=1,1,0)+IF(N(V322)&gt;=1,1,0))/3)</f>
        <v/>
      </c>
      <c r="X322" s="36" t="n">
        <f aca="false">IF(AND(L322&lt;&gt;"",L322&lt;&gt;"Rest Day"),1,0)</f>
        <v>0</v>
      </c>
      <c r="Y322" s="38" t="n">
        <f aca="false">IF(X322=1,Y321+1,0)</f>
        <v>0</v>
      </c>
      <c r="Z322" s="38" t="n">
        <f aca="false">IF(N(T322)&gt;=1,Z321+1,0)</f>
        <v>0</v>
      </c>
      <c r="AA322" s="38" t="n">
        <f aca="false">IF(N(U322)&gt;=1,AA321+1,0)</f>
        <v>0</v>
      </c>
      <c r="AB322" s="38" t="n">
        <f aca="false">IF(N(V322)&gt;=1,AB321+1,0)</f>
        <v>0</v>
      </c>
      <c r="AC322" s="38" t="str">
        <f aca="false">IF(COUNT(E322,F322,I322,J322)=0,"",ROUND((MIN(IFERROR(E322/StepGoal,0),1)*100)*0.2+(MIN(IFERROR(F322/SleepGoal,0),1)*100)*0.2+(IF(L322="",0,IF(L322="Rest Day",100,MIN(IFERROR(M322/60,0),1)*100)))*0.25+(IFERROR(INDEX('Recovery Tracker'!$E$5:$E$369,MATCH(A322,'Recovery Tracker'!$A$5:$A$369,0))+0,70))*0.15+(MIN(IFERROR(I322/WaterGoal,0),1)*100)*0.1+(IF(J322="",0,MAX(0,100-MIN(ABS(J322-CalorieGoal)/CalorieGoal,1)*100)))*0.1,0))</f>
        <v/>
      </c>
    </row>
    <row r="323" customFormat="false" ht="15" hidden="false" customHeight="false" outlineLevel="0" collapsed="false">
      <c r="A323" s="26" t="n">
        <f aca="false">A322+1</f>
        <v>46341</v>
      </c>
      <c r="B323" s="27" t="str">
        <f aca="false">TEXT(A323,"ddd")</f>
        <v>Sun</v>
      </c>
      <c r="C323" s="27" t="n">
        <f aca="false">INT((A323-StartDate)/7)+1</f>
        <v>46</v>
      </c>
      <c r="D323" s="27" t="str">
        <f aca="false">TEXT(A323,"mmm")</f>
        <v>Nov</v>
      </c>
      <c r="E323" s="28"/>
      <c r="F323" s="29"/>
      <c r="G323" s="29"/>
      <c r="H323" s="30"/>
      <c r="I323" s="29"/>
      <c r="J323" s="28"/>
      <c r="K323" s="28"/>
      <c r="L323" s="31"/>
      <c r="M323" s="28"/>
      <c r="N323" s="31"/>
      <c r="O323" s="31"/>
      <c r="P323" s="31"/>
      <c r="Q323" s="31"/>
      <c r="R323" s="31"/>
      <c r="S323" s="32"/>
      <c r="T323" s="33" t="str">
        <f aca="false">IF(E323="","",E323/StepGoal)</f>
        <v/>
      </c>
      <c r="U323" s="33" t="str">
        <f aca="false">IF(F323="","",F323/SleepGoal)</f>
        <v/>
      </c>
      <c r="V323" s="33" t="str">
        <f aca="false">IF(I323="","",I323/WaterGoal)</f>
        <v/>
      </c>
      <c r="W323" s="33" t="str">
        <f aca="false">IF(COUNT(E323,F323,I323)=0,"",(IF(N(T323)&gt;=1,1,0)+IF(N(U323)&gt;=1,1,0)+IF(N(V323)&gt;=1,1,0))/3)</f>
        <v/>
      </c>
      <c r="X323" s="27" t="n">
        <f aca="false">IF(AND(L323&lt;&gt;"",L323&lt;&gt;"Rest Day"),1,0)</f>
        <v>0</v>
      </c>
      <c r="Y323" s="34" t="n">
        <f aca="false">IF(X323=1,Y322+1,0)</f>
        <v>0</v>
      </c>
      <c r="Z323" s="34" t="n">
        <f aca="false">IF(N(T323)&gt;=1,Z322+1,0)</f>
        <v>0</v>
      </c>
      <c r="AA323" s="34" t="n">
        <f aca="false">IF(N(U323)&gt;=1,AA322+1,0)</f>
        <v>0</v>
      </c>
      <c r="AB323" s="34" t="n">
        <f aca="false">IF(N(V323)&gt;=1,AB322+1,0)</f>
        <v>0</v>
      </c>
      <c r="AC323" s="34" t="str">
        <f aca="false">IF(COUNT(E323,F323,I323,J323)=0,"",ROUND((MIN(IFERROR(E323/StepGoal,0),1)*100)*0.2+(MIN(IFERROR(F323/SleepGoal,0),1)*100)*0.2+(IF(L323="",0,IF(L323="Rest Day",100,MIN(IFERROR(M323/60,0),1)*100)))*0.25+(IFERROR(INDEX('Recovery Tracker'!$E$5:$E$369,MATCH(A323,'Recovery Tracker'!$A$5:$A$369,0))+0,70))*0.15+(MIN(IFERROR(I323/WaterGoal,0),1)*100)*0.1+(IF(J323="",0,MAX(0,100-MIN(ABS(J323-CalorieGoal)/CalorieGoal,1)*100)))*0.1,0))</f>
        <v/>
      </c>
    </row>
    <row r="324" customFormat="false" ht="15" hidden="false" customHeight="false" outlineLevel="0" collapsed="false">
      <c r="A324" s="35" t="n">
        <f aca="false">A323+1</f>
        <v>46342</v>
      </c>
      <c r="B324" s="36" t="str">
        <f aca="false">TEXT(A324,"ddd")</f>
        <v>Mon</v>
      </c>
      <c r="C324" s="36" t="n">
        <f aca="false">INT((A324-StartDate)/7)+1</f>
        <v>46</v>
      </c>
      <c r="D324" s="36" t="str">
        <f aca="false">TEXT(A324,"mmm")</f>
        <v>Nov</v>
      </c>
      <c r="E324" s="28"/>
      <c r="F324" s="29"/>
      <c r="G324" s="29"/>
      <c r="H324" s="30"/>
      <c r="I324" s="29"/>
      <c r="J324" s="28"/>
      <c r="K324" s="28"/>
      <c r="L324" s="31"/>
      <c r="M324" s="28"/>
      <c r="N324" s="31"/>
      <c r="O324" s="31"/>
      <c r="P324" s="31"/>
      <c r="Q324" s="31"/>
      <c r="R324" s="31"/>
      <c r="S324" s="32"/>
      <c r="T324" s="37" t="str">
        <f aca="false">IF(E324="","",E324/StepGoal)</f>
        <v/>
      </c>
      <c r="U324" s="37" t="str">
        <f aca="false">IF(F324="","",F324/SleepGoal)</f>
        <v/>
      </c>
      <c r="V324" s="37" t="str">
        <f aca="false">IF(I324="","",I324/WaterGoal)</f>
        <v/>
      </c>
      <c r="W324" s="37" t="str">
        <f aca="false">IF(COUNT(E324,F324,I324)=0,"",(IF(N(T324)&gt;=1,1,0)+IF(N(U324)&gt;=1,1,0)+IF(N(V324)&gt;=1,1,0))/3)</f>
        <v/>
      </c>
      <c r="X324" s="36" t="n">
        <f aca="false">IF(AND(L324&lt;&gt;"",L324&lt;&gt;"Rest Day"),1,0)</f>
        <v>0</v>
      </c>
      <c r="Y324" s="38" t="n">
        <f aca="false">IF(X324=1,Y323+1,0)</f>
        <v>0</v>
      </c>
      <c r="Z324" s="38" t="n">
        <f aca="false">IF(N(T324)&gt;=1,Z323+1,0)</f>
        <v>0</v>
      </c>
      <c r="AA324" s="38" t="n">
        <f aca="false">IF(N(U324)&gt;=1,AA323+1,0)</f>
        <v>0</v>
      </c>
      <c r="AB324" s="38" t="n">
        <f aca="false">IF(N(V324)&gt;=1,AB323+1,0)</f>
        <v>0</v>
      </c>
      <c r="AC324" s="38" t="str">
        <f aca="false">IF(COUNT(E324,F324,I324,J324)=0,"",ROUND((MIN(IFERROR(E324/StepGoal,0),1)*100)*0.2+(MIN(IFERROR(F324/SleepGoal,0),1)*100)*0.2+(IF(L324="",0,IF(L324="Rest Day",100,MIN(IFERROR(M324/60,0),1)*100)))*0.25+(IFERROR(INDEX('Recovery Tracker'!$E$5:$E$369,MATCH(A324,'Recovery Tracker'!$A$5:$A$369,0))+0,70))*0.15+(MIN(IFERROR(I324/WaterGoal,0),1)*100)*0.1+(IF(J324="",0,MAX(0,100-MIN(ABS(J324-CalorieGoal)/CalorieGoal,1)*100)))*0.1,0))</f>
        <v/>
      </c>
    </row>
    <row r="325" customFormat="false" ht="15" hidden="false" customHeight="false" outlineLevel="0" collapsed="false">
      <c r="A325" s="26" t="n">
        <f aca="false">A324+1</f>
        <v>46343</v>
      </c>
      <c r="B325" s="27" t="str">
        <f aca="false">TEXT(A325,"ddd")</f>
        <v>Tue</v>
      </c>
      <c r="C325" s="27" t="n">
        <f aca="false">INT((A325-StartDate)/7)+1</f>
        <v>46</v>
      </c>
      <c r="D325" s="27" t="str">
        <f aca="false">TEXT(A325,"mmm")</f>
        <v>Nov</v>
      </c>
      <c r="E325" s="28"/>
      <c r="F325" s="29"/>
      <c r="G325" s="29"/>
      <c r="H325" s="30"/>
      <c r="I325" s="29"/>
      <c r="J325" s="28"/>
      <c r="K325" s="28"/>
      <c r="L325" s="31"/>
      <c r="M325" s="28"/>
      <c r="N325" s="31"/>
      <c r="O325" s="31"/>
      <c r="P325" s="31"/>
      <c r="Q325" s="31"/>
      <c r="R325" s="31"/>
      <c r="S325" s="32"/>
      <c r="T325" s="33" t="str">
        <f aca="false">IF(E325="","",E325/StepGoal)</f>
        <v/>
      </c>
      <c r="U325" s="33" t="str">
        <f aca="false">IF(F325="","",F325/SleepGoal)</f>
        <v/>
      </c>
      <c r="V325" s="33" t="str">
        <f aca="false">IF(I325="","",I325/WaterGoal)</f>
        <v/>
      </c>
      <c r="W325" s="33" t="str">
        <f aca="false">IF(COUNT(E325,F325,I325)=0,"",(IF(N(T325)&gt;=1,1,0)+IF(N(U325)&gt;=1,1,0)+IF(N(V325)&gt;=1,1,0))/3)</f>
        <v/>
      </c>
      <c r="X325" s="27" t="n">
        <f aca="false">IF(AND(L325&lt;&gt;"",L325&lt;&gt;"Rest Day"),1,0)</f>
        <v>0</v>
      </c>
      <c r="Y325" s="34" t="n">
        <f aca="false">IF(X325=1,Y324+1,0)</f>
        <v>0</v>
      </c>
      <c r="Z325" s="34" t="n">
        <f aca="false">IF(N(T325)&gt;=1,Z324+1,0)</f>
        <v>0</v>
      </c>
      <c r="AA325" s="34" t="n">
        <f aca="false">IF(N(U325)&gt;=1,AA324+1,0)</f>
        <v>0</v>
      </c>
      <c r="AB325" s="34" t="n">
        <f aca="false">IF(N(V325)&gt;=1,AB324+1,0)</f>
        <v>0</v>
      </c>
      <c r="AC325" s="34" t="str">
        <f aca="false">IF(COUNT(E325,F325,I325,J325)=0,"",ROUND((MIN(IFERROR(E325/StepGoal,0),1)*100)*0.2+(MIN(IFERROR(F325/SleepGoal,0),1)*100)*0.2+(IF(L325="",0,IF(L325="Rest Day",100,MIN(IFERROR(M325/60,0),1)*100)))*0.25+(IFERROR(INDEX('Recovery Tracker'!$E$5:$E$369,MATCH(A325,'Recovery Tracker'!$A$5:$A$369,0))+0,70))*0.15+(MIN(IFERROR(I325/WaterGoal,0),1)*100)*0.1+(IF(J325="",0,MAX(0,100-MIN(ABS(J325-CalorieGoal)/CalorieGoal,1)*100)))*0.1,0))</f>
        <v/>
      </c>
    </row>
    <row r="326" customFormat="false" ht="15" hidden="false" customHeight="false" outlineLevel="0" collapsed="false">
      <c r="A326" s="35" t="n">
        <f aca="false">A325+1</f>
        <v>46344</v>
      </c>
      <c r="B326" s="36" t="str">
        <f aca="false">TEXT(A326,"ddd")</f>
        <v>Wed</v>
      </c>
      <c r="C326" s="36" t="n">
        <f aca="false">INT((A326-StartDate)/7)+1</f>
        <v>46</v>
      </c>
      <c r="D326" s="36" t="str">
        <f aca="false">TEXT(A326,"mmm")</f>
        <v>Nov</v>
      </c>
      <c r="E326" s="28"/>
      <c r="F326" s="29"/>
      <c r="G326" s="29"/>
      <c r="H326" s="30"/>
      <c r="I326" s="29"/>
      <c r="J326" s="28"/>
      <c r="K326" s="28"/>
      <c r="L326" s="31"/>
      <c r="M326" s="28"/>
      <c r="N326" s="31"/>
      <c r="O326" s="31"/>
      <c r="P326" s="31"/>
      <c r="Q326" s="31"/>
      <c r="R326" s="31"/>
      <c r="S326" s="32"/>
      <c r="T326" s="37" t="str">
        <f aca="false">IF(E326="","",E326/StepGoal)</f>
        <v/>
      </c>
      <c r="U326" s="37" t="str">
        <f aca="false">IF(F326="","",F326/SleepGoal)</f>
        <v/>
      </c>
      <c r="V326" s="37" t="str">
        <f aca="false">IF(I326="","",I326/WaterGoal)</f>
        <v/>
      </c>
      <c r="W326" s="37" t="str">
        <f aca="false">IF(COUNT(E326,F326,I326)=0,"",(IF(N(T326)&gt;=1,1,0)+IF(N(U326)&gt;=1,1,0)+IF(N(V326)&gt;=1,1,0))/3)</f>
        <v/>
      </c>
      <c r="X326" s="36" t="n">
        <f aca="false">IF(AND(L326&lt;&gt;"",L326&lt;&gt;"Rest Day"),1,0)</f>
        <v>0</v>
      </c>
      <c r="Y326" s="38" t="n">
        <f aca="false">IF(X326=1,Y325+1,0)</f>
        <v>0</v>
      </c>
      <c r="Z326" s="38" t="n">
        <f aca="false">IF(N(T326)&gt;=1,Z325+1,0)</f>
        <v>0</v>
      </c>
      <c r="AA326" s="38" t="n">
        <f aca="false">IF(N(U326)&gt;=1,AA325+1,0)</f>
        <v>0</v>
      </c>
      <c r="AB326" s="38" t="n">
        <f aca="false">IF(N(V326)&gt;=1,AB325+1,0)</f>
        <v>0</v>
      </c>
      <c r="AC326" s="38" t="str">
        <f aca="false">IF(COUNT(E326,F326,I326,J326)=0,"",ROUND((MIN(IFERROR(E326/StepGoal,0),1)*100)*0.2+(MIN(IFERROR(F326/SleepGoal,0),1)*100)*0.2+(IF(L326="",0,IF(L326="Rest Day",100,MIN(IFERROR(M326/60,0),1)*100)))*0.25+(IFERROR(INDEX('Recovery Tracker'!$E$5:$E$369,MATCH(A326,'Recovery Tracker'!$A$5:$A$369,0))+0,70))*0.15+(MIN(IFERROR(I326/WaterGoal,0),1)*100)*0.1+(IF(J326="",0,MAX(0,100-MIN(ABS(J326-CalorieGoal)/CalorieGoal,1)*100)))*0.1,0))</f>
        <v/>
      </c>
    </row>
    <row r="327" customFormat="false" ht="15" hidden="false" customHeight="false" outlineLevel="0" collapsed="false">
      <c r="A327" s="26" t="n">
        <f aca="false">A326+1</f>
        <v>46345</v>
      </c>
      <c r="B327" s="27" t="str">
        <f aca="false">TEXT(A327,"ddd")</f>
        <v>Thu</v>
      </c>
      <c r="C327" s="27" t="n">
        <f aca="false">INT((A327-StartDate)/7)+1</f>
        <v>47</v>
      </c>
      <c r="D327" s="27" t="str">
        <f aca="false">TEXT(A327,"mmm")</f>
        <v>Nov</v>
      </c>
      <c r="E327" s="28"/>
      <c r="F327" s="29"/>
      <c r="G327" s="29"/>
      <c r="H327" s="30"/>
      <c r="I327" s="29"/>
      <c r="J327" s="28"/>
      <c r="K327" s="28"/>
      <c r="L327" s="31"/>
      <c r="M327" s="28"/>
      <c r="N327" s="31"/>
      <c r="O327" s="31"/>
      <c r="P327" s="31"/>
      <c r="Q327" s="31"/>
      <c r="R327" s="31"/>
      <c r="S327" s="32"/>
      <c r="T327" s="33" t="str">
        <f aca="false">IF(E327="","",E327/StepGoal)</f>
        <v/>
      </c>
      <c r="U327" s="33" t="str">
        <f aca="false">IF(F327="","",F327/SleepGoal)</f>
        <v/>
      </c>
      <c r="V327" s="33" t="str">
        <f aca="false">IF(I327="","",I327/WaterGoal)</f>
        <v/>
      </c>
      <c r="W327" s="33" t="str">
        <f aca="false">IF(COUNT(E327,F327,I327)=0,"",(IF(N(T327)&gt;=1,1,0)+IF(N(U327)&gt;=1,1,0)+IF(N(V327)&gt;=1,1,0))/3)</f>
        <v/>
      </c>
      <c r="X327" s="27" t="n">
        <f aca="false">IF(AND(L327&lt;&gt;"",L327&lt;&gt;"Rest Day"),1,0)</f>
        <v>0</v>
      </c>
      <c r="Y327" s="34" t="n">
        <f aca="false">IF(X327=1,Y326+1,0)</f>
        <v>0</v>
      </c>
      <c r="Z327" s="34" t="n">
        <f aca="false">IF(N(T327)&gt;=1,Z326+1,0)</f>
        <v>0</v>
      </c>
      <c r="AA327" s="34" t="n">
        <f aca="false">IF(N(U327)&gt;=1,AA326+1,0)</f>
        <v>0</v>
      </c>
      <c r="AB327" s="34" t="n">
        <f aca="false">IF(N(V327)&gt;=1,AB326+1,0)</f>
        <v>0</v>
      </c>
      <c r="AC327" s="34" t="str">
        <f aca="false">IF(COUNT(E327,F327,I327,J327)=0,"",ROUND((MIN(IFERROR(E327/StepGoal,0),1)*100)*0.2+(MIN(IFERROR(F327/SleepGoal,0),1)*100)*0.2+(IF(L327="",0,IF(L327="Rest Day",100,MIN(IFERROR(M327/60,0),1)*100)))*0.25+(IFERROR(INDEX('Recovery Tracker'!$E$5:$E$369,MATCH(A327,'Recovery Tracker'!$A$5:$A$369,0))+0,70))*0.15+(MIN(IFERROR(I327/WaterGoal,0),1)*100)*0.1+(IF(J327="",0,MAX(0,100-MIN(ABS(J327-CalorieGoal)/CalorieGoal,1)*100)))*0.1,0))</f>
        <v/>
      </c>
    </row>
    <row r="328" customFormat="false" ht="15" hidden="false" customHeight="false" outlineLevel="0" collapsed="false">
      <c r="A328" s="35" t="n">
        <f aca="false">A327+1</f>
        <v>46346</v>
      </c>
      <c r="B328" s="36" t="str">
        <f aca="false">TEXT(A328,"ddd")</f>
        <v>Fri</v>
      </c>
      <c r="C328" s="36" t="n">
        <f aca="false">INT((A328-StartDate)/7)+1</f>
        <v>47</v>
      </c>
      <c r="D328" s="36" t="str">
        <f aca="false">TEXT(A328,"mmm")</f>
        <v>Nov</v>
      </c>
      <c r="E328" s="28"/>
      <c r="F328" s="29"/>
      <c r="G328" s="29"/>
      <c r="H328" s="30"/>
      <c r="I328" s="29"/>
      <c r="J328" s="28"/>
      <c r="K328" s="28"/>
      <c r="L328" s="31"/>
      <c r="M328" s="28"/>
      <c r="N328" s="31"/>
      <c r="O328" s="31"/>
      <c r="P328" s="31"/>
      <c r="Q328" s="31"/>
      <c r="R328" s="31"/>
      <c r="S328" s="32"/>
      <c r="T328" s="37" t="str">
        <f aca="false">IF(E328="","",E328/StepGoal)</f>
        <v/>
      </c>
      <c r="U328" s="37" t="str">
        <f aca="false">IF(F328="","",F328/SleepGoal)</f>
        <v/>
      </c>
      <c r="V328" s="37" t="str">
        <f aca="false">IF(I328="","",I328/WaterGoal)</f>
        <v/>
      </c>
      <c r="W328" s="37" t="str">
        <f aca="false">IF(COUNT(E328,F328,I328)=0,"",(IF(N(T328)&gt;=1,1,0)+IF(N(U328)&gt;=1,1,0)+IF(N(V328)&gt;=1,1,0))/3)</f>
        <v/>
      </c>
      <c r="X328" s="36" t="n">
        <f aca="false">IF(AND(L328&lt;&gt;"",L328&lt;&gt;"Rest Day"),1,0)</f>
        <v>0</v>
      </c>
      <c r="Y328" s="38" t="n">
        <f aca="false">IF(X328=1,Y327+1,0)</f>
        <v>0</v>
      </c>
      <c r="Z328" s="38" t="n">
        <f aca="false">IF(N(T328)&gt;=1,Z327+1,0)</f>
        <v>0</v>
      </c>
      <c r="AA328" s="38" t="n">
        <f aca="false">IF(N(U328)&gt;=1,AA327+1,0)</f>
        <v>0</v>
      </c>
      <c r="AB328" s="38" t="n">
        <f aca="false">IF(N(V328)&gt;=1,AB327+1,0)</f>
        <v>0</v>
      </c>
      <c r="AC328" s="38" t="str">
        <f aca="false">IF(COUNT(E328,F328,I328,J328)=0,"",ROUND((MIN(IFERROR(E328/StepGoal,0),1)*100)*0.2+(MIN(IFERROR(F328/SleepGoal,0),1)*100)*0.2+(IF(L328="",0,IF(L328="Rest Day",100,MIN(IFERROR(M328/60,0),1)*100)))*0.25+(IFERROR(INDEX('Recovery Tracker'!$E$5:$E$369,MATCH(A328,'Recovery Tracker'!$A$5:$A$369,0))+0,70))*0.15+(MIN(IFERROR(I328/WaterGoal,0),1)*100)*0.1+(IF(J328="",0,MAX(0,100-MIN(ABS(J328-CalorieGoal)/CalorieGoal,1)*100)))*0.1,0))</f>
        <v/>
      </c>
    </row>
    <row r="329" customFormat="false" ht="15" hidden="false" customHeight="false" outlineLevel="0" collapsed="false">
      <c r="A329" s="26" t="n">
        <f aca="false">A328+1</f>
        <v>46347</v>
      </c>
      <c r="B329" s="27" t="str">
        <f aca="false">TEXT(A329,"ddd")</f>
        <v>Sat</v>
      </c>
      <c r="C329" s="27" t="n">
        <f aca="false">INT((A329-StartDate)/7)+1</f>
        <v>47</v>
      </c>
      <c r="D329" s="27" t="str">
        <f aca="false">TEXT(A329,"mmm")</f>
        <v>Nov</v>
      </c>
      <c r="E329" s="28"/>
      <c r="F329" s="29"/>
      <c r="G329" s="29"/>
      <c r="H329" s="30"/>
      <c r="I329" s="29"/>
      <c r="J329" s="28"/>
      <c r="K329" s="28"/>
      <c r="L329" s="31"/>
      <c r="M329" s="28"/>
      <c r="N329" s="31"/>
      <c r="O329" s="31"/>
      <c r="P329" s="31"/>
      <c r="Q329" s="31"/>
      <c r="R329" s="31"/>
      <c r="S329" s="32"/>
      <c r="T329" s="33" t="str">
        <f aca="false">IF(E329="","",E329/StepGoal)</f>
        <v/>
      </c>
      <c r="U329" s="33" t="str">
        <f aca="false">IF(F329="","",F329/SleepGoal)</f>
        <v/>
      </c>
      <c r="V329" s="33" t="str">
        <f aca="false">IF(I329="","",I329/WaterGoal)</f>
        <v/>
      </c>
      <c r="W329" s="33" t="str">
        <f aca="false">IF(COUNT(E329,F329,I329)=0,"",(IF(N(T329)&gt;=1,1,0)+IF(N(U329)&gt;=1,1,0)+IF(N(V329)&gt;=1,1,0))/3)</f>
        <v/>
      </c>
      <c r="X329" s="27" t="n">
        <f aca="false">IF(AND(L329&lt;&gt;"",L329&lt;&gt;"Rest Day"),1,0)</f>
        <v>0</v>
      </c>
      <c r="Y329" s="34" t="n">
        <f aca="false">IF(X329=1,Y328+1,0)</f>
        <v>0</v>
      </c>
      <c r="Z329" s="34" t="n">
        <f aca="false">IF(N(T329)&gt;=1,Z328+1,0)</f>
        <v>0</v>
      </c>
      <c r="AA329" s="34" t="n">
        <f aca="false">IF(N(U329)&gt;=1,AA328+1,0)</f>
        <v>0</v>
      </c>
      <c r="AB329" s="34" t="n">
        <f aca="false">IF(N(V329)&gt;=1,AB328+1,0)</f>
        <v>0</v>
      </c>
      <c r="AC329" s="34" t="str">
        <f aca="false">IF(COUNT(E329,F329,I329,J329)=0,"",ROUND((MIN(IFERROR(E329/StepGoal,0),1)*100)*0.2+(MIN(IFERROR(F329/SleepGoal,0),1)*100)*0.2+(IF(L329="",0,IF(L329="Rest Day",100,MIN(IFERROR(M329/60,0),1)*100)))*0.25+(IFERROR(INDEX('Recovery Tracker'!$E$5:$E$369,MATCH(A329,'Recovery Tracker'!$A$5:$A$369,0))+0,70))*0.15+(MIN(IFERROR(I329/WaterGoal,0),1)*100)*0.1+(IF(J329="",0,MAX(0,100-MIN(ABS(J329-CalorieGoal)/CalorieGoal,1)*100)))*0.1,0))</f>
        <v/>
      </c>
    </row>
    <row r="330" customFormat="false" ht="15" hidden="false" customHeight="false" outlineLevel="0" collapsed="false">
      <c r="A330" s="35" t="n">
        <f aca="false">A329+1</f>
        <v>46348</v>
      </c>
      <c r="B330" s="36" t="str">
        <f aca="false">TEXT(A330,"ddd")</f>
        <v>Sun</v>
      </c>
      <c r="C330" s="36" t="n">
        <f aca="false">INT((A330-StartDate)/7)+1</f>
        <v>47</v>
      </c>
      <c r="D330" s="36" t="str">
        <f aca="false">TEXT(A330,"mmm")</f>
        <v>Nov</v>
      </c>
      <c r="E330" s="28"/>
      <c r="F330" s="29"/>
      <c r="G330" s="29"/>
      <c r="H330" s="30"/>
      <c r="I330" s="29"/>
      <c r="J330" s="28"/>
      <c r="K330" s="28"/>
      <c r="L330" s="31"/>
      <c r="M330" s="28"/>
      <c r="N330" s="31"/>
      <c r="O330" s="31"/>
      <c r="P330" s="31"/>
      <c r="Q330" s="31"/>
      <c r="R330" s="31"/>
      <c r="S330" s="32"/>
      <c r="T330" s="37" t="str">
        <f aca="false">IF(E330="","",E330/StepGoal)</f>
        <v/>
      </c>
      <c r="U330" s="37" t="str">
        <f aca="false">IF(F330="","",F330/SleepGoal)</f>
        <v/>
      </c>
      <c r="V330" s="37" t="str">
        <f aca="false">IF(I330="","",I330/WaterGoal)</f>
        <v/>
      </c>
      <c r="W330" s="37" t="str">
        <f aca="false">IF(COUNT(E330,F330,I330)=0,"",(IF(N(T330)&gt;=1,1,0)+IF(N(U330)&gt;=1,1,0)+IF(N(V330)&gt;=1,1,0))/3)</f>
        <v/>
      </c>
      <c r="X330" s="36" t="n">
        <f aca="false">IF(AND(L330&lt;&gt;"",L330&lt;&gt;"Rest Day"),1,0)</f>
        <v>0</v>
      </c>
      <c r="Y330" s="38" t="n">
        <f aca="false">IF(X330=1,Y329+1,0)</f>
        <v>0</v>
      </c>
      <c r="Z330" s="38" t="n">
        <f aca="false">IF(N(T330)&gt;=1,Z329+1,0)</f>
        <v>0</v>
      </c>
      <c r="AA330" s="38" t="n">
        <f aca="false">IF(N(U330)&gt;=1,AA329+1,0)</f>
        <v>0</v>
      </c>
      <c r="AB330" s="38" t="n">
        <f aca="false">IF(N(V330)&gt;=1,AB329+1,0)</f>
        <v>0</v>
      </c>
      <c r="AC330" s="38" t="str">
        <f aca="false">IF(COUNT(E330,F330,I330,J330)=0,"",ROUND((MIN(IFERROR(E330/StepGoal,0),1)*100)*0.2+(MIN(IFERROR(F330/SleepGoal,0),1)*100)*0.2+(IF(L330="",0,IF(L330="Rest Day",100,MIN(IFERROR(M330/60,0),1)*100)))*0.25+(IFERROR(INDEX('Recovery Tracker'!$E$5:$E$369,MATCH(A330,'Recovery Tracker'!$A$5:$A$369,0))+0,70))*0.15+(MIN(IFERROR(I330/WaterGoal,0),1)*100)*0.1+(IF(J330="",0,MAX(0,100-MIN(ABS(J330-CalorieGoal)/CalorieGoal,1)*100)))*0.1,0))</f>
        <v/>
      </c>
    </row>
    <row r="331" customFormat="false" ht="15" hidden="false" customHeight="false" outlineLevel="0" collapsed="false">
      <c r="A331" s="26" t="n">
        <f aca="false">A330+1</f>
        <v>46349</v>
      </c>
      <c r="B331" s="27" t="str">
        <f aca="false">TEXT(A331,"ddd")</f>
        <v>Mon</v>
      </c>
      <c r="C331" s="27" t="n">
        <f aca="false">INT((A331-StartDate)/7)+1</f>
        <v>47</v>
      </c>
      <c r="D331" s="27" t="str">
        <f aca="false">TEXT(A331,"mmm")</f>
        <v>Nov</v>
      </c>
      <c r="E331" s="28"/>
      <c r="F331" s="29"/>
      <c r="G331" s="29"/>
      <c r="H331" s="30"/>
      <c r="I331" s="29"/>
      <c r="J331" s="28"/>
      <c r="K331" s="28"/>
      <c r="L331" s="31"/>
      <c r="M331" s="28"/>
      <c r="N331" s="31"/>
      <c r="O331" s="31"/>
      <c r="P331" s="31"/>
      <c r="Q331" s="31"/>
      <c r="R331" s="31"/>
      <c r="S331" s="32"/>
      <c r="T331" s="33" t="str">
        <f aca="false">IF(E331="","",E331/StepGoal)</f>
        <v/>
      </c>
      <c r="U331" s="33" t="str">
        <f aca="false">IF(F331="","",F331/SleepGoal)</f>
        <v/>
      </c>
      <c r="V331" s="33" t="str">
        <f aca="false">IF(I331="","",I331/WaterGoal)</f>
        <v/>
      </c>
      <c r="W331" s="33" t="str">
        <f aca="false">IF(COUNT(E331,F331,I331)=0,"",(IF(N(T331)&gt;=1,1,0)+IF(N(U331)&gt;=1,1,0)+IF(N(V331)&gt;=1,1,0))/3)</f>
        <v/>
      </c>
      <c r="X331" s="27" t="n">
        <f aca="false">IF(AND(L331&lt;&gt;"",L331&lt;&gt;"Rest Day"),1,0)</f>
        <v>0</v>
      </c>
      <c r="Y331" s="34" t="n">
        <f aca="false">IF(X331=1,Y330+1,0)</f>
        <v>0</v>
      </c>
      <c r="Z331" s="34" t="n">
        <f aca="false">IF(N(T331)&gt;=1,Z330+1,0)</f>
        <v>0</v>
      </c>
      <c r="AA331" s="34" t="n">
        <f aca="false">IF(N(U331)&gt;=1,AA330+1,0)</f>
        <v>0</v>
      </c>
      <c r="AB331" s="34" t="n">
        <f aca="false">IF(N(V331)&gt;=1,AB330+1,0)</f>
        <v>0</v>
      </c>
      <c r="AC331" s="34" t="str">
        <f aca="false">IF(COUNT(E331,F331,I331,J331)=0,"",ROUND((MIN(IFERROR(E331/StepGoal,0),1)*100)*0.2+(MIN(IFERROR(F331/SleepGoal,0),1)*100)*0.2+(IF(L331="",0,IF(L331="Rest Day",100,MIN(IFERROR(M331/60,0),1)*100)))*0.25+(IFERROR(INDEX('Recovery Tracker'!$E$5:$E$369,MATCH(A331,'Recovery Tracker'!$A$5:$A$369,0))+0,70))*0.15+(MIN(IFERROR(I331/WaterGoal,0),1)*100)*0.1+(IF(J331="",0,MAX(0,100-MIN(ABS(J331-CalorieGoal)/CalorieGoal,1)*100)))*0.1,0))</f>
        <v/>
      </c>
    </row>
    <row r="332" customFormat="false" ht="15" hidden="false" customHeight="false" outlineLevel="0" collapsed="false">
      <c r="A332" s="35" t="n">
        <f aca="false">A331+1</f>
        <v>46350</v>
      </c>
      <c r="B332" s="36" t="str">
        <f aca="false">TEXT(A332,"ddd")</f>
        <v>Tue</v>
      </c>
      <c r="C332" s="36" t="n">
        <f aca="false">INT((A332-StartDate)/7)+1</f>
        <v>47</v>
      </c>
      <c r="D332" s="36" t="str">
        <f aca="false">TEXT(A332,"mmm")</f>
        <v>Nov</v>
      </c>
      <c r="E332" s="28"/>
      <c r="F332" s="29"/>
      <c r="G332" s="29"/>
      <c r="H332" s="30"/>
      <c r="I332" s="29"/>
      <c r="J332" s="28"/>
      <c r="K332" s="28"/>
      <c r="L332" s="31"/>
      <c r="M332" s="28"/>
      <c r="N332" s="31"/>
      <c r="O332" s="31"/>
      <c r="P332" s="31"/>
      <c r="Q332" s="31"/>
      <c r="R332" s="31"/>
      <c r="S332" s="32"/>
      <c r="T332" s="37" t="str">
        <f aca="false">IF(E332="","",E332/StepGoal)</f>
        <v/>
      </c>
      <c r="U332" s="37" t="str">
        <f aca="false">IF(F332="","",F332/SleepGoal)</f>
        <v/>
      </c>
      <c r="V332" s="37" t="str">
        <f aca="false">IF(I332="","",I332/WaterGoal)</f>
        <v/>
      </c>
      <c r="W332" s="37" t="str">
        <f aca="false">IF(COUNT(E332,F332,I332)=0,"",(IF(N(T332)&gt;=1,1,0)+IF(N(U332)&gt;=1,1,0)+IF(N(V332)&gt;=1,1,0))/3)</f>
        <v/>
      </c>
      <c r="X332" s="36" t="n">
        <f aca="false">IF(AND(L332&lt;&gt;"",L332&lt;&gt;"Rest Day"),1,0)</f>
        <v>0</v>
      </c>
      <c r="Y332" s="38" t="n">
        <f aca="false">IF(X332=1,Y331+1,0)</f>
        <v>0</v>
      </c>
      <c r="Z332" s="38" t="n">
        <f aca="false">IF(N(T332)&gt;=1,Z331+1,0)</f>
        <v>0</v>
      </c>
      <c r="AA332" s="38" t="n">
        <f aca="false">IF(N(U332)&gt;=1,AA331+1,0)</f>
        <v>0</v>
      </c>
      <c r="AB332" s="38" t="n">
        <f aca="false">IF(N(V332)&gt;=1,AB331+1,0)</f>
        <v>0</v>
      </c>
      <c r="AC332" s="38" t="str">
        <f aca="false">IF(COUNT(E332,F332,I332,J332)=0,"",ROUND((MIN(IFERROR(E332/StepGoal,0),1)*100)*0.2+(MIN(IFERROR(F332/SleepGoal,0),1)*100)*0.2+(IF(L332="",0,IF(L332="Rest Day",100,MIN(IFERROR(M332/60,0),1)*100)))*0.25+(IFERROR(INDEX('Recovery Tracker'!$E$5:$E$369,MATCH(A332,'Recovery Tracker'!$A$5:$A$369,0))+0,70))*0.15+(MIN(IFERROR(I332/WaterGoal,0),1)*100)*0.1+(IF(J332="",0,MAX(0,100-MIN(ABS(J332-CalorieGoal)/CalorieGoal,1)*100)))*0.1,0))</f>
        <v/>
      </c>
    </row>
    <row r="333" customFormat="false" ht="15" hidden="false" customHeight="false" outlineLevel="0" collapsed="false">
      <c r="A333" s="26" t="n">
        <f aca="false">A332+1</f>
        <v>46351</v>
      </c>
      <c r="B333" s="27" t="str">
        <f aca="false">TEXT(A333,"ddd")</f>
        <v>Wed</v>
      </c>
      <c r="C333" s="27" t="n">
        <f aca="false">INT((A333-StartDate)/7)+1</f>
        <v>47</v>
      </c>
      <c r="D333" s="27" t="str">
        <f aca="false">TEXT(A333,"mmm")</f>
        <v>Nov</v>
      </c>
      <c r="E333" s="28"/>
      <c r="F333" s="29"/>
      <c r="G333" s="29"/>
      <c r="H333" s="30"/>
      <c r="I333" s="29"/>
      <c r="J333" s="28"/>
      <c r="K333" s="28"/>
      <c r="L333" s="31"/>
      <c r="M333" s="28"/>
      <c r="N333" s="31"/>
      <c r="O333" s="31"/>
      <c r="P333" s="31"/>
      <c r="Q333" s="31"/>
      <c r="R333" s="31"/>
      <c r="S333" s="32"/>
      <c r="T333" s="33" t="str">
        <f aca="false">IF(E333="","",E333/StepGoal)</f>
        <v/>
      </c>
      <c r="U333" s="33" t="str">
        <f aca="false">IF(F333="","",F333/SleepGoal)</f>
        <v/>
      </c>
      <c r="V333" s="33" t="str">
        <f aca="false">IF(I333="","",I333/WaterGoal)</f>
        <v/>
      </c>
      <c r="W333" s="33" t="str">
        <f aca="false">IF(COUNT(E333,F333,I333)=0,"",(IF(N(T333)&gt;=1,1,0)+IF(N(U333)&gt;=1,1,0)+IF(N(V333)&gt;=1,1,0))/3)</f>
        <v/>
      </c>
      <c r="X333" s="27" t="n">
        <f aca="false">IF(AND(L333&lt;&gt;"",L333&lt;&gt;"Rest Day"),1,0)</f>
        <v>0</v>
      </c>
      <c r="Y333" s="34" t="n">
        <f aca="false">IF(X333=1,Y332+1,0)</f>
        <v>0</v>
      </c>
      <c r="Z333" s="34" t="n">
        <f aca="false">IF(N(T333)&gt;=1,Z332+1,0)</f>
        <v>0</v>
      </c>
      <c r="AA333" s="34" t="n">
        <f aca="false">IF(N(U333)&gt;=1,AA332+1,0)</f>
        <v>0</v>
      </c>
      <c r="AB333" s="34" t="n">
        <f aca="false">IF(N(V333)&gt;=1,AB332+1,0)</f>
        <v>0</v>
      </c>
      <c r="AC333" s="34" t="str">
        <f aca="false">IF(COUNT(E333,F333,I333,J333)=0,"",ROUND((MIN(IFERROR(E333/StepGoal,0),1)*100)*0.2+(MIN(IFERROR(F333/SleepGoal,0),1)*100)*0.2+(IF(L333="",0,IF(L333="Rest Day",100,MIN(IFERROR(M333/60,0),1)*100)))*0.25+(IFERROR(INDEX('Recovery Tracker'!$E$5:$E$369,MATCH(A333,'Recovery Tracker'!$A$5:$A$369,0))+0,70))*0.15+(MIN(IFERROR(I333/WaterGoal,0),1)*100)*0.1+(IF(J333="",0,MAX(0,100-MIN(ABS(J333-CalorieGoal)/CalorieGoal,1)*100)))*0.1,0))</f>
        <v/>
      </c>
    </row>
    <row r="334" customFormat="false" ht="15" hidden="false" customHeight="false" outlineLevel="0" collapsed="false">
      <c r="A334" s="35" t="n">
        <f aca="false">A333+1</f>
        <v>46352</v>
      </c>
      <c r="B334" s="36" t="str">
        <f aca="false">TEXT(A334,"ddd")</f>
        <v>Thu</v>
      </c>
      <c r="C334" s="36" t="n">
        <f aca="false">INT((A334-StartDate)/7)+1</f>
        <v>48</v>
      </c>
      <c r="D334" s="36" t="str">
        <f aca="false">TEXT(A334,"mmm")</f>
        <v>Nov</v>
      </c>
      <c r="E334" s="28"/>
      <c r="F334" s="29"/>
      <c r="G334" s="29"/>
      <c r="H334" s="30"/>
      <c r="I334" s="29"/>
      <c r="J334" s="28"/>
      <c r="K334" s="28"/>
      <c r="L334" s="31"/>
      <c r="M334" s="28"/>
      <c r="N334" s="31"/>
      <c r="O334" s="31"/>
      <c r="P334" s="31"/>
      <c r="Q334" s="31"/>
      <c r="R334" s="31"/>
      <c r="S334" s="32"/>
      <c r="T334" s="37" t="str">
        <f aca="false">IF(E334="","",E334/StepGoal)</f>
        <v/>
      </c>
      <c r="U334" s="37" t="str">
        <f aca="false">IF(F334="","",F334/SleepGoal)</f>
        <v/>
      </c>
      <c r="V334" s="37" t="str">
        <f aca="false">IF(I334="","",I334/WaterGoal)</f>
        <v/>
      </c>
      <c r="W334" s="37" t="str">
        <f aca="false">IF(COUNT(E334,F334,I334)=0,"",(IF(N(T334)&gt;=1,1,0)+IF(N(U334)&gt;=1,1,0)+IF(N(V334)&gt;=1,1,0))/3)</f>
        <v/>
      </c>
      <c r="X334" s="36" t="n">
        <f aca="false">IF(AND(L334&lt;&gt;"",L334&lt;&gt;"Rest Day"),1,0)</f>
        <v>0</v>
      </c>
      <c r="Y334" s="38" t="n">
        <f aca="false">IF(X334=1,Y333+1,0)</f>
        <v>0</v>
      </c>
      <c r="Z334" s="38" t="n">
        <f aca="false">IF(N(T334)&gt;=1,Z333+1,0)</f>
        <v>0</v>
      </c>
      <c r="AA334" s="38" t="n">
        <f aca="false">IF(N(U334)&gt;=1,AA333+1,0)</f>
        <v>0</v>
      </c>
      <c r="AB334" s="38" t="n">
        <f aca="false">IF(N(V334)&gt;=1,AB333+1,0)</f>
        <v>0</v>
      </c>
      <c r="AC334" s="38" t="str">
        <f aca="false">IF(COUNT(E334,F334,I334,J334)=0,"",ROUND((MIN(IFERROR(E334/StepGoal,0),1)*100)*0.2+(MIN(IFERROR(F334/SleepGoal,0),1)*100)*0.2+(IF(L334="",0,IF(L334="Rest Day",100,MIN(IFERROR(M334/60,0),1)*100)))*0.25+(IFERROR(INDEX('Recovery Tracker'!$E$5:$E$369,MATCH(A334,'Recovery Tracker'!$A$5:$A$369,0))+0,70))*0.15+(MIN(IFERROR(I334/WaterGoal,0),1)*100)*0.1+(IF(J334="",0,MAX(0,100-MIN(ABS(J334-CalorieGoal)/CalorieGoal,1)*100)))*0.1,0))</f>
        <v/>
      </c>
    </row>
    <row r="335" customFormat="false" ht="15" hidden="false" customHeight="false" outlineLevel="0" collapsed="false">
      <c r="A335" s="26" t="n">
        <f aca="false">A334+1</f>
        <v>46353</v>
      </c>
      <c r="B335" s="27" t="str">
        <f aca="false">TEXT(A335,"ddd")</f>
        <v>Fri</v>
      </c>
      <c r="C335" s="27" t="n">
        <f aca="false">INT((A335-StartDate)/7)+1</f>
        <v>48</v>
      </c>
      <c r="D335" s="27" t="str">
        <f aca="false">TEXT(A335,"mmm")</f>
        <v>Nov</v>
      </c>
      <c r="E335" s="28"/>
      <c r="F335" s="29"/>
      <c r="G335" s="29"/>
      <c r="H335" s="30"/>
      <c r="I335" s="29"/>
      <c r="J335" s="28"/>
      <c r="K335" s="28"/>
      <c r="L335" s="31"/>
      <c r="M335" s="28"/>
      <c r="N335" s="31"/>
      <c r="O335" s="31"/>
      <c r="P335" s="31"/>
      <c r="Q335" s="31"/>
      <c r="R335" s="31"/>
      <c r="S335" s="32"/>
      <c r="T335" s="33" t="str">
        <f aca="false">IF(E335="","",E335/StepGoal)</f>
        <v/>
      </c>
      <c r="U335" s="33" t="str">
        <f aca="false">IF(F335="","",F335/SleepGoal)</f>
        <v/>
      </c>
      <c r="V335" s="33" t="str">
        <f aca="false">IF(I335="","",I335/WaterGoal)</f>
        <v/>
      </c>
      <c r="W335" s="33" t="str">
        <f aca="false">IF(COUNT(E335,F335,I335)=0,"",(IF(N(T335)&gt;=1,1,0)+IF(N(U335)&gt;=1,1,0)+IF(N(V335)&gt;=1,1,0))/3)</f>
        <v/>
      </c>
      <c r="X335" s="27" t="n">
        <f aca="false">IF(AND(L335&lt;&gt;"",L335&lt;&gt;"Rest Day"),1,0)</f>
        <v>0</v>
      </c>
      <c r="Y335" s="34" t="n">
        <f aca="false">IF(X335=1,Y334+1,0)</f>
        <v>0</v>
      </c>
      <c r="Z335" s="34" t="n">
        <f aca="false">IF(N(T335)&gt;=1,Z334+1,0)</f>
        <v>0</v>
      </c>
      <c r="AA335" s="34" t="n">
        <f aca="false">IF(N(U335)&gt;=1,AA334+1,0)</f>
        <v>0</v>
      </c>
      <c r="AB335" s="34" t="n">
        <f aca="false">IF(N(V335)&gt;=1,AB334+1,0)</f>
        <v>0</v>
      </c>
      <c r="AC335" s="34" t="str">
        <f aca="false">IF(COUNT(E335,F335,I335,J335)=0,"",ROUND((MIN(IFERROR(E335/StepGoal,0),1)*100)*0.2+(MIN(IFERROR(F335/SleepGoal,0),1)*100)*0.2+(IF(L335="",0,IF(L335="Rest Day",100,MIN(IFERROR(M335/60,0),1)*100)))*0.25+(IFERROR(INDEX('Recovery Tracker'!$E$5:$E$369,MATCH(A335,'Recovery Tracker'!$A$5:$A$369,0))+0,70))*0.15+(MIN(IFERROR(I335/WaterGoal,0),1)*100)*0.1+(IF(J335="",0,MAX(0,100-MIN(ABS(J335-CalorieGoal)/CalorieGoal,1)*100)))*0.1,0))</f>
        <v/>
      </c>
    </row>
    <row r="336" customFormat="false" ht="15" hidden="false" customHeight="false" outlineLevel="0" collapsed="false">
      <c r="A336" s="35" t="n">
        <f aca="false">A335+1</f>
        <v>46354</v>
      </c>
      <c r="B336" s="36" t="str">
        <f aca="false">TEXT(A336,"ddd")</f>
        <v>Sat</v>
      </c>
      <c r="C336" s="36" t="n">
        <f aca="false">INT((A336-StartDate)/7)+1</f>
        <v>48</v>
      </c>
      <c r="D336" s="36" t="str">
        <f aca="false">TEXT(A336,"mmm")</f>
        <v>Nov</v>
      </c>
      <c r="E336" s="28"/>
      <c r="F336" s="29"/>
      <c r="G336" s="29"/>
      <c r="H336" s="30"/>
      <c r="I336" s="29"/>
      <c r="J336" s="28"/>
      <c r="K336" s="28"/>
      <c r="L336" s="31"/>
      <c r="M336" s="28"/>
      <c r="N336" s="31"/>
      <c r="O336" s="31"/>
      <c r="P336" s="31"/>
      <c r="Q336" s="31"/>
      <c r="R336" s="31"/>
      <c r="S336" s="32"/>
      <c r="T336" s="37" t="str">
        <f aca="false">IF(E336="","",E336/StepGoal)</f>
        <v/>
      </c>
      <c r="U336" s="37" t="str">
        <f aca="false">IF(F336="","",F336/SleepGoal)</f>
        <v/>
      </c>
      <c r="V336" s="37" t="str">
        <f aca="false">IF(I336="","",I336/WaterGoal)</f>
        <v/>
      </c>
      <c r="W336" s="37" t="str">
        <f aca="false">IF(COUNT(E336,F336,I336)=0,"",(IF(N(T336)&gt;=1,1,0)+IF(N(U336)&gt;=1,1,0)+IF(N(V336)&gt;=1,1,0))/3)</f>
        <v/>
      </c>
      <c r="X336" s="36" t="n">
        <f aca="false">IF(AND(L336&lt;&gt;"",L336&lt;&gt;"Rest Day"),1,0)</f>
        <v>0</v>
      </c>
      <c r="Y336" s="38" t="n">
        <f aca="false">IF(X336=1,Y335+1,0)</f>
        <v>0</v>
      </c>
      <c r="Z336" s="38" t="n">
        <f aca="false">IF(N(T336)&gt;=1,Z335+1,0)</f>
        <v>0</v>
      </c>
      <c r="AA336" s="38" t="n">
        <f aca="false">IF(N(U336)&gt;=1,AA335+1,0)</f>
        <v>0</v>
      </c>
      <c r="AB336" s="38" t="n">
        <f aca="false">IF(N(V336)&gt;=1,AB335+1,0)</f>
        <v>0</v>
      </c>
      <c r="AC336" s="38" t="str">
        <f aca="false">IF(COUNT(E336,F336,I336,J336)=0,"",ROUND((MIN(IFERROR(E336/StepGoal,0),1)*100)*0.2+(MIN(IFERROR(F336/SleepGoal,0),1)*100)*0.2+(IF(L336="",0,IF(L336="Rest Day",100,MIN(IFERROR(M336/60,0),1)*100)))*0.25+(IFERROR(INDEX('Recovery Tracker'!$E$5:$E$369,MATCH(A336,'Recovery Tracker'!$A$5:$A$369,0))+0,70))*0.15+(MIN(IFERROR(I336/WaterGoal,0),1)*100)*0.1+(IF(J336="",0,MAX(0,100-MIN(ABS(J336-CalorieGoal)/CalorieGoal,1)*100)))*0.1,0))</f>
        <v/>
      </c>
    </row>
    <row r="337" customFormat="false" ht="15" hidden="false" customHeight="false" outlineLevel="0" collapsed="false">
      <c r="A337" s="26" t="n">
        <f aca="false">A336+1</f>
        <v>46355</v>
      </c>
      <c r="B337" s="27" t="str">
        <f aca="false">TEXT(A337,"ddd")</f>
        <v>Sun</v>
      </c>
      <c r="C337" s="27" t="n">
        <f aca="false">INT((A337-StartDate)/7)+1</f>
        <v>48</v>
      </c>
      <c r="D337" s="27" t="str">
        <f aca="false">TEXT(A337,"mmm")</f>
        <v>Nov</v>
      </c>
      <c r="E337" s="28"/>
      <c r="F337" s="29"/>
      <c r="G337" s="29"/>
      <c r="H337" s="30"/>
      <c r="I337" s="29"/>
      <c r="J337" s="28"/>
      <c r="K337" s="28"/>
      <c r="L337" s="31"/>
      <c r="M337" s="28"/>
      <c r="N337" s="31"/>
      <c r="O337" s="31"/>
      <c r="P337" s="31"/>
      <c r="Q337" s="31"/>
      <c r="R337" s="31"/>
      <c r="S337" s="32"/>
      <c r="T337" s="33" t="str">
        <f aca="false">IF(E337="","",E337/StepGoal)</f>
        <v/>
      </c>
      <c r="U337" s="33" t="str">
        <f aca="false">IF(F337="","",F337/SleepGoal)</f>
        <v/>
      </c>
      <c r="V337" s="33" t="str">
        <f aca="false">IF(I337="","",I337/WaterGoal)</f>
        <v/>
      </c>
      <c r="W337" s="33" t="str">
        <f aca="false">IF(COUNT(E337,F337,I337)=0,"",(IF(N(T337)&gt;=1,1,0)+IF(N(U337)&gt;=1,1,0)+IF(N(V337)&gt;=1,1,0))/3)</f>
        <v/>
      </c>
      <c r="X337" s="27" t="n">
        <f aca="false">IF(AND(L337&lt;&gt;"",L337&lt;&gt;"Rest Day"),1,0)</f>
        <v>0</v>
      </c>
      <c r="Y337" s="34" t="n">
        <f aca="false">IF(X337=1,Y336+1,0)</f>
        <v>0</v>
      </c>
      <c r="Z337" s="34" t="n">
        <f aca="false">IF(N(T337)&gt;=1,Z336+1,0)</f>
        <v>0</v>
      </c>
      <c r="AA337" s="34" t="n">
        <f aca="false">IF(N(U337)&gt;=1,AA336+1,0)</f>
        <v>0</v>
      </c>
      <c r="AB337" s="34" t="n">
        <f aca="false">IF(N(V337)&gt;=1,AB336+1,0)</f>
        <v>0</v>
      </c>
      <c r="AC337" s="34" t="str">
        <f aca="false">IF(COUNT(E337,F337,I337,J337)=0,"",ROUND((MIN(IFERROR(E337/StepGoal,0),1)*100)*0.2+(MIN(IFERROR(F337/SleepGoal,0),1)*100)*0.2+(IF(L337="",0,IF(L337="Rest Day",100,MIN(IFERROR(M337/60,0),1)*100)))*0.25+(IFERROR(INDEX('Recovery Tracker'!$E$5:$E$369,MATCH(A337,'Recovery Tracker'!$A$5:$A$369,0))+0,70))*0.15+(MIN(IFERROR(I337/WaterGoal,0),1)*100)*0.1+(IF(J337="",0,MAX(0,100-MIN(ABS(J337-CalorieGoal)/CalorieGoal,1)*100)))*0.1,0))</f>
        <v/>
      </c>
    </row>
    <row r="338" customFormat="false" ht="15" hidden="false" customHeight="false" outlineLevel="0" collapsed="false">
      <c r="A338" s="35" t="n">
        <f aca="false">A337+1</f>
        <v>46356</v>
      </c>
      <c r="B338" s="36" t="str">
        <f aca="false">TEXT(A338,"ddd")</f>
        <v>Mon</v>
      </c>
      <c r="C338" s="36" t="n">
        <f aca="false">INT((A338-StartDate)/7)+1</f>
        <v>48</v>
      </c>
      <c r="D338" s="36" t="str">
        <f aca="false">TEXT(A338,"mmm")</f>
        <v>Nov</v>
      </c>
      <c r="E338" s="28"/>
      <c r="F338" s="29"/>
      <c r="G338" s="29"/>
      <c r="H338" s="30"/>
      <c r="I338" s="29"/>
      <c r="J338" s="28"/>
      <c r="K338" s="28"/>
      <c r="L338" s="31"/>
      <c r="M338" s="28"/>
      <c r="N338" s="31"/>
      <c r="O338" s="31"/>
      <c r="P338" s="31"/>
      <c r="Q338" s="31"/>
      <c r="R338" s="31"/>
      <c r="S338" s="32"/>
      <c r="T338" s="37" t="str">
        <f aca="false">IF(E338="","",E338/StepGoal)</f>
        <v/>
      </c>
      <c r="U338" s="37" t="str">
        <f aca="false">IF(F338="","",F338/SleepGoal)</f>
        <v/>
      </c>
      <c r="V338" s="37" t="str">
        <f aca="false">IF(I338="","",I338/WaterGoal)</f>
        <v/>
      </c>
      <c r="W338" s="37" t="str">
        <f aca="false">IF(COUNT(E338,F338,I338)=0,"",(IF(N(T338)&gt;=1,1,0)+IF(N(U338)&gt;=1,1,0)+IF(N(V338)&gt;=1,1,0))/3)</f>
        <v/>
      </c>
      <c r="X338" s="36" t="n">
        <f aca="false">IF(AND(L338&lt;&gt;"",L338&lt;&gt;"Rest Day"),1,0)</f>
        <v>0</v>
      </c>
      <c r="Y338" s="38" t="n">
        <f aca="false">IF(X338=1,Y337+1,0)</f>
        <v>0</v>
      </c>
      <c r="Z338" s="38" t="n">
        <f aca="false">IF(N(T338)&gt;=1,Z337+1,0)</f>
        <v>0</v>
      </c>
      <c r="AA338" s="38" t="n">
        <f aca="false">IF(N(U338)&gt;=1,AA337+1,0)</f>
        <v>0</v>
      </c>
      <c r="AB338" s="38" t="n">
        <f aca="false">IF(N(V338)&gt;=1,AB337+1,0)</f>
        <v>0</v>
      </c>
      <c r="AC338" s="38" t="str">
        <f aca="false">IF(COUNT(E338,F338,I338,J338)=0,"",ROUND((MIN(IFERROR(E338/StepGoal,0),1)*100)*0.2+(MIN(IFERROR(F338/SleepGoal,0),1)*100)*0.2+(IF(L338="",0,IF(L338="Rest Day",100,MIN(IFERROR(M338/60,0),1)*100)))*0.25+(IFERROR(INDEX('Recovery Tracker'!$E$5:$E$369,MATCH(A338,'Recovery Tracker'!$A$5:$A$369,0))+0,70))*0.15+(MIN(IFERROR(I338/WaterGoal,0),1)*100)*0.1+(IF(J338="",0,MAX(0,100-MIN(ABS(J338-CalorieGoal)/CalorieGoal,1)*100)))*0.1,0))</f>
        <v/>
      </c>
    </row>
    <row r="339" customFormat="false" ht="15" hidden="false" customHeight="false" outlineLevel="0" collapsed="false">
      <c r="A339" s="26" t="n">
        <f aca="false">A338+1</f>
        <v>46357</v>
      </c>
      <c r="B339" s="27" t="str">
        <f aca="false">TEXT(A339,"ddd")</f>
        <v>Tue</v>
      </c>
      <c r="C339" s="27" t="n">
        <f aca="false">INT((A339-StartDate)/7)+1</f>
        <v>48</v>
      </c>
      <c r="D339" s="27" t="str">
        <f aca="false">TEXT(A339,"mmm")</f>
        <v>Dec</v>
      </c>
      <c r="E339" s="28"/>
      <c r="F339" s="29"/>
      <c r="G339" s="29"/>
      <c r="H339" s="30"/>
      <c r="I339" s="29"/>
      <c r="J339" s="28"/>
      <c r="K339" s="28"/>
      <c r="L339" s="31"/>
      <c r="M339" s="28"/>
      <c r="N339" s="31"/>
      <c r="O339" s="31"/>
      <c r="P339" s="31"/>
      <c r="Q339" s="31"/>
      <c r="R339" s="31"/>
      <c r="S339" s="32"/>
      <c r="T339" s="33" t="str">
        <f aca="false">IF(E339="","",E339/StepGoal)</f>
        <v/>
      </c>
      <c r="U339" s="33" t="str">
        <f aca="false">IF(F339="","",F339/SleepGoal)</f>
        <v/>
      </c>
      <c r="V339" s="33" t="str">
        <f aca="false">IF(I339="","",I339/WaterGoal)</f>
        <v/>
      </c>
      <c r="W339" s="33" t="str">
        <f aca="false">IF(COUNT(E339,F339,I339)=0,"",(IF(N(T339)&gt;=1,1,0)+IF(N(U339)&gt;=1,1,0)+IF(N(V339)&gt;=1,1,0))/3)</f>
        <v/>
      </c>
      <c r="X339" s="27" t="n">
        <f aca="false">IF(AND(L339&lt;&gt;"",L339&lt;&gt;"Rest Day"),1,0)</f>
        <v>0</v>
      </c>
      <c r="Y339" s="34" t="n">
        <f aca="false">IF(X339=1,Y338+1,0)</f>
        <v>0</v>
      </c>
      <c r="Z339" s="34" t="n">
        <f aca="false">IF(N(T339)&gt;=1,Z338+1,0)</f>
        <v>0</v>
      </c>
      <c r="AA339" s="34" t="n">
        <f aca="false">IF(N(U339)&gt;=1,AA338+1,0)</f>
        <v>0</v>
      </c>
      <c r="AB339" s="34" t="n">
        <f aca="false">IF(N(V339)&gt;=1,AB338+1,0)</f>
        <v>0</v>
      </c>
      <c r="AC339" s="34" t="str">
        <f aca="false">IF(COUNT(E339,F339,I339,J339)=0,"",ROUND((MIN(IFERROR(E339/StepGoal,0),1)*100)*0.2+(MIN(IFERROR(F339/SleepGoal,0),1)*100)*0.2+(IF(L339="",0,IF(L339="Rest Day",100,MIN(IFERROR(M339/60,0),1)*100)))*0.25+(IFERROR(INDEX('Recovery Tracker'!$E$5:$E$369,MATCH(A339,'Recovery Tracker'!$A$5:$A$369,0))+0,70))*0.15+(MIN(IFERROR(I339/WaterGoal,0),1)*100)*0.1+(IF(J339="",0,MAX(0,100-MIN(ABS(J339-CalorieGoal)/CalorieGoal,1)*100)))*0.1,0))</f>
        <v/>
      </c>
    </row>
    <row r="340" customFormat="false" ht="15" hidden="false" customHeight="false" outlineLevel="0" collapsed="false">
      <c r="A340" s="35" t="n">
        <f aca="false">A339+1</f>
        <v>46358</v>
      </c>
      <c r="B340" s="36" t="str">
        <f aca="false">TEXT(A340,"ddd")</f>
        <v>Wed</v>
      </c>
      <c r="C340" s="36" t="n">
        <f aca="false">INT((A340-StartDate)/7)+1</f>
        <v>48</v>
      </c>
      <c r="D340" s="36" t="str">
        <f aca="false">TEXT(A340,"mmm")</f>
        <v>Dec</v>
      </c>
      <c r="E340" s="28"/>
      <c r="F340" s="29"/>
      <c r="G340" s="29"/>
      <c r="H340" s="30"/>
      <c r="I340" s="29"/>
      <c r="J340" s="28"/>
      <c r="K340" s="28"/>
      <c r="L340" s="31"/>
      <c r="M340" s="28"/>
      <c r="N340" s="31"/>
      <c r="O340" s="31"/>
      <c r="P340" s="31"/>
      <c r="Q340" s="31"/>
      <c r="R340" s="31"/>
      <c r="S340" s="32"/>
      <c r="T340" s="37" t="str">
        <f aca="false">IF(E340="","",E340/StepGoal)</f>
        <v/>
      </c>
      <c r="U340" s="37" t="str">
        <f aca="false">IF(F340="","",F340/SleepGoal)</f>
        <v/>
      </c>
      <c r="V340" s="37" t="str">
        <f aca="false">IF(I340="","",I340/WaterGoal)</f>
        <v/>
      </c>
      <c r="W340" s="37" t="str">
        <f aca="false">IF(COUNT(E340,F340,I340)=0,"",(IF(N(T340)&gt;=1,1,0)+IF(N(U340)&gt;=1,1,0)+IF(N(V340)&gt;=1,1,0))/3)</f>
        <v/>
      </c>
      <c r="X340" s="36" t="n">
        <f aca="false">IF(AND(L340&lt;&gt;"",L340&lt;&gt;"Rest Day"),1,0)</f>
        <v>0</v>
      </c>
      <c r="Y340" s="38" t="n">
        <f aca="false">IF(X340=1,Y339+1,0)</f>
        <v>0</v>
      </c>
      <c r="Z340" s="38" t="n">
        <f aca="false">IF(N(T340)&gt;=1,Z339+1,0)</f>
        <v>0</v>
      </c>
      <c r="AA340" s="38" t="n">
        <f aca="false">IF(N(U340)&gt;=1,AA339+1,0)</f>
        <v>0</v>
      </c>
      <c r="AB340" s="38" t="n">
        <f aca="false">IF(N(V340)&gt;=1,AB339+1,0)</f>
        <v>0</v>
      </c>
      <c r="AC340" s="38" t="str">
        <f aca="false">IF(COUNT(E340,F340,I340,J340)=0,"",ROUND((MIN(IFERROR(E340/StepGoal,0),1)*100)*0.2+(MIN(IFERROR(F340/SleepGoal,0),1)*100)*0.2+(IF(L340="",0,IF(L340="Rest Day",100,MIN(IFERROR(M340/60,0),1)*100)))*0.25+(IFERROR(INDEX('Recovery Tracker'!$E$5:$E$369,MATCH(A340,'Recovery Tracker'!$A$5:$A$369,0))+0,70))*0.15+(MIN(IFERROR(I340/WaterGoal,0),1)*100)*0.1+(IF(J340="",0,MAX(0,100-MIN(ABS(J340-CalorieGoal)/CalorieGoal,1)*100)))*0.1,0))</f>
        <v/>
      </c>
    </row>
    <row r="341" customFormat="false" ht="15" hidden="false" customHeight="false" outlineLevel="0" collapsed="false">
      <c r="A341" s="26" t="n">
        <f aca="false">A340+1</f>
        <v>46359</v>
      </c>
      <c r="B341" s="27" t="str">
        <f aca="false">TEXT(A341,"ddd")</f>
        <v>Thu</v>
      </c>
      <c r="C341" s="27" t="n">
        <f aca="false">INT((A341-StartDate)/7)+1</f>
        <v>49</v>
      </c>
      <c r="D341" s="27" t="str">
        <f aca="false">TEXT(A341,"mmm")</f>
        <v>Dec</v>
      </c>
      <c r="E341" s="28"/>
      <c r="F341" s="29"/>
      <c r="G341" s="29"/>
      <c r="H341" s="30"/>
      <c r="I341" s="29"/>
      <c r="J341" s="28"/>
      <c r="K341" s="28"/>
      <c r="L341" s="31"/>
      <c r="M341" s="28"/>
      <c r="N341" s="31"/>
      <c r="O341" s="31"/>
      <c r="P341" s="31"/>
      <c r="Q341" s="31"/>
      <c r="R341" s="31"/>
      <c r="S341" s="32"/>
      <c r="T341" s="33" t="str">
        <f aca="false">IF(E341="","",E341/StepGoal)</f>
        <v/>
      </c>
      <c r="U341" s="33" t="str">
        <f aca="false">IF(F341="","",F341/SleepGoal)</f>
        <v/>
      </c>
      <c r="V341" s="33" t="str">
        <f aca="false">IF(I341="","",I341/WaterGoal)</f>
        <v/>
      </c>
      <c r="W341" s="33" t="str">
        <f aca="false">IF(COUNT(E341,F341,I341)=0,"",(IF(N(T341)&gt;=1,1,0)+IF(N(U341)&gt;=1,1,0)+IF(N(V341)&gt;=1,1,0))/3)</f>
        <v/>
      </c>
      <c r="X341" s="27" t="n">
        <f aca="false">IF(AND(L341&lt;&gt;"",L341&lt;&gt;"Rest Day"),1,0)</f>
        <v>0</v>
      </c>
      <c r="Y341" s="34" t="n">
        <f aca="false">IF(X341=1,Y340+1,0)</f>
        <v>0</v>
      </c>
      <c r="Z341" s="34" t="n">
        <f aca="false">IF(N(T341)&gt;=1,Z340+1,0)</f>
        <v>0</v>
      </c>
      <c r="AA341" s="34" t="n">
        <f aca="false">IF(N(U341)&gt;=1,AA340+1,0)</f>
        <v>0</v>
      </c>
      <c r="AB341" s="34" t="n">
        <f aca="false">IF(N(V341)&gt;=1,AB340+1,0)</f>
        <v>0</v>
      </c>
      <c r="AC341" s="34" t="str">
        <f aca="false">IF(COUNT(E341,F341,I341,J341)=0,"",ROUND((MIN(IFERROR(E341/StepGoal,0),1)*100)*0.2+(MIN(IFERROR(F341/SleepGoal,0),1)*100)*0.2+(IF(L341="",0,IF(L341="Rest Day",100,MIN(IFERROR(M341/60,0),1)*100)))*0.25+(IFERROR(INDEX('Recovery Tracker'!$E$5:$E$369,MATCH(A341,'Recovery Tracker'!$A$5:$A$369,0))+0,70))*0.15+(MIN(IFERROR(I341/WaterGoal,0),1)*100)*0.1+(IF(J341="",0,MAX(0,100-MIN(ABS(J341-CalorieGoal)/CalorieGoal,1)*100)))*0.1,0))</f>
        <v/>
      </c>
    </row>
    <row r="342" customFormat="false" ht="15" hidden="false" customHeight="false" outlineLevel="0" collapsed="false">
      <c r="A342" s="35" t="n">
        <f aca="false">A341+1</f>
        <v>46360</v>
      </c>
      <c r="B342" s="36" t="str">
        <f aca="false">TEXT(A342,"ddd")</f>
        <v>Fri</v>
      </c>
      <c r="C342" s="36" t="n">
        <f aca="false">INT((A342-StartDate)/7)+1</f>
        <v>49</v>
      </c>
      <c r="D342" s="36" t="str">
        <f aca="false">TEXT(A342,"mmm")</f>
        <v>Dec</v>
      </c>
      <c r="E342" s="28"/>
      <c r="F342" s="29"/>
      <c r="G342" s="29"/>
      <c r="H342" s="30"/>
      <c r="I342" s="29"/>
      <c r="J342" s="28"/>
      <c r="K342" s="28"/>
      <c r="L342" s="31"/>
      <c r="M342" s="28"/>
      <c r="N342" s="31"/>
      <c r="O342" s="31"/>
      <c r="P342" s="31"/>
      <c r="Q342" s="31"/>
      <c r="R342" s="31"/>
      <c r="S342" s="32"/>
      <c r="T342" s="37" t="str">
        <f aca="false">IF(E342="","",E342/StepGoal)</f>
        <v/>
      </c>
      <c r="U342" s="37" t="str">
        <f aca="false">IF(F342="","",F342/SleepGoal)</f>
        <v/>
      </c>
      <c r="V342" s="37" t="str">
        <f aca="false">IF(I342="","",I342/WaterGoal)</f>
        <v/>
      </c>
      <c r="W342" s="37" t="str">
        <f aca="false">IF(COUNT(E342,F342,I342)=0,"",(IF(N(T342)&gt;=1,1,0)+IF(N(U342)&gt;=1,1,0)+IF(N(V342)&gt;=1,1,0))/3)</f>
        <v/>
      </c>
      <c r="X342" s="36" t="n">
        <f aca="false">IF(AND(L342&lt;&gt;"",L342&lt;&gt;"Rest Day"),1,0)</f>
        <v>0</v>
      </c>
      <c r="Y342" s="38" t="n">
        <f aca="false">IF(X342=1,Y341+1,0)</f>
        <v>0</v>
      </c>
      <c r="Z342" s="38" t="n">
        <f aca="false">IF(N(T342)&gt;=1,Z341+1,0)</f>
        <v>0</v>
      </c>
      <c r="AA342" s="38" t="n">
        <f aca="false">IF(N(U342)&gt;=1,AA341+1,0)</f>
        <v>0</v>
      </c>
      <c r="AB342" s="38" t="n">
        <f aca="false">IF(N(V342)&gt;=1,AB341+1,0)</f>
        <v>0</v>
      </c>
      <c r="AC342" s="38" t="str">
        <f aca="false">IF(COUNT(E342,F342,I342,J342)=0,"",ROUND((MIN(IFERROR(E342/StepGoal,0),1)*100)*0.2+(MIN(IFERROR(F342/SleepGoal,0),1)*100)*0.2+(IF(L342="",0,IF(L342="Rest Day",100,MIN(IFERROR(M342/60,0),1)*100)))*0.25+(IFERROR(INDEX('Recovery Tracker'!$E$5:$E$369,MATCH(A342,'Recovery Tracker'!$A$5:$A$369,0))+0,70))*0.15+(MIN(IFERROR(I342/WaterGoal,0),1)*100)*0.1+(IF(J342="",0,MAX(0,100-MIN(ABS(J342-CalorieGoal)/CalorieGoal,1)*100)))*0.1,0))</f>
        <v/>
      </c>
    </row>
    <row r="343" customFormat="false" ht="15" hidden="false" customHeight="false" outlineLevel="0" collapsed="false">
      <c r="A343" s="26" t="n">
        <f aca="false">A342+1</f>
        <v>46361</v>
      </c>
      <c r="B343" s="27" t="str">
        <f aca="false">TEXT(A343,"ddd")</f>
        <v>Sat</v>
      </c>
      <c r="C343" s="27" t="n">
        <f aca="false">INT((A343-StartDate)/7)+1</f>
        <v>49</v>
      </c>
      <c r="D343" s="27" t="str">
        <f aca="false">TEXT(A343,"mmm")</f>
        <v>Dec</v>
      </c>
      <c r="E343" s="28"/>
      <c r="F343" s="29"/>
      <c r="G343" s="29"/>
      <c r="H343" s="30"/>
      <c r="I343" s="29"/>
      <c r="J343" s="28"/>
      <c r="K343" s="28"/>
      <c r="L343" s="31"/>
      <c r="M343" s="28"/>
      <c r="N343" s="31"/>
      <c r="O343" s="31"/>
      <c r="P343" s="31"/>
      <c r="Q343" s="31"/>
      <c r="R343" s="31"/>
      <c r="S343" s="32"/>
      <c r="T343" s="33" t="str">
        <f aca="false">IF(E343="","",E343/StepGoal)</f>
        <v/>
      </c>
      <c r="U343" s="33" t="str">
        <f aca="false">IF(F343="","",F343/SleepGoal)</f>
        <v/>
      </c>
      <c r="V343" s="33" t="str">
        <f aca="false">IF(I343="","",I343/WaterGoal)</f>
        <v/>
      </c>
      <c r="W343" s="33" t="str">
        <f aca="false">IF(COUNT(E343,F343,I343)=0,"",(IF(N(T343)&gt;=1,1,0)+IF(N(U343)&gt;=1,1,0)+IF(N(V343)&gt;=1,1,0))/3)</f>
        <v/>
      </c>
      <c r="X343" s="27" t="n">
        <f aca="false">IF(AND(L343&lt;&gt;"",L343&lt;&gt;"Rest Day"),1,0)</f>
        <v>0</v>
      </c>
      <c r="Y343" s="34" t="n">
        <f aca="false">IF(X343=1,Y342+1,0)</f>
        <v>0</v>
      </c>
      <c r="Z343" s="34" t="n">
        <f aca="false">IF(N(T343)&gt;=1,Z342+1,0)</f>
        <v>0</v>
      </c>
      <c r="AA343" s="34" t="n">
        <f aca="false">IF(N(U343)&gt;=1,AA342+1,0)</f>
        <v>0</v>
      </c>
      <c r="AB343" s="34" t="n">
        <f aca="false">IF(N(V343)&gt;=1,AB342+1,0)</f>
        <v>0</v>
      </c>
      <c r="AC343" s="34" t="str">
        <f aca="false">IF(COUNT(E343,F343,I343,J343)=0,"",ROUND((MIN(IFERROR(E343/StepGoal,0),1)*100)*0.2+(MIN(IFERROR(F343/SleepGoal,0),1)*100)*0.2+(IF(L343="",0,IF(L343="Rest Day",100,MIN(IFERROR(M343/60,0),1)*100)))*0.25+(IFERROR(INDEX('Recovery Tracker'!$E$5:$E$369,MATCH(A343,'Recovery Tracker'!$A$5:$A$369,0))+0,70))*0.15+(MIN(IFERROR(I343/WaterGoal,0),1)*100)*0.1+(IF(J343="",0,MAX(0,100-MIN(ABS(J343-CalorieGoal)/CalorieGoal,1)*100)))*0.1,0))</f>
        <v/>
      </c>
    </row>
    <row r="344" customFormat="false" ht="15" hidden="false" customHeight="false" outlineLevel="0" collapsed="false">
      <c r="A344" s="35" t="n">
        <f aca="false">A343+1</f>
        <v>46362</v>
      </c>
      <c r="B344" s="36" t="str">
        <f aca="false">TEXT(A344,"ddd")</f>
        <v>Sun</v>
      </c>
      <c r="C344" s="36" t="n">
        <f aca="false">INT((A344-StartDate)/7)+1</f>
        <v>49</v>
      </c>
      <c r="D344" s="36" t="str">
        <f aca="false">TEXT(A344,"mmm")</f>
        <v>Dec</v>
      </c>
      <c r="E344" s="28"/>
      <c r="F344" s="29"/>
      <c r="G344" s="29"/>
      <c r="H344" s="30"/>
      <c r="I344" s="29"/>
      <c r="J344" s="28"/>
      <c r="K344" s="28"/>
      <c r="L344" s="31"/>
      <c r="M344" s="28"/>
      <c r="N344" s="31"/>
      <c r="O344" s="31"/>
      <c r="P344" s="31"/>
      <c r="Q344" s="31"/>
      <c r="R344" s="31"/>
      <c r="S344" s="32"/>
      <c r="T344" s="37" t="str">
        <f aca="false">IF(E344="","",E344/StepGoal)</f>
        <v/>
      </c>
      <c r="U344" s="37" t="str">
        <f aca="false">IF(F344="","",F344/SleepGoal)</f>
        <v/>
      </c>
      <c r="V344" s="37" t="str">
        <f aca="false">IF(I344="","",I344/WaterGoal)</f>
        <v/>
      </c>
      <c r="W344" s="37" t="str">
        <f aca="false">IF(COUNT(E344,F344,I344)=0,"",(IF(N(T344)&gt;=1,1,0)+IF(N(U344)&gt;=1,1,0)+IF(N(V344)&gt;=1,1,0))/3)</f>
        <v/>
      </c>
      <c r="X344" s="36" t="n">
        <f aca="false">IF(AND(L344&lt;&gt;"",L344&lt;&gt;"Rest Day"),1,0)</f>
        <v>0</v>
      </c>
      <c r="Y344" s="38" t="n">
        <f aca="false">IF(X344=1,Y343+1,0)</f>
        <v>0</v>
      </c>
      <c r="Z344" s="38" t="n">
        <f aca="false">IF(N(T344)&gt;=1,Z343+1,0)</f>
        <v>0</v>
      </c>
      <c r="AA344" s="38" t="n">
        <f aca="false">IF(N(U344)&gt;=1,AA343+1,0)</f>
        <v>0</v>
      </c>
      <c r="AB344" s="38" t="n">
        <f aca="false">IF(N(V344)&gt;=1,AB343+1,0)</f>
        <v>0</v>
      </c>
      <c r="AC344" s="38" t="str">
        <f aca="false">IF(COUNT(E344,F344,I344,J344)=0,"",ROUND((MIN(IFERROR(E344/StepGoal,0),1)*100)*0.2+(MIN(IFERROR(F344/SleepGoal,0),1)*100)*0.2+(IF(L344="",0,IF(L344="Rest Day",100,MIN(IFERROR(M344/60,0),1)*100)))*0.25+(IFERROR(INDEX('Recovery Tracker'!$E$5:$E$369,MATCH(A344,'Recovery Tracker'!$A$5:$A$369,0))+0,70))*0.15+(MIN(IFERROR(I344/WaterGoal,0),1)*100)*0.1+(IF(J344="",0,MAX(0,100-MIN(ABS(J344-CalorieGoal)/CalorieGoal,1)*100)))*0.1,0))</f>
        <v/>
      </c>
    </row>
    <row r="345" customFormat="false" ht="15" hidden="false" customHeight="false" outlineLevel="0" collapsed="false">
      <c r="A345" s="26" t="n">
        <f aca="false">A344+1</f>
        <v>46363</v>
      </c>
      <c r="B345" s="27" t="str">
        <f aca="false">TEXT(A345,"ddd")</f>
        <v>Mon</v>
      </c>
      <c r="C345" s="27" t="n">
        <f aca="false">INT((A345-StartDate)/7)+1</f>
        <v>49</v>
      </c>
      <c r="D345" s="27" t="str">
        <f aca="false">TEXT(A345,"mmm")</f>
        <v>Dec</v>
      </c>
      <c r="E345" s="28"/>
      <c r="F345" s="29"/>
      <c r="G345" s="29"/>
      <c r="H345" s="30"/>
      <c r="I345" s="29"/>
      <c r="J345" s="28"/>
      <c r="K345" s="28"/>
      <c r="L345" s="31"/>
      <c r="M345" s="28"/>
      <c r="N345" s="31"/>
      <c r="O345" s="31"/>
      <c r="P345" s="31"/>
      <c r="Q345" s="31"/>
      <c r="R345" s="31"/>
      <c r="S345" s="32"/>
      <c r="T345" s="33" t="str">
        <f aca="false">IF(E345="","",E345/StepGoal)</f>
        <v/>
      </c>
      <c r="U345" s="33" t="str">
        <f aca="false">IF(F345="","",F345/SleepGoal)</f>
        <v/>
      </c>
      <c r="V345" s="33" t="str">
        <f aca="false">IF(I345="","",I345/WaterGoal)</f>
        <v/>
      </c>
      <c r="W345" s="33" t="str">
        <f aca="false">IF(COUNT(E345,F345,I345)=0,"",(IF(N(T345)&gt;=1,1,0)+IF(N(U345)&gt;=1,1,0)+IF(N(V345)&gt;=1,1,0))/3)</f>
        <v/>
      </c>
      <c r="X345" s="27" t="n">
        <f aca="false">IF(AND(L345&lt;&gt;"",L345&lt;&gt;"Rest Day"),1,0)</f>
        <v>0</v>
      </c>
      <c r="Y345" s="34" t="n">
        <f aca="false">IF(X345=1,Y344+1,0)</f>
        <v>0</v>
      </c>
      <c r="Z345" s="34" t="n">
        <f aca="false">IF(N(T345)&gt;=1,Z344+1,0)</f>
        <v>0</v>
      </c>
      <c r="AA345" s="34" t="n">
        <f aca="false">IF(N(U345)&gt;=1,AA344+1,0)</f>
        <v>0</v>
      </c>
      <c r="AB345" s="34" t="n">
        <f aca="false">IF(N(V345)&gt;=1,AB344+1,0)</f>
        <v>0</v>
      </c>
      <c r="AC345" s="34" t="str">
        <f aca="false">IF(COUNT(E345,F345,I345,J345)=0,"",ROUND((MIN(IFERROR(E345/StepGoal,0),1)*100)*0.2+(MIN(IFERROR(F345/SleepGoal,0),1)*100)*0.2+(IF(L345="",0,IF(L345="Rest Day",100,MIN(IFERROR(M345/60,0),1)*100)))*0.25+(IFERROR(INDEX('Recovery Tracker'!$E$5:$E$369,MATCH(A345,'Recovery Tracker'!$A$5:$A$369,0))+0,70))*0.15+(MIN(IFERROR(I345/WaterGoal,0),1)*100)*0.1+(IF(J345="",0,MAX(0,100-MIN(ABS(J345-CalorieGoal)/CalorieGoal,1)*100)))*0.1,0))</f>
        <v/>
      </c>
    </row>
    <row r="346" customFormat="false" ht="15" hidden="false" customHeight="false" outlineLevel="0" collapsed="false">
      <c r="A346" s="35" t="n">
        <f aca="false">A345+1</f>
        <v>46364</v>
      </c>
      <c r="B346" s="36" t="str">
        <f aca="false">TEXT(A346,"ddd")</f>
        <v>Tue</v>
      </c>
      <c r="C346" s="36" t="n">
        <f aca="false">INT((A346-StartDate)/7)+1</f>
        <v>49</v>
      </c>
      <c r="D346" s="36" t="str">
        <f aca="false">TEXT(A346,"mmm")</f>
        <v>Dec</v>
      </c>
      <c r="E346" s="28"/>
      <c r="F346" s="29"/>
      <c r="G346" s="29"/>
      <c r="H346" s="30"/>
      <c r="I346" s="29"/>
      <c r="J346" s="28"/>
      <c r="K346" s="28"/>
      <c r="L346" s="31"/>
      <c r="M346" s="28"/>
      <c r="N346" s="31"/>
      <c r="O346" s="31"/>
      <c r="P346" s="31"/>
      <c r="Q346" s="31"/>
      <c r="R346" s="31"/>
      <c r="S346" s="32"/>
      <c r="T346" s="37" t="str">
        <f aca="false">IF(E346="","",E346/StepGoal)</f>
        <v/>
      </c>
      <c r="U346" s="37" t="str">
        <f aca="false">IF(F346="","",F346/SleepGoal)</f>
        <v/>
      </c>
      <c r="V346" s="37" t="str">
        <f aca="false">IF(I346="","",I346/WaterGoal)</f>
        <v/>
      </c>
      <c r="W346" s="37" t="str">
        <f aca="false">IF(COUNT(E346,F346,I346)=0,"",(IF(N(T346)&gt;=1,1,0)+IF(N(U346)&gt;=1,1,0)+IF(N(V346)&gt;=1,1,0))/3)</f>
        <v/>
      </c>
      <c r="X346" s="36" t="n">
        <f aca="false">IF(AND(L346&lt;&gt;"",L346&lt;&gt;"Rest Day"),1,0)</f>
        <v>0</v>
      </c>
      <c r="Y346" s="38" t="n">
        <f aca="false">IF(X346=1,Y345+1,0)</f>
        <v>0</v>
      </c>
      <c r="Z346" s="38" t="n">
        <f aca="false">IF(N(T346)&gt;=1,Z345+1,0)</f>
        <v>0</v>
      </c>
      <c r="AA346" s="38" t="n">
        <f aca="false">IF(N(U346)&gt;=1,AA345+1,0)</f>
        <v>0</v>
      </c>
      <c r="AB346" s="38" t="n">
        <f aca="false">IF(N(V346)&gt;=1,AB345+1,0)</f>
        <v>0</v>
      </c>
      <c r="AC346" s="38" t="str">
        <f aca="false">IF(COUNT(E346,F346,I346,J346)=0,"",ROUND((MIN(IFERROR(E346/StepGoal,0),1)*100)*0.2+(MIN(IFERROR(F346/SleepGoal,0),1)*100)*0.2+(IF(L346="",0,IF(L346="Rest Day",100,MIN(IFERROR(M346/60,0),1)*100)))*0.25+(IFERROR(INDEX('Recovery Tracker'!$E$5:$E$369,MATCH(A346,'Recovery Tracker'!$A$5:$A$369,0))+0,70))*0.15+(MIN(IFERROR(I346/WaterGoal,0),1)*100)*0.1+(IF(J346="",0,MAX(0,100-MIN(ABS(J346-CalorieGoal)/CalorieGoal,1)*100)))*0.1,0))</f>
        <v/>
      </c>
    </row>
    <row r="347" customFormat="false" ht="15" hidden="false" customHeight="false" outlineLevel="0" collapsed="false">
      <c r="A347" s="26" t="n">
        <f aca="false">A346+1</f>
        <v>46365</v>
      </c>
      <c r="B347" s="27" t="str">
        <f aca="false">TEXT(A347,"ddd")</f>
        <v>Wed</v>
      </c>
      <c r="C347" s="27" t="n">
        <f aca="false">INT((A347-StartDate)/7)+1</f>
        <v>49</v>
      </c>
      <c r="D347" s="27" t="str">
        <f aca="false">TEXT(A347,"mmm")</f>
        <v>Dec</v>
      </c>
      <c r="E347" s="28"/>
      <c r="F347" s="29"/>
      <c r="G347" s="29"/>
      <c r="H347" s="30"/>
      <c r="I347" s="29"/>
      <c r="J347" s="28"/>
      <c r="K347" s="28"/>
      <c r="L347" s="31"/>
      <c r="M347" s="28"/>
      <c r="N347" s="31"/>
      <c r="O347" s="31"/>
      <c r="P347" s="31"/>
      <c r="Q347" s="31"/>
      <c r="R347" s="31"/>
      <c r="S347" s="32"/>
      <c r="T347" s="33" t="str">
        <f aca="false">IF(E347="","",E347/StepGoal)</f>
        <v/>
      </c>
      <c r="U347" s="33" t="str">
        <f aca="false">IF(F347="","",F347/SleepGoal)</f>
        <v/>
      </c>
      <c r="V347" s="33" t="str">
        <f aca="false">IF(I347="","",I347/WaterGoal)</f>
        <v/>
      </c>
      <c r="W347" s="33" t="str">
        <f aca="false">IF(COUNT(E347,F347,I347)=0,"",(IF(N(T347)&gt;=1,1,0)+IF(N(U347)&gt;=1,1,0)+IF(N(V347)&gt;=1,1,0))/3)</f>
        <v/>
      </c>
      <c r="X347" s="27" t="n">
        <f aca="false">IF(AND(L347&lt;&gt;"",L347&lt;&gt;"Rest Day"),1,0)</f>
        <v>0</v>
      </c>
      <c r="Y347" s="34" t="n">
        <f aca="false">IF(X347=1,Y346+1,0)</f>
        <v>0</v>
      </c>
      <c r="Z347" s="34" t="n">
        <f aca="false">IF(N(T347)&gt;=1,Z346+1,0)</f>
        <v>0</v>
      </c>
      <c r="AA347" s="34" t="n">
        <f aca="false">IF(N(U347)&gt;=1,AA346+1,0)</f>
        <v>0</v>
      </c>
      <c r="AB347" s="34" t="n">
        <f aca="false">IF(N(V347)&gt;=1,AB346+1,0)</f>
        <v>0</v>
      </c>
      <c r="AC347" s="34" t="str">
        <f aca="false">IF(COUNT(E347,F347,I347,J347)=0,"",ROUND((MIN(IFERROR(E347/StepGoal,0),1)*100)*0.2+(MIN(IFERROR(F347/SleepGoal,0),1)*100)*0.2+(IF(L347="",0,IF(L347="Rest Day",100,MIN(IFERROR(M347/60,0),1)*100)))*0.25+(IFERROR(INDEX('Recovery Tracker'!$E$5:$E$369,MATCH(A347,'Recovery Tracker'!$A$5:$A$369,0))+0,70))*0.15+(MIN(IFERROR(I347/WaterGoal,0),1)*100)*0.1+(IF(J347="",0,MAX(0,100-MIN(ABS(J347-CalorieGoal)/CalorieGoal,1)*100)))*0.1,0))</f>
        <v/>
      </c>
    </row>
    <row r="348" customFormat="false" ht="15" hidden="false" customHeight="false" outlineLevel="0" collapsed="false">
      <c r="A348" s="35" t="n">
        <f aca="false">A347+1</f>
        <v>46366</v>
      </c>
      <c r="B348" s="36" t="str">
        <f aca="false">TEXT(A348,"ddd")</f>
        <v>Thu</v>
      </c>
      <c r="C348" s="36" t="n">
        <f aca="false">INT((A348-StartDate)/7)+1</f>
        <v>50</v>
      </c>
      <c r="D348" s="36" t="str">
        <f aca="false">TEXT(A348,"mmm")</f>
        <v>Dec</v>
      </c>
      <c r="E348" s="28"/>
      <c r="F348" s="29"/>
      <c r="G348" s="29"/>
      <c r="H348" s="30"/>
      <c r="I348" s="29"/>
      <c r="J348" s="28"/>
      <c r="K348" s="28"/>
      <c r="L348" s="31"/>
      <c r="M348" s="28"/>
      <c r="N348" s="31"/>
      <c r="O348" s="31"/>
      <c r="P348" s="31"/>
      <c r="Q348" s="31"/>
      <c r="R348" s="31"/>
      <c r="S348" s="32"/>
      <c r="T348" s="37" t="str">
        <f aca="false">IF(E348="","",E348/StepGoal)</f>
        <v/>
      </c>
      <c r="U348" s="37" t="str">
        <f aca="false">IF(F348="","",F348/SleepGoal)</f>
        <v/>
      </c>
      <c r="V348" s="37" t="str">
        <f aca="false">IF(I348="","",I348/WaterGoal)</f>
        <v/>
      </c>
      <c r="W348" s="37" t="str">
        <f aca="false">IF(COUNT(E348,F348,I348)=0,"",(IF(N(T348)&gt;=1,1,0)+IF(N(U348)&gt;=1,1,0)+IF(N(V348)&gt;=1,1,0))/3)</f>
        <v/>
      </c>
      <c r="X348" s="36" t="n">
        <f aca="false">IF(AND(L348&lt;&gt;"",L348&lt;&gt;"Rest Day"),1,0)</f>
        <v>0</v>
      </c>
      <c r="Y348" s="38" t="n">
        <f aca="false">IF(X348=1,Y347+1,0)</f>
        <v>0</v>
      </c>
      <c r="Z348" s="38" t="n">
        <f aca="false">IF(N(T348)&gt;=1,Z347+1,0)</f>
        <v>0</v>
      </c>
      <c r="AA348" s="38" t="n">
        <f aca="false">IF(N(U348)&gt;=1,AA347+1,0)</f>
        <v>0</v>
      </c>
      <c r="AB348" s="38" t="n">
        <f aca="false">IF(N(V348)&gt;=1,AB347+1,0)</f>
        <v>0</v>
      </c>
      <c r="AC348" s="38" t="str">
        <f aca="false">IF(COUNT(E348,F348,I348,J348)=0,"",ROUND((MIN(IFERROR(E348/StepGoal,0),1)*100)*0.2+(MIN(IFERROR(F348/SleepGoal,0),1)*100)*0.2+(IF(L348="",0,IF(L348="Rest Day",100,MIN(IFERROR(M348/60,0),1)*100)))*0.25+(IFERROR(INDEX('Recovery Tracker'!$E$5:$E$369,MATCH(A348,'Recovery Tracker'!$A$5:$A$369,0))+0,70))*0.15+(MIN(IFERROR(I348/WaterGoal,0),1)*100)*0.1+(IF(J348="",0,MAX(0,100-MIN(ABS(J348-CalorieGoal)/CalorieGoal,1)*100)))*0.1,0))</f>
        <v/>
      </c>
    </row>
    <row r="349" customFormat="false" ht="15" hidden="false" customHeight="false" outlineLevel="0" collapsed="false">
      <c r="A349" s="26" t="n">
        <f aca="false">A348+1</f>
        <v>46367</v>
      </c>
      <c r="B349" s="27" t="str">
        <f aca="false">TEXT(A349,"ddd")</f>
        <v>Fri</v>
      </c>
      <c r="C349" s="27" t="n">
        <f aca="false">INT((A349-StartDate)/7)+1</f>
        <v>50</v>
      </c>
      <c r="D349" s="27" t="str">
        <f aca="false">TEXT(A349,"mmm")</f>
        <v>Dec</v>
      </c>
      <c r="E349" s="28"/>
      <c r="F349" s="29"/>
      <c r="G349" s="29"/>
      <c r="H349" s="30"/>
      <c r="I349" s="29"/>
      <c r="J349" s="28"/>
      <c r="K349" s="28"/>
      <c r="L349" s="31"/>
      <c r="M349" s="28"/>
      <c r="N349" s="31"/>
      <c r="O349" s="31"/>
      <c r="P349" s="31"/>
      <c r="Q349" s="31"/>
      <c r="R349" s="31"/>
      <c r="S349" s="32"/>
      <c r="T349" s="33" t="str">
        <f aca="false">IF(E349="","",E349/StepGoal)</f>
        <v/>
      </c>
      <c r="U349" s="33" t="str">
        <f aca="false">IF(F349="","",F349/SleepGoal)</f>
        <v/>
      </c>
      <c r="V349" s="33" t="str">
        <f aca="false">IF(I349="","",I349/WaterGoal)</f>
        <v/>
      </c>
      <c r="W349" s="33" t="str">
        <f aca="false">IF(COUNT(E349,F349,I349)=0,"",(IF(N(T349)&gt;=1,1,0)+IF(N(U349)&gt;=1,1,0)+IF(N(V349)&gt;=1,1,0))/3)</f>
        <v/>
      </c>
      <c r="X349" s="27" t="n">
        <f aca="false">IF(AND(L349&lt;&gt;"",L349&lt;&gt;"Rest Day"),1,0)</f>
        <v>0</v>
      </c>
      <c r="Y349" s="34" t="n">
        <f aca="false">IF(X349=1,Y348+1,0)</f>
        <v>0</v>
      </c>
      <c r="Z349" s="34" t="n">
        <f aca="false">IF(N(T349)&gt;=1,Z348+1,0)</f>
        <v>0</v>
      </c>
      <c r="AA349" s="34" t="n">
        <f aca="false">IF(N(U349)&gt;=1,AA348+1,0)</f>
        <v>0</v>
      </c>
      <c r="AB349" s="34" t="n">
        <f aca="false">IF(N(V349)&gt;=1,AB348+1,0)</f>
        <v>0</v>
      </c>
      <c r="AC349" s="34" t="str">
        <f aca="false">IF(COUNT(E349,F349,I349,J349)=0,"",ROUND((MIN(IFERROR(E349/StepGoal,0),1)*100)*0.2+(MIN(IFERROR(F349/SleepGoal,0),1)*100)*0.2+(IF(L349="",0,IF(L349="Rest Day",100,MIN(IFERROR(M349/60,0),1)*100)))*0.25+(IFERROR(INDEX('Recovery Tracker'!$E$5:$E$369,MATCH(A349,'Recovery Tracker'!$A$5:$A$369,0))+0,70))*0.15+(MIN(IFERROR(I349/WaterGoal,0),1)*100)*0.1+(IF(J349="",0,MAX(0,100-MIN(ABS(J349-CalorieGoal)/CalorieGoal,1)*100)))*0.1,0))</f>
        <v/>
      </c>
    </row>
    <row r="350" customFormat="false" ht="15" hidden="false" customHeight="false" outlineLevel="0" collapsed="false">
      <c r="A350" s="35" t="n">
        <f aca="false">A349+1</f>
        <v>46368</v>
      </c>
      <c r="B350" s="36" t="str">
        <f aca="false">TEXT(A350,"ddd")</f>
        <v>Sat</v>
      </c>
      <c r="C350" s="36" t="n">
        <f aca="false">INT((A350-StartDate)/7)+1</f>
        <v>50</v>
      </c>
      <c r="D350" s="36" t="str">
        <f aca="false">TEXT(A350,"mmm")</f>
        <v>Dec</v>
      </c>
      <c r="E350" s="28"/>
      <c r="F350" s="29"/>
      <c r="G350" s="29"/>
      <c r="H350" s="30"/>
      <c r="I350" s="29"/>
      <c r="J350" s="28"/>
      <c r="K350" s="28"/>
      <c r="L350" s="31"/>
      <c r="M350" s="28"/>
      <c r="N350" s="31"/>
      <c r="O350" s="31"/>
      <c r="P350" s="31"/>
      <c r="Q350" s="31"/>
      <c r="R350" s="31"/>
      <c r="S350" s="32"/>
      <c r="T350" s="37" t="str">
        <f aca="false">IF(E350="","",E350/StepGoal)</f>
        <v/>
      </c>
      <c r="U350" s="37" t="str">
        <f aca="false">IF(F350="","",F350/SleepGoal)</f>
        <v/>
      </c>
      <c r="V350" s="37" t="str">
        <f aca="false">IF(I350="","",I350/WaterGoal)</f>
        <v/>
      </c>
      <c r="W350" s="37" t="str">
        <f aca="false">IF(COUNT(E350,F350,I350)=0,"",(IF(N(T350)&gt;=1,1,0)+IF(N(U350)&gt;=1,1,0)+IF(N(V350)&gt;=1,1,0))/3)</f>
        <v/>
      </c>
      <c r="X350" s="36" t="n">
        <f aca="false">IF(AND(L350&lt;&gt;"",L350&lt;&gt;"Rest Day"),1,0)</f>
        <v>0</v>
      </c>
      <c r="Y350" s="38" t="n">
        <f aca="false">IF(X350=1,Y349+1,0)</f>
        <v>0</v>
      </c>
      <c r="Z350" s="38" t="n">
        <f aca="false">IF(N(T350)&gt;=1,Z349+1,0)</f>
        <v>0</v>
      </c>
      <c r="AA350" s="38" t="n">
        <f aca="false">IF(N(U350)&gt;=1,AA349+1,0)</f>
        <v>0</v>
      </c>
      <c r="AB350" s="38" t="n">
        <f aca="false">IF(N(V350)&gt;=1,AB349+1,0)</f>
        <v>0</v>
      </c>
      <c r="AC350" s="38" t="str">
        <f aca="false">IF(COUNT(E350,F350,I350,J350)=0,"",ROUND((MIN(IFERROR(E350/StepGoal,0),1)*100)*0.2+(MIN(IFERROR(F350/SleepGoal,0),1)*100)*0.2+(IF(L350="",0,IF(L350="Rest Day",100,MIN(IFERROR(M350/60,0),1)*100)))*0.25+(IFERROR(INDEX('Recovery Tracker'!$E$5:$E$369,MATCH(A350,'Recovery Tracker'!$A$5:$A$369,0))+0,70))*0.15+(MIN(IFERROR(I350/WaterGoal,0),1)*100)*0.1+(IF(J350="",0,MAX(0,100-MIN(ABS(J350-CalorieGoal)/CalorieGoal,1)*100)))*0.1,0))</f>
        <v/>
      </c>
    </row>
    <row r="351" customFormat="false" ht="15" hidden="false" customHeight="false" outlineLevel="0" collapsed="false">
      <c r="A351" s="26" t="n">
        <f aca="false">A350+1</f>
        <v>46369</v>
      </c>
      <c r="B351" s="27" t="str">
        <f aca="false">TEXT(A351,"ddd")</f>
        <v>Sun</v>
      </c>
      <c r="C351" s="27" t="n">
        <f aca="false">INT((A351-StartDate)/7)+1</f>
        <v>50</v>
      </c>
      <c r="D351" s="27" t="str">
        <f aca="false">TEXT(A351,"mmm")</f>
        <v>Dec</v>
      </c>
      <c r="E351" s="28"/>
      <c r="F351" s="29"/>
      <c r="G351" s="29"/>
      <c r="H351" s="30"/>
      <c r="I351" s="29"/>
      <c r="J351" s="28"/>
      <c r="K351" s="28"/>
      <c r="L351" s="31"/>
      <c r="M351" s="28"/>
      <c r="N351" s="31"/>
      <c r="O351" s="31"/>
      <c r="P351" s="31"/>
      <c r="Q351" s="31"/>
      <c r="R351" s="31"/>
      <c r="S351" s="32"/>
      <c r="T351" s="33" t="str">
        <f aca="false">IF(E351="","",E351/StepGoal)</f>
        <v/>
      </c>
      <c r="U351" s="33" t="str">
        <f aca="false">IF(F351="","",F351/SleepGoal)</f>
        <v/>
      </c>
      <c r="V351" s="33" t="str">
        <f aca="false">IF(I351="","",I351/WaterGoal)</f>
        <v/>
      </c>
      <c r="W351" s="33" t="str">
        <f aca="false">IF(COUNT(E351,F351,I351)=0,"",(IF(N(T351)&gt;=1,1,0)+IF(N(U351)&gt;=1,1,0)+IF(N(V351)&gt;=1,1,0))/3)</f>
        <v/>
      </c>
      <c r="X351" s="27" t="n">
        <f aca="false">IF(AND(L351&lt;&gt;"",L351&lt;&gt;"Rest Day"),1,0)</f>
        <v>0</v>
      </c>
      <c r="Y351" s="34" t="n">
        <f aca="false">IF(X351=1,Y350+1,0)</f>
        <v>0</v>
      </c>
      <c r="Z351" s="34" t="n">
        <f aca="false">IF(N(T351)&gt;=1,Z350+1,0)</f>
        <v>0</v>
      </c>
      <c r="AA351" s="34" t="n">
        <f aca="false">IF(N(U351)&gt;=1,AA350+1,0)</f>
        <v>0</v>
      </c>
      <c r="AB351" s="34" t="n">
        <f aca="false">IF(N(V351)&gt;=1,AB350+1,0)</f>
        <v>0</v>
      </c>
      <c r="AC351" s="34" t="str">
        <f aca="false">IF(COUNT(E351,F351,I351,J351)=0,"",ROUND((MIN(IFERROR(E351/StepGoal,0),1)*100)*0.2+(MIN(IFERROR(F351/SleepGoal,0),1)*100)*0.2+(IF(L351="",0,IF(L351="Rest Day",100,MIN(IFERROR(M351/60,0),1)*100)))*0.25+(IFERROR(INDEX('Recovery Tracker'!$E$5:$E$369,MATCH(A351,'Recovery Tracker'!$A$5:$A$369,0))+0,70))*0.15+(MIN(IFERROR(I351/WaterGoal,0),1)*100)*0.1+(IF(J351="",0,MAX(0,100-MIN(ABS(J351-CalorieGoal)/CalorieGoal,1)*100)))*0.1,0))</f>
        <v/>
      </c>
    </row>
    <row r="352" customFormat="false" ht="15" hidden="false" customHeight="false" outlineLevel="0" collapsed="false">
      <c r="A352" s="35" t="n">
        <f aca="false">A351+1</f>
        <v>46370</v>
      </c>
      <c r="B352" s="36" t="str">
        <f aca="false">TEXT(A352,"ddd")</f>
        <v>Mon</v>
      </c>
      <c r="C352" s="36" t="n">
        <f aca="false">INT((A352-StartDate)/7)+1</f>
        <v>50</v>
      </c>
      <c r="D352" s="36" t="str">
        <f aca="false">TEXT(A352,"mmm")</f>
        <v>Dec</v>
      </c>
      <c r="E352" s="28"/>
      <c r="F352" s="29"/>
      <c r="G352" s="29"/>
      <c r="H352" s="30"/>
      <c r="I352" s="29"/>
      <c r="J352" s="28"/>
      <c r="K352" s="28"/>
      <c r="L352" s="31"/>
      <c r="M352" s="28"/>
      <c r="N352" s="31"/>
      <c r="O352" s="31"/>
      <c r="P352" s="31"/>
      <c r="Q352" s="31"/>
      <c r="R352" s="31"/>
      <c r="S352" s="32"/>
      <c r="T352" s="37" t="str">
        <f aca="false">IF(E352="","",E352/StepGoal)</f>
        <v/>
      </c>
      <c r="U352" s="37" t="str">
        <f aca="false">IF(F352="","",F352/SleepGoal)</f>
        <v/>
      </c>
      <c r="V352" s="37" t="str">
        <f aca="false">IF(I352="","",I352/WaterGoal)</f>
        <v/>
      </c>
      <c r="W352" s="37" t="str">
        <f aca="false">IF(COUNT(E352,F352,I352)=0,"",(IF(N(T352)&gt;=1,1,0)+IF(N(U352)&gt;=1,1,0)+IF(N(V352)&gt;=1,1,0))/3)</f>
        <v/>
      </c>
      <c r="X352" s="36" t="n">
        <f aca="false">IF(AND(L352&lt;&gt;"",L352&lt;&gt;"Rest Day"),1,0)</f>
        <v>0</v>
      </c>
      <c r="Y352" s="38" t="n">
        <f aca="false">IF(X352=1,Y351+1,0)</f>
        <v>0</v>
      </c>
      <c r="Z352" s="38" t="n">
        <f aca="false">IF(N(T352)&gt;=1,Z351+1,0)</f>
        <v>0</v>
      </c>
      <c r="AA352" s="38" t="n">
        <f aca="false">IF(N(U352)&gt;=1,AA351+1,0)</f>
        <v>0</v>
      </c>
      <c r="AB352" s="38" t="n">
        <f aca="false">IF(N(V352)&gt;=1,AB351+1,0)</f>
        <v>0</v>
      </c>
      <c r="AC352" s="38" t="str">
        <f aca="false">IF(COUNT(E352,F352,I352,J352)=0,"",ROUND((MIN(IFERROR(E352/StepGoal,0),1)*100)*0.2+(MIN(IFERROR(F352/SleepGoal,0),1)*100)*0.2+(IF(L352="",0,IF(L352="Rest Day",100,MIN(IFERROR(M352/60,0),1)*100)))*0.25+(IFERROR(INDEX('Recovery Tracker'!$E$5:$E$369,MATCH(A352,'Recovery Tracker'!$A$5:$A$369,0))+0,70))*0.15+(MIN(IFERROR(I352/WaterGoal,0),1)*100)*0.1+(IF(J352="",0,MAX(0,100-MIN(ABS(J352-CalorieGoal)/CalorieGoal,1)*100)))*0.1,0))</f>
        <v/>
      </c>
    </row>
    <row r="353" customFormat="false" ht="15" hidden="false" customHeight="false" outlineLevel="0" collapsed="false">
      <c r="A353" s="26" t="n">
        <f aca="false">A352+1</f>
        <v>46371</v>
      </c>
      <c r="B353" s="27" t="str">
        <f aca="false">TEXT(A353,"ddd")</f>
        <v>Tue</v>
      </c>
      <c r="C353" s="27" t="n">
        <f aca="false">INT((A353-StartDate)/7)+1</f>
        <v>50</v>
      </c>
      <c r="D353" s="27" t="str">
        <f aca="false">TEXT(A353,"mmm")</f>
        <v>Dec</v>
      </c>
      <c r="E353" s="28"/>
      <c r="F353" s="29"/>
      <c r="G353" s="29"/>
      <c r="H353" s="30"/>
      <c r="I353" s="29"/>
      <c r="J353" s="28"/>
      <c r="K353" s="28"/>
      <c r="L353" s="31"/>
      <c r="M353" s="28"/>
      <c r="N353" s="31"/>
      <c r="O353" s="31"/>
      <c r="P353" s="31"/>
      <c r="Q353" s="31"/>
      <c r="R353" s="31"/>
      <c r="S353" s="32"/>
      <c r="T353" s="33" t="str">
        <f aca="false">IF(E353="","",E353/StepGoal)</f>
        <v/>
      </c>
      <c r="U353" s="33" t="str">
        <f aca="false">IF(F353="","",F353/SleepGoal)</f>
        <v/>
      </c>
      <c r="V353" s="33" t="str">
        <f aca="false">IF(I353="","",I353/WaterGoal)</f>
        <v/>
      </c>
      <c r="W353" s="33" t="str">
        <f aca="false">IF(COUNT(E353,F353,I353)=0,"",(IF(N(T353)&gt;=1,1,0)+IF(N(U353)&gt;=1,1,0)+IF(N(V353)&gt;=1,1,0))/3)</f>
        <v/>
      </c>
      <c r="X353" s="27" t="n">
        <f aca="false">IF(AND(L353&lt;&gt;"",L353&lt;&gt;"Rest Day"),1,0)</f>
        <v>0</v>
      </c>
      <c r="Y353" s="34" t="n">
        <f aca="false">IF(X353=1,Y352+1,0)</f>
        <v>0</v>
      </c>
      <c r="Z353" s="34" t="n">
        <f aca="false">IF(N(T353)&gt;=1,Z352+1,0)</f>
        <v>0</v>
      </c>
      <c r="AA353" s="34" t="n">
        <f aca="false">IF(N(U353)&gt;=1,AA352+1,0)</f>
        <v>0</v>
      </c>
      <c r="AB353" s="34" t="n">
        <f aca="false">IF(N(V353)&gt;=1,AB352+1,0)</f>
        <v>0</v>
      </c>
      <c r="AC353" s="34" t="str">
        <f aca="false">IF(COUNT(E353,F353,I353,J353)=0,"",ROUND((MIN(IFERROR(E353/StepGoal,0),1)*100)*0.2+(MIN(IFERROR(F353/SleepGoal,0),1)*100)*0.2+(IF(L353="",0,IF(L353="Rest Day",100,MIN(IFERROR(M353/60,0),1)*100)))*0.25+(IFERROR(INDEX('Recovery Tracker'!$E$5:$E$369,MATCH(A353,'Recovery Tracker'!$A$5:$A$369,0))+0,70))*0.15+(MIN(IFERROR(I353/WaterGoal,0),1)*100)*0.1+(IF(J353="",0,MAX(0,100-MIN(ABS(J353-CalorieGoal)/CalorieGoal,1)*100)))*0.1,0))</f>
        <v/>
      </c>
    </row>
    <row r="354" customFormat="false" ht="15" hidden="false" customHeight="false" outlineLevel="0" collapsed="false">
      <c r="A354" s="35" t="n">
        <f aca="false">A353+1</f>
        <v>46372</v>
      </c>
      <c r="B354" s="36" t="str">
        <f aca="false">TEXT(A354,"ddd")</f>
        <v>Wed</v>
      </c>
      <c r="C354" s="36" t="n">
        <f aca="false">INT((A354-StartDate)/7)+1</f>
        <v>50</v>
      </c>
      <c r="D354" s="36" t="str">
        <f aca="false">TEXT(A354,"mmm")</f>
        <v>Dec</v>
      </c>
      <c r="E354" s="28"/>
      <c r="F354" s="29"/>
      <c r="G354" s="29"/>
      <c r="H354" s="30"/>
      <c r="I354" s="29"/>
      <c r="J354" s="28"/>
      <c r="K354" s="28"/>
      <c r="L354" s="31"/>
      <c r="M354" s="28"/>
      <c r="N354" s="31"/>
      <c r="O354" s="31"/>
      <c r="P354" s="31"/>
      <c r="Q354" s="31"/>
      <c r="R354" s="31"/>
      <c r="S354" s="32"/>
      <c r="T354" s="37" t="str">
        <f aca="false">IF(E354="","",E354/StepGoal)</f>
        <v/>
      </c>
      <c r="U354" s="37" t="str">
        <f aca="false">IF(F354="","",F354/SleepGoal)</f>
        <v/>
      </c>
      <c r="V354" s="37" t="str">
        <f aca="false">IF(I354="","",I354/WaterGoal)</f>
        <v/>
      </c>
      <c r="W354" s="37" t="str">
        <f aca="false">IF(COUNT(E354,F354,I354)=0,"",(IF(N(T354)&gt;=1,1,0)+IF(N(U354)&gt;=1,1,0)+IF(N(V354)&gt;=1,1,0))/3)</f>
        <v/>
      </c>
      <c r="X354" s="36" t="n">
        <f aca="false">IF(AND(L354&lt;&gt;"",L354&lt;&gt;"Rest Day"),1,0)</f>
        <v>0</v>
      </c>
      <c r="Y354" s="38" t="n">
        <f aca="false">IF(X354=1,Y353+1,0)</f>
        <v>0</v>
      </c>
      <c r="Z354" s="38" t="n">
        <f aca="false">IF(N(T354)&gt;=1,Z353+1,0)</f>
        <v>0</v>
      </c>
      <c r="AA354" s="38" t="n">
        <f aca="false">IF(N(U354)&gt;=1,AA353+1,0)</f>
        <v>0</v>
      </c>
      <c r="AB354" s="38" t="n">
        <f aca="false">IF(N(V354)&gt;=1,AB353+1,0)</f>
        <v>0</v>
      </c>
      <c r="AC354" s="38" t="str">
        <f aca="false">IF(COUNT(E354,F354,I354,J354)=0,"",ROUND((MIN(IFERROR(E354/StepGoal,0),1)*100)*0.2+(MIN(IFERROR(F354/SleepGoal,0),1)*100)*0.2+(IF(L354="",0,IF(L354="Rest Day",100,MIN(IFERROR(M354/60,0),1)*100)))*0.25+(IFERROR(INDEX('Recovery Tracker'!$E$5:$E$369,MATCH(A354,'Recovery Tracker'!$A$5:$A$369,0))+0,70))*0.15+(MIN(IFERROR(I354/WaterGoal,0),1)*100)*0.1+(IF(J354="",0,MAX(0,100-MIN(ABS(J354-CalorieGoal)/CalorieGoal,1)*100)))*0.1,0))</f>
        <v/>
      </c>
    </row>
    <row r="355" customFormat="false" ht="15" hidden="false" customHeight="false" outlineLevel="0" collapsed="false">
      <c r="A355" s="26" t="n">
        <f aca="false">A354+1</f>
        <v>46373</v>
      </c>
      <c r="B355" s="27" t="str">
        <f aca="false">TEXT(A355,"ddd")</f>
        <v>Thu</v>
      </c>
      <c r="C355" s="27" t="n">
        <f aca="false">INT((A355-StartDate)/7)+1</f>
        <v>51</v>
      </c>
      <c r="D355" s="27" t="str">
        <f aca="false">TEXT(A355,"mmm")</f>
        <v>Dec</v>
      </c>
      <c r="E355" s="28"/>
      <c r="F355" s="29"/>
      <c r="G355" s="29"/>
      <c r="H355" s="30"/>
      <c r="I355" s="29"/>
      <c r="J355" s="28"/>
      <c r="K355" s="28"/>
      <c r="L355" s="31"/>
      <c r="M355" s="28"/>
      <c r="N355" s="31"/>
      <c r="O355" s="31"/>
      <c r="P355" s="31"/>
      <c r="Q355" s="31"/>
      <c r="R355" s="31"/>
      <c r="S355" s="32"/>
      <c r="T355" s="33" t="str">
        <f aca="false">IF(E355="","",E355/StepGoal)</f>
        <v/>
      </c>
      <c r="U355" s="33" t="str">
        <f aca="false">IF(F355="","",F355/SleepGoal)</f>
        <v/>
      </c>
      <c r="V355" s="33" t="str">
        <f aca="false">IF(I355="","",I355/WaterGoal)</f>
        <v/>
      </c>
      <c r="W355" s="33" t="str">
        <f aca="false">IF(COUNT(E355,F355,I355)=0,"",(IF(N(T355)&gt;=1,1,0)+IF(N(U355)&gt;=1,1,0)+IF(N(V355)&gt;=1,1,0))/3)</f>
        <v/>
      </c>
      <c r="X355" s="27" t="n">
        <f aca="false">IF(AND(L355&lt;&gt;"",L355&lt;&gt;"Rest Day"),1,0)</f>
        <v>0</v>
      </c>
      <c r="Y355" s="34" t="n">
        <f aca="false">IF(X355=1,Y354+1,0)</f>
        <v>0</v>
      </c>
      <c r="Z355" s="34" t="n">
        <f aca="false">IF(N(T355)&gt;=1,Z354+1,0)</f>
        <v>0</v>
      </c>
      <c r="AA355" s="34" t="n">
        <f aca="false">IF(N(U355)&gt;=1,AA354+1,0)</f>
        <v>0</v>
      </c>
      <c r="AB355" s="34" t="n">
        <f aca="false">IF(N(V355)&gt;=1,AB354+1,0)</f>
        <v>0</v>
      </c>
      <c r="AC355" s="34" t="str">
        <f aca="false">IF(COUNT(E355,F355,I355,J355)=0,"",ROUND((MIN(IFERROR(E355/StepGoal,0),1)*100)*0.2+(MIN(IFERROR(F355/SleepGoal,0),1)*100)*0.2+(IF(L355="",0,IF(L355="Rest Day",100,MIN(IFERROR(M355/60,0),1)*100)))*0.25+(IFERROR(INDEX('Recovery Tracker'!$E$5:$E$369,MATCH(A355,'Recovery Tracker'!$A$5:$A$369,0))+0,70))*0.15+(MIN(IFERROR(I355/WaterGoal,0),1)*100)*0.1+(IF(J355="",0,MAX(0,100-MIN(ABS(J355-CalorieGoal)/CalorieGoal,1)*100)))*0.1,0))</f>
        <v/>
      </c>
    </row>
    <row r="356" customFormat="false" ht="15" hidden="false" customHeight="false" outlineLevel="0" collapsed="false">
      <c r="A356" s="35" t="n">
        <f aca="false">A355+1</f>
        <v>46374</v>
      </c>
      <c r="B356" s="36" t="str">
        <f aca="false">TEXT(A356,"ddd")</f>
        <v>Fri</v>
      </c>
      <c r="C356" s="36" t="n">
        <f aca="false">INT((A356-StartDate)/7)+1</f>
        <v>51</v>
      </c>
      <c r="D356" s="36" t="str">
        <f aca="false">TEXT(A356,"mmm")</f>
        <v>Dec</v>
      </c>
      <c r="E356" s="28"/>
      <c r="F356" s="29"/>
      <c r="G356" s="29"/>
      <c r="H356" s="30"/>
      <c r="I356" s="29"/>
      <c r="J356" s="28"/>
      <c r="K356" s="28"/>
      <c r="L356" s="31"/>
      <c r="M356" s="28"/>
      <c r="N356" s="31"/>
      <c r="O356" s="31"/>
      <c r="P356" s="31"/>
      <c r="Q356" s="31"/>
      <c r="R356" s="31"/>
      <c r="S356" s="32"/>
      <c r="T356" s="37" t="str">
        <f aca="false">IF(E356="","",E356/StepGoal)</f>
        <v/>
      </c>
      <c r="U356" s="37" t="str">
        <f aca="false">IF(F356="","",F356/SleepGoal)</f>
        <v/>
      </c>
      <c r="V356" s="37" t="str">
        <f aca="false">IF(I356="","",I356/WaterGoal)</f>
        <v/>
      </c>
      <c r="W356" s="37" t="str">
        <f aca="false">IF(COUNT(E356,F356,I356)=0,"",(IF(N(T356)&gt;=1,1,0)+IF(N(U356)&gt;=1,1,0)+IF(N(V356)&gt;=1,1,0))/3)</f>
        <v/>
      </c>
      <c r="X356" s="36" t="n">
        <f aca="false">IF(AND(L356&lt;&gt;"",L356&lt;&gt;"Rest Day"),1,0)</f>
        <v>0</v>
      </c>
      <c r="Y356" s="38" t="n">
        <f aca="false">IF(X356=1,Y355+1,0)</f>
        <v>0</v>
      </c>
      <c r="Z356" s="38" t="n">
        <f aca="false">IF(N(T356)&gt;=1,Z355+1,0)</f>
        <v>0</v>
      </c>
      <c r="AA356" s="38" t="n">
        <f aca="false">IF(N(U356)&gt;=1,AA355+1,0)</f>
        <v>0</v>
      </c>
      <c r="AB356" s="38" t="n">
        <f aca="false">IF(N(V356)&gt;=1,AB355+1,0)</f>
        <v>0</v>
      </c>
      <c r="AC356" s="38" t="str">
        <f aca="false">IF(COUNT(E356,F356,I356,J356)=0,"",ROUND((MIN(IFERROR(E356/StepGoal,0),1)*100)*0.2+(MIN(IFERROR(F356/SleepGoal,0),1)*100)*0.2+(IF(L356="",0,IF(L356="Rest Day",100,MIN(IFERROR(M356/60,0),1)*100)))*0.25+(IFERROR(INDEX('Recovery Tracker'!$E$5:$E$369,MATCH(A356,'Recovery Tracker'!$A$5:$A$369,0))+0,70))*0.15+(MIN(IFERROR(I356/WaterGoal,0),1)*100)*0.1+(IF(J356="",0,MAX(0,100-MIN(ABS(J356-CalorieGoal)/CalorieGoal,1)*100)))*0.1,0))</f>
        <v/>
      </c>
    </row>
    <row r="357" customFormat="false" ht="15" hidden="false" customHeight="false" outlineLevel="0" collapsed="false">
      <c r="A357" s="26" t="n">
        <f aca="false">A356+1</f>
        <v>46375</v>
      </c>
      <c r="B357" s="27" t="str">
        <f aca="false">TEXT(A357,"ddd")</f>
        <v>Sat</v>
      </c>
      <c r="C357" s="27" t="n">
        <f aca="false">INT((A357-StartDate)/7)+1</f>
        <v>51</v>
      </c>
      <c r="D357" s="27" t="str">
        <f aca="false">TEXT(A357,"mmm")</f>
        <v>Dec</v>
      </c>
      <c r="E357" s="28"/>
      <c r="F357" s="29"/>
      <c r="G357" s="29"/>
      <c r="H357" s="30"/>
      <c r="I357" s="29"/>
      <c r="J357" s="28"/>
      <c r="K357" s="28"/>
      <c r="L357" s="31"/>
      <c r="M357" s="28"/>
      <c r="N357" s="31"/>
      <c r="O357" s="31"/>
      <c r="P357" s="31"/>
      <c r="Q357" s="31"/>
      <c r="R357" s="31"/>
      <c r="S357" s="32"/>
      <c r="T357" s="33" t="str">
        <f aca="false">IF(E357="","",E357/StepGoal)</f>
        <v/>
      </c>
      <c r="U357" s="33" t="str">
        <f aca="false">IF(F357="","",F357/SleepGoal)</f>
        <v/>
      </c>
      <c r="V357" s="33" t="str">
        <f aca="false">IF(I357="","",I357/WaterGoal)</f>
        <v/>
      </c>
      <c r="W357" s="33" t="str">
        <f aca="false">IF(COUNT(E357,F357,I357)=0,"",(IF(N(T357)&gt;=1,1,0)+IF(N(U357)&gt;=1,1,0)+IF(N(V357)&gt;=1,1,0))/3)</f>
        <v/>
      </c>
      <c r="X357" s="27" t="n">
        <f aca="false">IF(AND(L357&lt;&gt;"",L357&lt;&gt;"Rest Day"),1,0)</f>
        <v>0</v>
      </c>
      <c r="Y357" s="34" t="n">
        <f aca="false">IF(X357=1,Y356+1,0)</f>
        <v>0</v>
      </c>
      <c r="Z357" s="34" t="n">
        <f aca="false">IF(N(T357)&gt;=1,Z356+1,0)</f>
        <v>0</v>
      </c>
      <c r="AA357" s="34" t="n">
        <f aca="false">IF(N(U357)&gt;=1,AA356+1,0)</f>
        <v>0</v>
      </c>
      <c r="AB357" s="34" t="n">
        <f aca="false">IF(N(V357)&gt;=1,AB356+1,0)</f>
        <v>0</v>
      </c>
      <c r="AC357" s="34" t="str">
        <f aca="false">IF(COUNT(E357,F357,I357,J357)=0,"",ROUND((MIN(IFERROR(E357/StepGoal,0),1)*100)*0.2+(MIN(IFERROR(F357/SleepGoal,0),1)*100)*0.2+(IF(L357="",0,IF(L357="Rest Day",100,MIN(IFERROR(M357/60,0),1)*100)))*0.25+(IFERROR(INDEX('Recovery Tracker'!$E$5:$E$369,MATCH(A357,'Recovery Tracker'!$A$5:$A$369,0))+0,70))*0.15+(MIN(IFERROR(I357/WaterGoal,0),1)*100)*0.1+(IF(J357="",0,MAX(0,100-MIN(ABS(J357-CalorieGoal)/CalorieGoal,1)*100)))*0.1,0))</f>
        <v/>
      </c>
    </row>
    <row r="358" customFormat="false" ht="15" hidden="false" customHeight="false" outlineLevel="0" collapsed="false">
      <c r="A358" s="35" t="n">
        <f aca="false">A357+1</f>
        <v>46376</v>
      </c>
      <c r="B358" s="36" t="str">
        <f aca="false">TEXT(A358,"ddd")</f>
        <v>Sun</v>
      </c>
      <c r="C358" s="36" t="n">
        <f aca="false">INT((A358-StartDate)/7)+1</f>
        <v>51</v>
      </c>
      <c r="D358" s="36" t="str">
        <f aca="false">TEXT(A358,"mmm")</f>
        <v>Dec</v>
      </c>
      <c r="E358" s="28"/>
      <c r="F358" s="29"/>
      <c r="G358" s="29"/>
      <c r="H358" s="30"/>
      <c r="I358" s="29"/>
      <c r="J358" s="28"/>
      <c r="K358" s="28"/>
      <c r="L358" s="31"/>
      <c r="M358" s="28"/>
      <c r="N358" s="31"/>
      <c r="O358" s="31"/>
      <c r="P358" s="31"/>
      <c r="Q358" s="31"/>
      <c r="R358" s="31"/>
      <c r="S358" s="32"/>
      <c r="T358" s="37" t="str">
        <f aca="false">IF(E358="","",E358/StepGoal)</f>
        <v/>
      </c>
      <c r="U358" s="37" t="str">
        <f aca="false">IF(F358="","",F358/SleepGoal)</f>
        <v/>
      </c>
      <c r="V358" s="37" t="str">
        <f aca="false">IF(I358="","",I358/WaterGoal)</f>
        <v/>
      </c>
      <c r="W358" s="37" t="str">
        <f aca="false">IF(COUNT(E358,F358,I358)=0,"",(IF(N(T358)&gt;=1,1,0)+IF(N(U358)&gt;=1,1,0)+IF(N(V358)&gt;=1,1,0))/3)</f>
        <v/>
      </c>
      <c r="X358" s="36" t="n">
        <f aca="false">IF(AND(L358&lt;&gt;"",L358&lt;&gt;"Rest Day"),1,0)</f>
        <v>0</v>
      </c>
      <c r="Y358" s="38" t="n">
        <f aca="false">IF(X358=1,Y357+1,0)</f>
        <v>0</v>
      </c>
      <c r="Z358" s="38" t="n">
        <f aca="false">IF(N(T358)&gt;=1,Z357+1,0)</f>
        <v>0</v>
      </c>
      <c r="AA358" s="38" t="n">
        <f aca="false">IF(N(U358)&gt;=1,AA357+1,0)</f>
        <v>0</v>
      </c>
      <c r="AB358" s="38" t="n">
        <f aca="false">IF(N(V358)&gt;=1,AB357+1,0)</f>
        <v>0</v>
      </c>
      <c r="AC358" s="38" t="str">
        <f aca="false">IF(COUNT(E358,F358,I358,J358)=0,"",ROUND((MIN(IFERROR(E358/StepGoal,0),1)*100)*0.2+(MIN(IFERROR(F358/SleepGoal,0),1)*100)*0.2+(IF(L358="",0,IF(L358="Rest Day",100,MIN(IFERROR(M358/60,0),1)*100)))*0.25+(IFERROR(INDEX('Recovery Tracker'!$E$5:$E$369,MATCH(A358,'Recovery Tracker'!$A$5:$A$369,0))+0,70))*0.15+(MIN(IFERROR(I358/WaterGoal,0),1)*100)*0.1+(IF(J358="",0,MAX(0,100-MIN(ABS(J358-CalorieGoal)/CalorieGoal,1)*100)))*0.1,0))</f>
        <v/>
      </c>
    </row>
    <row r="359" customFormat="false" ht="15" hidden="false" customHeight="false" outlineLevel="0" collapsed="false">
      <c r="A359" s="26" t="n">
        <f aca="false">A358+1</f>
        <v>46377</v>
      </c>
      <c r="B359" s="27" t="str">
        <f aca="false">TEXT(A359,"ddd")</f>
        <v>Mon</v>
      </c>
      <c r="C359" s="27" t="n">
        <f aca="false">INT((A359-StartDate)/7)+1</f>
        <v>51</v>
      </c>
      <c r="D359" s="27" t="str">
        <f aca="false">TEXT(A359,"mmm")</f>
        <v>Dec</v>
      </c>
      <c r="E359" s="28"/>
      <c r="F359" s="29"/>
      <c r="G359" s="29"/>
      <c r="H359" s="30"/>
      <c r="I359" s="29"/>
      <c r="J359" s="28"/>
      <c r="K359" s="28"/>
      <c r="L359" s="31"/>
      <c r="M359" s="28"/>
      <c r="N359" s="31"/>
      <c r="O359" s="31"/>
      <c r="P359" s="31"/>
      <c r="Q359" s="31"/>
      <c r="R359" s="31"/>
      <c r="S359" s="32"/>
      <c r="T359" s="33" t="str">
        <f aca="false">IF(E359="","",E359/StepGoal)</f>
        <v/>
      </c>
      <c r="U359" s="33" t="str">
        <f aca="false">IF(F359="","",F359/SleepGoal)</f>
        <v/>
      </c>
      <c r="V359" s="33" t="str">
        <f aca="false">IF(I359="","",I359/WaterGoal)</f>
        <v/>
      </c>
      <c r="W359" s="33" t="str">
        <f aca="false">IF(COUNT(E359,F359,I359)=0,"",(IF(N(T359)&gt;=1,1,0)+IF(N(U359)&gt;=1,1,0)+IF(N(V359)&gt;=1,1,0))/3)</f>
        <v/>
      </c>
      <c r="X359" s="27" t="n">
        <f aca="false">IF(AND(L359&lt;&gt;"",L359&lt;&gt;"Rest Day"),1,0)</f>
        <v>0</v>
      </c>
      <c r="Y359" s="34" t="n">
        <f aca="false">IF(X359=1,Y358+1,0)</f>
        <v>0</v>
      </c>
      <c r="Z359" s="34" t="n">
        <f aca="false">IF(N(T359)&gt;=1,Z358+1,0)</f>
        <v>0</v>
      </c>
      <c r="AA359" s="34" t="n">
        <f aca="false">IF(N(U359)&gt;=1,AA358+1,0)</f>
        <v>0</v>
      </c>
      <c r="AB359" s="34" t="n">
        <f aca="false">IF(N(V359)&gt;=1,AB358+1,0)</f>
        <v>0</v>
      </c>
      <c r="AC359" s="34" t="str">
        <f aca="false">IF(COUNT(E359,F359,I359,J359)=0,"",ROUND((MIN(IFERROR(E359/StepGoal,0),1)*100)*0.2+(MIN(IFERROR(F359/SleepGoal,0),1)*100)*0.2+(IF(L359="",0,IF(L359="Rest Day",100,MIN(IFERROR(M359/60,0),1)*100)))*0.25+(IFERROR(INDEX('Recovery Tracker'!$E$5:$E$369,MATCH(A359,'Recovery Tracker'!$A$5:$A$369,0))+0,70))*0.15+(MIN(IFERROR(I359/WaterGoal,0),1)*100)*0.1+(IF(J359="",0,MAX(0,100-MIN(ABS(J359-CalorieGoal)/CalorieGoal,1)*100)))*0.1,0))</f>
        <v/>
      </c>
    </row>
    <row r="360" customFormat="false" ht="15" hidden="false" customHeight="false" outlineLevel="0" collapsed="false">
      <c r="A360" s="35" t="n">
        <f aca="false">A359+1</f>
        <v>46378</v>
      </c>
      <c r="B360" s="36" t="str">
        <f aca="false">TEXT(A360,"ddd")</f>
        <v>Tue</v>
      </c>
      <c r="C360" s="36" t="n">
        <f aca="false">INT((A360-StartDate)/7)+1</f>
        <v>51</v>
      </c>
      <c r="D360" s="36" t="str">
        <f aca="false">TEXT(A360,"mmm")</f>
        <v>Dec</v>
      </c>
      <c r="E360" s="28"/>
      <c r="F360" s="29"/>
      <c r="G360" s="29"/>
      <c r="H360" s="30"/>
      <c r="I360" s="29"/>
      <c r="J360" s="28"/>
      <c r="K360" s="28"/>
      <c r="L360" s="31"/>
      <c r="M360" s="28"/>
      <c r="N360" s="31"/>
      <c r="O360" s="31"/>
      <c r="P360" s="31"/>
      <c r="Q360" s="31"/>
      <c r="R360" s="31"/>
      <c r="S360" s="32"/>
      <c r="T360" s="37" t="str">
        <f aca="false">IF(E360="","",E360/StepGoal)</f>
        <v/>
      </c>
      <c r="U360" s="37" t="str">
        <f aca="false">IF(F360="","",F360/SleepGoal)</f>
        <v/>
      </c>
      <c r="V360" s="37" t="str">
        <f aca="false">IF(I360="","",I360/WaterGoal)</f>
        <v/>
      </c>
      <c r="W360" s="37" t="str">
        <f aca="false">IF(COUNT(E360,F360,I360)=0,"",(IF(N(T360)&gt;=1,1,0)+IF(N(U360)&gt;=1,1,0)+IF(N(V360)&gt;=1,1,0))/3)</f>
        <v/>
      </c>
      <c r="X360" s="36" t="n">
        <f aca="false">IF(AND(L360&lt;&gt;"",L360&lt;&gt;"Rest Day"),1,0)</f>
        <v>0</v>
      </c>
      <c r="Y360" s="38" t="n">
        <f aca="false">IF(X360=1,Y359+1,0)</f>
        <v>0</v>
      </c>
      <c r="Z360" s="38" t="n">
        <f aca="false">IF(N(T360)&gt;=1,Z359+1,0)</f>
        <v>0</v>
      </c>
      <c r="AA360" s="38" t="n">
        <f aca="false">IF(N(U360)&gt;=1,AA359+1,0)</f>
        <v>0</v>
      </c>
      <c r="AB360" s="38" t="n">
        <f aca="false">IF(N(V360)&gt;=1,AB359+1,0)</f>
        <v>0</v>
      </c>
      <c r="AC360" s="38" t="str">
        <f aca="false">IF(COUNT(E360,F360,I360,J360)=0,"",ROUND((MIN(IFERROR(E360/StepGoal,0),1)*100)*0.2+(MIN(IFERROR(F360/SleepGoal,0),1)*100)*0.2+(IF(L360="",0,IF(L360="Rest Day",100,MIN(IFERROR(M360/60,0),1)*100)))*0.25+(IFERROR(INDEX('Recovery Tracker'!$E$5:$E$369,MATCH(A360,'Recovery Tracker'!$A$5:$A$369,0))+0,70))*0.15+(MIN(IFERROR(I360/WaterGoal,0),1)*100)*0.1+(IF(J360="",0,MAX(0,100-MIN(ABS(J360-CalorieGoal)/CalorieGoal,1)*100)))*0.1,0))</f>
        <v/>
      </c>
    </row>
    <row r="361" customFormat="false" ht="15" hidden="false" customHeight="false" outlineLevel="0" collapsed="false">
      <c r="A361" s="26" t="n">
        <f aca="false">A360+1</f>
        <v>46379</v>
      </c>
      <c r="B361" s="27" t="str">
        <f aca="false">TEXT(A361,"ddd")</f>
        <v>Wed</v>
      </c>
      <c r="C361" s="27" t="n">
        <f aca="false">INT((A361-StartDate)/7)+1</f>
        <v>51</v>
      </c>
      <c r="D361" s="27" t="str">
        <f aca="false">TEXT(A361,"mmm")</f>
        <v>Dec</v>
      </c>
      <c r="E361" s="28"/>
      <c r="F361" s="29"/>
      <c r="G361" s="29"/>
      <c r="H361" s="30"/>
      <c r="I361" s="29"/>
      <c r="J361" s="28"/>
      <c r="K361" s="28"/>
      <c r="L361" s="31"/>
      <c r="M361" s="28"/>
      <c r="N361" s="31"/>
      <c r="O361" s="31"/>
      <c r="P361" s="31"/>
      <c r="Q361" s="31"/>
      <c r="R361" s="31"/>
      <c r="S361" s="32"/>
      <c r="T361" s="33" t="str">
        <f aca="false">IF(E361="","",E361/StepGoal)</f>
        <v/>
      </c>
      <c r="U361" s="33" t="str">
        <f aca="false">IF(F361="","",F361/SleepGoal)</f>
        <v/>
      </c>
      <c r="V361" s="33" t="str">
        <f aca="false">IF(I361="","",I361/WaterGoal)</f>
        <v/>
      </c>
      <c r="W361" s="33" t="str">
        <f aca="false">IF(COUNT(E361,F361,I361)=0,"",(IF(N(T361)&gt;=1,1,0)+IF(N(U361)&gt;=1,1,0)+IF(N(V361)&gt;=1,1,0))/3)</f>
        <v/>
      </c>
      <c r="X361" s="27" t="n">
        <f aca="false">IF(AND(L361&lt;&gt;"",L361&lt;&gt;"Rest Day"),1,0)</f>
        <v>0</v>
      </c>
      <c r="Y361" s="34" t="n">
        <f aca="false">IF(X361=1,Y360+1,0)</f>
        <v>0</v>
      </c>
      <c r="Z361" s="34" t="n">
        <f aca="false">IF(N(T361)&gt;=1,Z360+1,0)</f>
        <v>0</v>
      </c>
      <c r="AA361" s="34" t="n">
        <f aca="false">IF(N(U361)&gt;=1,AA360+1,0)</f>
        <v>0</v>
      </c>
      <c r="AB361" s="34" t="n">
        <f aca="false">IF(N(V361)&gt;=1,AB360+1,0)</f>
        <v>0</v>
      </c>
      <c r="AC361" s="34" t="str">
        <f aca="false">IF(COUNT(E361,F361,I361,J361)=0,"",ROUND((MIN(IFERROR(E361/StepGoal,0),1)*100)*0.2+(MIN(IFERROR(F361/SleepGoal,0),1)*100)*0.2+(IF(L361="",0,IF(L361="Rest Day",100,MIN(IFERROR(M361/60,0),1)*100)))*0.25+(IFERROR(INDEX('Recovery Tracker'!$E$5:$E$369,MATCH(A361,'Recovery Tracker'!$A$5:$A$369,0))+0,70))*0.15+(MIN(IFERROR(I361/WaterGoal,0),1)*100)*0.1+(IF(J361="",0,MAX(0,100-MIN(ABS(J361-CalorieGoal)/CalorieGoal,1)*100)))*0.1,0))</f>
        <v/>
      </c>
    </row>
    <row r="362" customFormat="false" ht="15" hidden="false" customHeight="false" outlineLevel="0" collapsed="false">
      <c r="A362" s="35" t="n">
        <f aca="false">A361+1</f>
        <v>46380</v>
      </c>
      <c r="B362" s="36" t="str">
        <f aca="false">TEXT(A362,"ddd")</f>
        <v>Thu</v>
      </c>
      <c r="C362" s="36" t="n">
        <f aca="false">INT((A362-StartDate)/7)+1</f>
        <v>52</v>
      </c>
      <c r="D362" s="36" t="str">
        <f aca="false">TEXT(A362,"mmm")</f>
        <v>Dec</v>
      </c>
      <c r="E362" s="28"/>
      <c r="F362" s="29"/>
      <c r="G362" s="29"/>
      <c r="H362" s="30"/>
      <c r="I362" s="29"/>
      <c r="J362" s="28"/>
      <c r="K362" s="28"/>
      <c r="L362" s="31"/>
      <c r="M362" s="28"/>
      <c r="N362" s="31"/>
      <c r="O362" s="31"/>
      <c r="P362" s="31"/>
      <c r="Q362" s="31"/>
      <c r="R362" s="31"/>
      <c r="S362" s="32"/>
      <c r="T362" s="37" t="str">
        <f aca="false">IF(E362="","",E362/StepGoal)</f>
        <v/>
      </c>
      <c r="U362" s="37" t="str">
        <f aca="false">IF(F362="","",F362/SleepGoal)</f>
        <v/>
      </c>
      <c r="V362" s="37" t="str">
        <f aca="false">IF(I362="","",I362/WaterGoal)</f>
        <v/>
      </c>
      <c r="W362" s="37" t="str">
        <f aca="false">IF(COUNT(E362,F362,I362)=0,"",(IF(N(T362)&gt;=1,1,0)+IF(N(U362)&gt;=1,1,0)+IF(N(V362)&gt;=1,1,0))/3)</f>
        <v/>
      </c>
      <c r="X362" s="36" t="n">
        <f aca="false">IF(AND(L362&lt;&gt;"",L362&lt;&gt;"Rest Day"),1,0)</f>
        <v>0</v>
      </c>
      <c r="Y362" s="38" t="n">
        <f aca="false">IF(X362=1,Y361+1,0)</f>
        <v>0</v>
      </c>
      <c r="Z362" s="38" t="n">
        <f aca="false">IF(N(T362)&gt;=1,Z361+1,0)</f>
        <v>0</v>
      </c>
      <c r="AA362" s="38" t="n">
        <f aca="false">IF(N(U362)&gt;=1,AA361+1,0)</f>
        <v>0</v>
      </c>
      <c r="AB362" s="38" t="n">
        <f aca="false">IF(N(V362)&gt;=1,AB361+1,0)</f>
        <v>0</v>
      </c>
      <c r="AC362" s="38" t="str">
        <f aca="false">IF(COUNT(E362,F362,I362,J362)=0,"",ROUND((MIN(IFERROR(E362/StepGoal,0),1)*100)*0.2+(MIN(IFERROR(F362/SleepGoal,0),1)*100)*0.2+(IF(L362="",0,IF(L362="Rest Day",100,MIN(IFERROR(M362/60,0),1)*100)))*0.25+(IFERROR(INDEX('Recovery Tracker'!$E$5:$E$369,MATCH(A362,'Recovery Tracker'!$A$5:$A$369,0))+0,70))*0.15+(MIN(IFERROR(I362/WaterGoal,0),1)*100)*0.1+(IF(J362="",0,MAX(0,100-MIN(ABS(J362-CalorieGoal)/CalorieGoal,1)*100)))*0.1,0))</f>
        <v/>
      </c>
    </row>
    <row r="363" customFormat="false" ht="15" hidden="false" customHeight="false" outlineLevel="0" collapsed="false">
      <c r="A363" s="26" t="n">
        <f aca="false">A362+1</f>
        <v>46381</v>
      </c>
      <c r="B363" s="27" t="str">
        <f aca="false">TEXT(A363,"ddd")</f>
        <v>Fri</v>
      </c>
      <c r="C363" s="27" t="n">
        <f aca="false">INT((A363-StartDate)/7)+1</f>
        <v>52</v>
      </c>
      <c r="D363" s="27" t="str">
        <f aca="false">TEXT(A363,"mmm")</f>
        <v>Dec</v>
      </c>
      <c r="E363" s="28"/>
      <c r="F363" s="29"/>
      <c r="G363" s="29"/>
      <c r="H363" s="30"/>
      <c r="I363" s="29"/>
      <c r="J363" s="28"/>
      <c r="K363" s="28"/>
      <c r="L363" s="31"/>
      <c r="M363" s="28"/>
      <c r="N363" s="31"/>
      <c r="O363" s="31"/>
      <c r="P363" s="31"/>
      <c r="Q363" s="31"/>
      <c r="R363" s="31"/>
      <c r="S363" s="32"/>
      <c r="T363" s="33" t="str">
        <f aca="false">IF(E363="","",E363/StepGoal)</f>
        <v/>
      </c>
      <c r="U363" s="33" t="str">
        <f aca="false">IF(F363="","",F363/SleepGoal)</f>
        <v/>
      </c>
      <c r="V363" s="33" t="str">
        <f aca="false">IF(I363="","",I363/WaterGoal)</f>
        <v/>
      </c>
      <c r="W363" s="33" t="str">
        <f aca="false">IF(COUNT(E363,F363,I363)=0,"",(IF(N(T363)&gt;=1,1,0)+IF(N(U363)&gt;=1,1,0)+IF(N(V363)&gt;=1,1,0))/3)</f>
        <v/>
      </c>
      <c r="X363" s="27" t="n">
        <f aca="false">IF(AND(L363&lt;&gt;"",L363&lt;&gt;"Rest Day"),1,0)</f>
        <v>0</v>
      </c>
      <c r="Y363" s="34" t="n">
        <f aca="false">IF(X363=1,Y362+1,0)</f>
        <v>0</v>
      </c>
      <c r="Z363" s="34" t="n">
        <f aca="false">IF(N(T363)&gt;=1,Z362+1,0)</f>
        <v>0</v>
      </c>
      <c r="AA363" s="34" t="n">
        <f aca="false">IF(N(U363)&gt;=1,AA362+1,0)</f>
        <v>0</v>
      </c>
      <c r="AB363" s="34" t="n">
        <f aca="false">IF(N(V363)&gt;=1,AB362+1,0)</f>
        <v>0</v>
      </c>
      <c r="AC363" s="34" t="str">
        <f aca="false">IF(COUNT(E363,F363,I363,J363)=0,"",ROUND((MIN(IFERROR(E363/StepGoal,0),1)*100)*0.2+(MIN(IFERROR(F363/SleepGoal,0),1)*100)*0.2+(IF(L363="",0,IF(L363="Rest Day",100,MIN(IFERROR(M363/60,0),1)*100)))*0.25+(IFERROR(INDEX('Recovery Tracker'!$E$5:$E$369,MATCH(A363,'Recovery Tracker'!$A$5:$A$369,0))+0,70))*0.15+(MIN(IFERROR(I363/WaterGoal,0),1)*100)*0.1+(IF(J363="",0,MAX(0,100-MIN(ABS(J363-CalorieGoal)/CalorieGoal,1)*100)))*0.1,0))</f>
        <v/>
      </c>
    </row>
    <row r="364" customFormat="false" ht="15" hidden="false" customHeight="false" outlineLevel="0" collapsed="false">
      <c r="A364" s="35" t="n">
        <f aca="false">A363+1</f>
        <v>46382</v>
      </c>
      <c r="B364" s="36" t="str">
        <f aca="false">TEXT(A364,"ddd")</f>
        <v>Sat</v>
      </c>
      <c r="C364" s="36" t="n">
        <f aca="false">INT((A364-StartDate)/7)+1</f>
        <v>52</v>
      </c>
      <c r="D364" s="36" t="str">
        <f aca="false">TEXT(A364,"mmm")</f>
        <v>Dec</v>
      </c>
      <c r="E364" s="28"/>
      <c r="F364" s="29"/>
      <c r="G364" s="29"/>
      <c r="H364" s="30"/>
      <c r="I364" s="29"/>
      <c r="J364" s="28"/>
      <c r="K364" s="28"/>
      <c r="L364" s="31"/>
      <c r="M364" s="28"/>
      <c r="N364" s="31"/>
      <c r="O364" s="31"/>
      <c r="P364" s="31"/>
      <c r="Q364" s="31"/>
      <c r="R364" s="31"/>
      <c r="S364" s="32"/>
      <c r="T364" s="37" t="str">
        <f aca="false">IF(E364="","",E364/StepGoal)</f>
        <v/>
      </c>
      <c r="U364" s="37" t="str">
        <f aca="false">IF(F364="","",F364/SleepGoal)</f>
        <v/>
      </c>
      <c r="V364" s="37" t="str">
        <f aca="false">IF(I364="","",I364/WaterGoal)</f>
        <v/>
      </c>
      <c r="W364" s="37" t="str">
        <f aca="false">IF(COUNT(E364,F364,I364)=0,"",(IF(N(T364)&gt;=1,1,0)+IF(N(U364)&gt;=1,1,0)+IF(N(V364)&gt;=1,1,0))/3)</f>
        <v/>
      </c>
      <c r="X364" s="36" t="n">
        <f aca="false">IF(AND(L364&lt;&gt;"",L364&lt;&gt;"Rest Day"),1,0)</f>
        <v>0</v>
      </c>
      <c r="Y364" s="38" t="n">
        <f aca="false">IF(X364=1,Y363+1,0)</f>
        <v>0</v>
      </c>
      <c r="Z364" s="38" t="n">
        <f aca="false">IF(N(T364)&gt;=1,Z363+1,0)</f>
        <v>0</v>
      </c>
      <c r="AA364" s="38" t="n">
        <f aca="false">IF(N(U364)&gt;=1,AA363+1,0)</f>
        <v>0</v>
      </c>
      <c r="AB364" s="38" t="n">
        <f aca="false">IF(N(V364)&gt;=1,AB363+1,0)</f>
        <v>0</v>
      </c>
      <c r="AC364" s="38" t="str">
        <f aca="false">IF(COUNT(E364,F364,I364,J364)=0,"",ROUND((MIN(IFERROR(E364/StepGoal,0),1)*100)*0.2+(MIN(IFERROR(F364/SleepGoal,0),1)*100)*0.2+(IF(L364="",0,IF(L364="Rest Day",100,MIN(IFERROR(M364/60,0),1)*100)))*0.25+(IFERROR(INDEX('Recovery Tracker'!$E$5:$E$369,MATCH(A364,'Recovery Tracker'!$A$5:$A$369,0))+0,70))*0.15+(MIN(IFERROR(I364/WaterGoal,0),1)*100)*0.1+(IF(J364="",0,MAX(0,100-MIN(ABS(J364-CalorieGoal)/CalorieGoal,1)*100)))*0.1,0))</f>
        <v/>
      </c>
    </row>
    <row r="365" customFormat="false" ht="15" hidden="false" customHeight="false" outlineLevel="0" collapsed="false">
      <c r="A365" s="26" t="n">
        <f aca="false">A364+1</f>
        <v>46383</v>
      </c>
      <c r="B365" s="27" t="str">
        <f aca="false">TEXT(A365,"ddd")</f>
        <v>Sun</v>
      </c>
      <c r="C365" s="27" t="n">
        <f aca="false">INT((A365-StartDate)/7)+1</f>
        <v>52</v>
      </c>
      <c r="D365" s="27" t="str">
        <f aca="false">TEXT(A365,"mmm")</f>
        <v>Dec</v>
      </c>
      <c r="E365" s="28"/>
      <c r="F365" s="29"/>
      <c r="G365" s="29"/>
      <c r="H365" s="30"/>
      <c r="I365" s="29"/>
      <c r="J365" s="28"/>
      <c r="K365" s="28"/>
      <c r="L365" s="31"/>
      <c r="M365" s="28"/>
      <c r="N365" s="31"/>
      <c r="O365" s="31"/>
      <c r="P365" s="31"/>
      <c r="Q365" s="31"/>
      <c r="R365" s="31"/>
      <c r="S365" s="32"/>
      <c r="T365" s="33" t="str">
        <f aca="false">IF(E365="","",E365/StepGoal)</f>
        <v/>
      </c>
      <c r="U365" s="33" t="str">
        <f aca="false">IF(F365="","",F365/SleepGoal)</f>
        <v/>
      </c>
      <c r="V365" s="33" t="str">
        <f aca="false">IF(I365="","",I365/WaterGoal)</f>
        <v/>
      </c>
      <c r="W365" s="33" t="str">
        <f aca="false">IF(COUNT(E365,F365,I365)=0,"",(IF(N(T365)&gt;=1,1,0)+IF(N(U365)&gt;=1,1,0)+IF(N(V365)&gt;=1,1,0))/3)</f>
        <v/>
      </c>
      <c r="X365" s="27" t="n">
        <f aca="false">IF(AND(L365&lt;&gt;"",L365&lt;&gt;"Rest Day"),1,0)</f>
        <v>0</v>
      </c>
      <c r="Y365" s="34" t="n">
        <f aca="false">IF(X365=1,Y364+1,0)</f>
        <v>0</v>
      </c>
      <c r="Z365" s="34" t="n">
        <f aca="false">IF(N(T365)&gt;=1,Z364+1,0)</f>
        <v>0</v>
      </c>
      <c r="AA365" s="34" t="n">
        <f aca="false">IF(N(U365)&gt;=1,AA364+1,0)</f>
        <v>0</v>
      </c>
      <c r="AB365" s="34" t="n">
        <f aca="false">IF(N(V365)&gt;=1,AB364+1,0)</f>
        <v>0</v>
      </c>
      <c r="AC365" s="34" t="str">
        <f aca="false">IF(COUNT(E365,F365,I365,J365)=0,"",ROUND((MIN(IFERROR(E365/StepGoal,0),1)*100)*0.2+(MIN(IFERROR(F365/SleepGoal,0),1)*100)*0.2+(IF(L365="",0,IF(L365="Rest Day",100,MIN(IFERROR(M365/60,0),1)*100)))*0.25+(IFERROR(INDEX('Recovery Tracker'!$E$5:$E$369,MATCH(A365,'Recovery Tracker'!$A$5:$A$369,0))+0,70))*0.15+(MIN(IFERROR(I365/WaterGoal,0),1)*100)*0.1+(IF(J365="",0,MAX(0,100-MIN(ABS(J365-CalorieGoal)/CalorieGoal,1)*100)))*0.1,0))</f>
        <v/>
      </c>
    </row>
    <row r="366" customFormat="false" ht="15" hidden="false" customHeight="false" outlineLevel="0" collapsed="false">
      <c r="A366" s="35" t="n">
        <f aca="false">A365+1</f>
        <v>46384</v>
      </c>
      <c r="B366" s="36" t="str">
        <f aca="false">TEXT(A366,"ddd")</f>
        <v>Mon</v>
      </c>
      <c r="C366" s="36" t="n">
        <f aca="false">INT((A366-StartDate)/7)+1</f>
        <v>52</v>
      </c>
      <c r="D366" s="36" t="str">
        <f aca="false">TEXT(A366,"mmm")</f>
        <v>Dec</v>
      </c>
      <c r="E366" s="28"/>
      <c r="F366" s="29"/>
      <c r="G366" s="29"/>
      <c r="H366" s="30"/>
      <c r="I366" s="29"/>
      <c r="J366" s="28"/>
      <c r="K366" s="28"/>
      <c r="L366" s="31"/>
      <c r="M366" s="28"/>
      <c r="N366" s="31"/>
      <c r="O366" s="31"/>
      <c r="P366" s="31"/>
      <c r="Q366" s="31"/>
      <c r="R366" s="31"/>
      <c r="S366" s="32"/>
      <c r="T366" s="37" t="str">
        <f aca="false">IF(E366="","",E366/StepGoal)</f>
        <v/>
      </c>
      <c r="U366" s="37" t="str">
        <f aca="false">IF(F366="","",F366/SleepGoal)</f>
        <v/>
      </c>
      <c r="V366" s="37" t="str">
        <f aca="false">IF(I366="","",I366/WaterGoal)</f>
        <v/>
      </c>
      <c r="W366" s="37" t="str">
        <f aca="false">IF(COUNT(E366,F366,I366)=0,"",(IF(N(T366)&gt;=1,1,0)+IF(N(U366)&gt;=1,1,0)+IF(N(V366)&gt;=1,1,0))/3)</f>
        <v/>
      </c>
      <c r="X366" s="36" t="n">
        <f aca="false">IF(AND(L366&lt;&gt;"",L366&lt;&gt;"Rest Day"),1,0)</f>
        <v>0</v>
      </c>
      <c r="Y366" s="38" t="n">
        <f aca="false">IF(X366=1,Y365+1,0)</f>
        <v>0</v>
      </c>
      <c r="Z366" s="38" t="n">
        <f aca="false">IF(N(T366)&gt;=1,Z365+1,0)</f>
        <v>0</v>
      </c>
      <c r="AA366" s="38" t="n">
        <f aca="false">IF(N(U366)&gt;=1,AA365+1,0)</f>
        <v>0</v>
      </c>
      <c r="AB366" s="38" t="n">
        <f aca="false">IF(N(V366)&gt;=1,AB365+1,0)</f>
        <v>0</v>
      </c>
      <c r="AC366" s="38" t="str">
        <f aca="false">IF(COUNT(E366,F366,I366,J366)=0,"",ROUND((MIN(IFERROR(E366/StepGoal,0),1)*100)*0.2+(MIN(IFERROR(F366/SleepGoal,0),1)*100)*0.2+(IF(L366="",0,IF(L366="Rest Day",100,MIN(IFERROR(M366/60,0),1)*100)))*0.25+(IFERROR(INDEX('Recovery Tracker'!$E$5:$E$369,MATCH(A366,'Recovery Tracker'!$A$5:$A$369,0))+0,70))*0.15+(MIN(IFERROR(I366/WaterGoal,0),1)*100)*0.1+(IF(J366="",0,MAX(0,100-MIN(ABS(J366-CalorieGoal)/CalorieGoal,1)*100)))*0.1,0))</f>
        <v/>
      </c>
    </row>
    <row r="367" customFormat="false" ht="15" hidden="false" customHeight="false" outlineLevel="0" collapsed="false">
      <c r="A367" s="26" t="n">
        <f aca="false">A366+1</f>
        <v>46385</v>
      </c>
      <c r="B367" s="27" t="str">
        <f aca="false">TEXT(A367,"ddd")</f>
        <v>Tue</v>
      </c>
      <c r="C367" s="27" t="n">
        <f aca="false">INT((A367-StartDate)/7)+1</f>
        <v>52</v>
      </c>
      <c r="D367" s="27" t="str">
        <f aca="false">TEXT(A367,"mmm")</f>
        <v>Dec</v>
      </c>
      <c r="E367" s="28"/>
      <c r="F367" s="29"/>
      <c r="G367" s="29"/>
      <c r="H367" s="30"/>
      <c r="I367" s="29"/>
      <c r="J367" s="28"/>
      <c r="K367" s="28"/>
      <c r="L367" s="31"/>
      <c r="M367" s="28"/>
      <c r="N367" s="31"/>
      <c r="O367" s="31"/>
      <c r="P367" s="31"/>
      <c r="Q367" s="31"/>
      <c r="R367" s="31"/>
      <c r="S367" s="32"/>
      <c r="T367" s="33" t="str">
        <f aca="false">IF(E367="","",E367/StepGoal)</f>
        <v/>
      </c>
      <c r="U367" s="33" t="str">
        <f aca="false">IF(F367="","",F367/SleepGoal)</f>
        <v/>
      </c>
      <c r="V367" s="33" t="str">
        <f aca="false">IF(I367="","",I367/WaterGoal)</f>
        <v/>
      </c>
      <c r="W367" s="33" t="str">
        <f aca="false">IF(COUNT(E367,F367,I367)=0,"",(IF(N(T367)&gt;=1,1,0)+IF(N(U367)&gt;=1,1,0)+IF(N(V367)&gt;=1,1,0))/3)</f>
        <v/>
      </c>
      <c r="X367" s="27" t="n">
        <f aca="false">IF(AND(L367&lt;&gt;"",L367&lt;&gt;"Rest Day"),1,0)</f>
        <v>0</v>
      </c>
      <c r="Y367" s="34" t="n">
        <f aca="false">IF(X367=1,Y366+1,0)</f>
        <v>0</v>
      </c>
      <c r="Z367" s="34" t="n">
        <f aca="false">IF(N(T367)&gt;=1,Z366+1,0)</f>
        <v>0</v>
      </c>
      <c r="AA367" s="34" t="n">
        <f aca="false">IF(N(U367)&gt;=1,AA366+1,0)</f>
        <v>0</v>
      </c>
      <c r="AB367" s="34" t="n">
        <f aca="false">IF(N(V367)&gt;=1,AB366+1,0)</f>
        <v>0</v>
      </c>
      <c r="AC367" s="34" t="str">
        <f aca="false">IF(COUNT(E367,F367,I367,J367)=0,"",ROUND((MIN(IFERROR(E367/StepGoal,0),1)*100)*0.2+(MIN(IFERROR(F367/SleepGoal,0),1)*100)*0.2+(IF(L367="",0,IF(L367="Rest Day",100,MIN(IFERROR(M367/60,0),1)*100)))*0.25+(IFERROR(INDEX('Recovery Tracker'!$E$5:$E$369,MATCH(A367,'Recovery Tracker'!$A$5:$A$369,0))+0,70))*0.15+(MIN(IFERROR(I367/WaterGoal,0),1)*100)*0.1+(IF(J367="",0,MAX(0,100-MIN(ABS(J367-CalorieGoal)/CalorieGoal,1)*100)))*0.1,0))</f>
        <v/>
      </c>
    </row>
    <row r="368" customFormat="false" ht="15" hidden="false" customHeight="false" outlineLevel="0" collapsed="false">
      <c r="A368" s="35" t="n">
        <f aca="false">A367+1</f>
        <v>46386</v>
      </c>
      <c r="B368" s="36" t="str">
        <f aca="false">TEXT(A368,"ddd")</f>
        <v>Wed</v>
      </c>
      <c r="C368" s="36" t="n">
        <f aca="false">INT((A368-StartDate)/7)+1</f>
        <v>52</v>
      </c>
      <c r="D368" s="36" t="str">
        <f aca="false">TEXT(A368,"mmm")</f>
        <v>Dec</v>
      </c>
      <c r="E368" s="28"/>
      <c r="F368" s="29"/>
      <c r="G368" s="29"/>
      <c r="H368" s="30"/>
      <c r="I368" s="29"/>
      <c r="J368" s="28"/>
      <c r="K368" s="28"/>
      <c r="L368" s="31"/>
      <c r="M368" s="28"/>
      <c r="N368" s="31"/>
      <c r="O368" s="31"/>
      <c r="P368" s="31"/>
      <c r="Q368" s="31"/>
      <c r="R368" s="31"/>
      <c r="S368" s="32"/>
      <c r="T368" s="37" t="str">
        <f aca="false">IF(E368="","",E368/StepGoal)</f>
        <v/>
      </c>
      <c r="U368" s="37" t="str">
        <f aca="false">IF(F368="","",F368/SleepGoal)</f>
        <v/>
      </c>
      <c r="V368" s="37" t="str">
        <f aca="false">IF(I368="","",I368/WaterGoal)</f>
        <v/>
      </c>
      <c r="W368" s="37" t="str">
        <f aca="false">IF(COUNT(E368,F368,I368)=0,"",(IF(N(T368)&gt;=1,1,0)+IF(N(U368)&gt;=1,1,0)+IF(N(V368)&gt;=1,1,0))/3)</f>
        <v/>
      </c>
      <c r="X368" s="36" t="n">
        <f aca="false">IF(AND(L368&lt;&gt;"",L368&lt;&gt;"Rest Day"),1,0)</f>
        <v>0</v>
      </c>
      <c r="Y368" s="38" t="n">
        <f aca="false">IF(X368=1,Y367+1,0)</f>
        <v>0</v>
      </c>
      <c r="Z368" s="38" t="n">
        <f aca="false">IF(N(T368)&gt;=1,Z367+1,0)</f>
        <v>0</v>
      </c>
      <c r="AA368" s="38" t="n">
        <f aca="false">IF(N(U368)&gt;=1,AA367+1,0)</f>
        <v>0</v>
      </c>
      <c r="AB368" s="38" t="n">
        <f aca="false">IF(N(V368)&gt;=1,AB367+1,0)</f>
        <v>0</v>
      </c>
      <c r="AC368" s="38" t="str">
        <f aca="false">IF(COUNT(E368,F368,I368,J368)=0,"",ROUND((MIN(IFERROR(E368/StepGoal,0),1)*100)*0.2+(MIN(IFERROR(F368/SleepGoal,0),1)*100)*0.2+(IF(L368="",0,IF(L368="Rest Day",100,MIN(IFERROR(M368/60,0),1)*100)))*0.25+(IFERROR(INDEX('Recovery Tracker'!$E$5:$E$369,MATCH(A368,'Recovery Tracker'!$A$5:$A$369,0))+0,70))*0.15+(MIN(IFERROR(I368/WaterGoal,0),1)*100)*0.1+(IF(J368="",0,MAX(0,100-MIN(ABS(J368-CalorieGoal)/CalorieGoal,1)*100)))*0.1,0))</f>
        <v/>
      </c>
    </row>
    <row r="369" customFormat="false" ht="15" hidden="false" customHeight="false" outlineLevel="0" collapsed="false">
      <c r="A369" s="26" t="n">
        <f aca="false">A368+1</f>
        <v>46387</v>
      </c>
      <c r="B369" s="27" t="str">
        <f aca="false">TEXT(A369,"ddd")</f>
        <v>Thu</v>
      </c>
      <c r="C369" s="27" t="n">
        <f aca="false">INT((A369-StartDate)/7)+1</f>
        <v>53</v>
      </c>
      <c r="D369" s="27" t="str">
        <f aca="false">TEXT(A369,"mmm")</f>
        <v>Dec</v>
      </c>
      <c r="E369" s="28"/>
      <c r="F369" s="29"/>
      <c r="G369" s="29"/>
      <c r="H369" s="30"/>
      <c r="I369" s="29"/>
      <c r="J369" s="28"/>
      <c r="K369" s="28"/>
      <c r="L369" s="31"/>
      <c r="M369" s="28"/>
      <c r="N369" s="31"/>
      <c r="O369" s="31"/>
      <c r="P369" s="31"/>
      <c r="Q369" s="31"/>
      <c r="R369" s="31"/>
      <c r="S369" s="32"/>
      <c r="T369" s="33" t="str">
        <f aca="false">IF(E369="","",E369/StepGoal)</f>
        <v/>
      </c>
      <c r="U369" s="33" t="str">
        <f aca="false">IF(F369="","",F369/SleepGoal)</f>
        <v/>
      </c>
      <c r="V369" s="33" t="str">
        <f aca="false">IF(I369="","",I369/WaterGoal)</f>
        <v/>
      </c>
      <c r="W369" s="33" t="str">
        <f aca="false">IF(COUNT(E369,F369,I369)=0,"",(IF(N(T369)&gt;=1,1,0)+IF(N(U369)&gt;=1,1,0)+IF(N(V369)&gt;=1,1,0))/3)</f>
        <v/>
      </c>
      <c r="X369" s="27" t="n">
        <f aca="false">IF(AND(L369&lt;&gt;"",L369&lt;&gt;"Rest Day"),1,0)</f>
        <v>0</v>
      </c>
      <c r="Y369" s="34" t="n">
        <f aca="false">IF(X369=1,Y368+1,0)</f>
        <v>0</v>
      </c>
      <c r="Z369" s="34" t="n">
        <f aca="false">IF(N(T369)&gt;=1,Z368+1,0)</f>
        <v>0</v>
      </c>
      <c r="AA369" s="34" t="n">
        <f aca="false">IF(N(U369)&gt;=1,AA368+1,0)</f>
        <v>0</v>
      </c>
      <c r="AB369" s="34" t="n">
        <f aca="false">IF(N(V369)&gt;=1,AB368+1,0)</f>
        <v>0</v>
      </c>
      <c r="AC369" s="34" t="str">
        <f aca="false">IF(COUNT(E369,F369,I369,J369)=0,"",ROUND((MIN(IFERROR(E369/StepGoal,0),1)*100)*0.2+(MIN(IFERROR(F369/SleepGoal,0),1)*100)*0.2+(IF(L369="",0,IF(L369="Rest Day",100,MIN(IFERROR(M369/60,0),1)*100)))*0.25+(IFERROR(INDEX('Recovery Tracker'!$E$5:$E$369,MATCH(A369,'Recovery Tracker'!$A$5:$A$369,0))+0,70))*0.15+(MIN(IFERROR(I369/WaterGoal,0),1)*100)*0.1+(IF(J369="",0,MAX(0,100-MIN(ABS(J369-CalorieGoal)/CalorieGoal,1)*100)))*0.1,0))</f>
        <v/>
      </c>
    </row>
  </sheetData>
  <mergeCells count="12">
    <mergeCell ref="A1:AC1"/>
    <mergeCell ref="A2:AC2"/>
    <mergeCell ref="AE4:AG4"/>
    <mergeCell ref="AE6:AF6"/>
    <mergeCell ref="AE7:AF7"/>
    <mergeCell ref="AE8:AF8"/>
    <mergeCell ref="AE9:AF9"/>
    <mergeCell ref="AE10:AF10"/>
    <mergeCell ref="AE11:AF11"/>
    <mergeCell ref="AE12:AF12"/>
    <mergeCell ref="AE13:AF13"/>
    <mergeCell ref="AE14:AF14"/>
  </mergeCells>
  <conditionalFormatting sqref="T5:T369">
    <cfRule type="colorScale" priority="2">
      <colorScale>
        <cfvo type="num" val="0"/>
        <cfvo type="num" val="0.8"/>
        <cfvo type="num" val="1"/>
        <color rgb="FFF8696B"/>
        <color rgb="FFFFEB84"/>
        <color rgb="FF63BE7B"/>
      </colorScale>
    </cfRule>
  </conditionalFormatting>
  <conditionalFormatting sqref="U5:U369">
    <cfRule type="colorScale" priority="3">
      <colorScale>
        <cfvo type="num" val="0"/>
        <cfvo type="num" val="0.8"/>
        <cfvo type="num" val="1"/>
        <color rgb="FFF8696B"/>
        <color rgb="FFFFEB84"/>
        <color rgb="FF63BE7B"/>
      </colorScale>
    </cfRule>
  </conditionalFormatting>
  <conditionalFormatting sqref="V5:V369">
    <cfRule type="colorScale" priority="4">
      <colorScale>
        <cfvo type="num" val="0"/>
        <cfvo type="num" val="0.8"/>
        <cfvo type="num" val="1"/>
        <color rgb="FFF8696B"/>
        <color rgb="FFFFEB84"/>
        <color rgb="FF63BE7B"/>
      </colorScale>
    </cfRule>
  </conditionalFormatting>
  <conditionalFormatting sqref="W5:W369">
    <cfRule type="colorScale" priority="5">
      <colorScale>
        <cfvo type="num" val="0"/>
        <cfvo type="num" val="0.8"/>
        <cfvo type="num" val="1"/>
        <color rgb="FFF8696B"/>
        <color rgb="FFFFEB84"/>
        <color rgb="FF63BE7B"/>
      </colorScale>
    </cfRule>
  </conditionalFormatting>
  <conditionalFormatting sqref="AC5:AC369">
    <cfRule type="colorScale" priority="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Y5:Y369">
    <cfRule type="dataBar" priority="7">
      <dataBar showValue="1" minLength="10" maxLength="90">
        <cfvo type="num" val="0"/>
        <cfvo type="num" val="30"/>
        <color rgb="FF3B82F6"/>
      </dataBar>
      <extLst>
        <ext xmlns:x14="http://schemas.microsoft.com/office/spreadsheetml/2009/9/main" uri="{B025F937-C7B1-47D3-B67F-A62EFF666E3E}">
          <x14:id>{6F97876F-1F89-4396-8429-7CC3103FED1C}</x14:id>
        </ext>
      </extLst>
    </cfRule>
  </conditionalFormatting>
  <dataValidations count="6">
    <dataValidation allowBlank="true" errorStyle="stop" operator="between" showDropDown="false" showErrorMessage="false" showInputMessage="false" sqref="L5:L369" type="list">
      <formula1>WorkoutTypeList</formula1>
      <formula2>0</formula2>
    </dataValidation>
    <dataValidation allowBlank="true" errorStyle="stop" operator="between" showDropDown="false" showErrorMessage="false" showInputMessage="false" sqref="N5:N369" type="list">
      <formula1>"1,2,3,4,5,6,7,8,9,10"</formula1>
      <formula2>0</formula2>
    </dataValidation>
    <dataValidation allowBlank="true" errorStyle="stop" operator="between" showDropDown="false" showErrorMessage="false" showInputMessage="false" sqref="O5:O369" type="list">
      <formula1>"1,2,3,4,5"</formula1>
      <formula2>0</formula2>
    </dataValidation>
    <dataValidation allowBlank="true" errorStyle="stop" operator="between" showDropDown="false" showErrorMessage="false" showInputMessage="false" sqref="P5:P369" type="list">
      <formula1>"1,2,3,4,5"</formula1>
      <formula2>0</formula2>
    </dataValidation>
    <dataValidation allowBlank="true" errorStyle="stop" operator="between" showDropDown="false" showErrorMessage="false" showInputMessage="false" sqref="Q5:Q369" type="list">
      <formula1>"1,2,3,4,5"</formula1>
      <formula2>0</formula2>
    </dataValidation>
    <dataValidation allowBlank="true" errorStyle="stop" operator="between" showDropDown="false" showErrorMessage="false" showInputMessage="false" sqref="R5:R369" type="list">
      <formula1>"1,2,3,4,5"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&amp;N&amp;R&amp;F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97876F-1F89-4396-8429-7CC3103FED1C}">
            <x14:dataBar minLength="10" maxLength="90" axisPosition="none" gradient="true">
              <x14:cfvo type="num">
                <xm:f>0</xm:f>
              </x14:cfvo>
              <x14:cfvo type="num">
                <xm:f>30</xm:f>
              </x14:cfvo>
              <x14:negativeFillColor rgb="FF3B82F6"/>
              <x14:axisColor rgb="FF000000"/>
            </x14:dataBar>
          </x14:cfRule>
          <xm:sqref>Y5:Y369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Y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5" min="4" style="0" width="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9"/>
    <col collapsed="false" customWidth="true" hidden="true" outlineLevel="0" max="12" min="12" style="0" width="6"/>
    <col collapsed="false" customWidth="true" hidden="true" outlineLevel="0" max="13" min="13" style="0" width="7"/>
    <col collapsed="false" customWidth="true" hidden="false" outlineLevel="0" max="15" min="14" style="0" width="9"/>
    <col collapsed="false" customWidth="true" hidden="false" outlineLevel="0" max="16" min="16" style="0" width="10"/>
    <col collapsed="false" customWidth="true" hidden="true" outlineLevel="0" max="25" min="22" style="0" width="11"/>
  </cols>
  <sheetData>
    <row r="1" customFormat="false" ht="39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6" hidden="false" customHeight="true" outlineLevel="0" collapsed="false"/>
    <row r="4" customFormat="false" ht="21.75" hidden="false" customHeight="true" outlineLevel="0" collapsed="false">
      <c r="A4" s="24" t="s">
        <v>37</v>
      </c>
      <c r="B4" s="24" t="s">
        <v>48</v>
      </c>
      <c r="C4" s="24" t="s">
        <v>80</v>
      </c>
      <c r="D4" s="24" t="s">
        <v>81</v>
      </c>
      <c r="E4" s="24" t="s">
        <v>82</v>
      </c>
      <c r="F4" s="24" t="s">
        <v>83</v>
      </c>
      <c r="G4" s="24" t="s">
        <v>84</v>
      </c>
      <c r="H4" s="24" t="s">
        <v>50</v>
      </c>
      <c r="I4" s="24" t="s">
        <v>85</v>
      </c>
      <c r="J4" s="24" t="s">
        <v>55</v>
      </c>
      <c r="K4" s="24" t="s">
        <v>86</v>
      </c>
      <c r="L4" s="24" t="s">
        <v>39</v>
      </c>
      <c r="M4" s="24" t="s">
        <v>40</v>
      </c>
      <c r="N4" s="24" t="s">
        <v>87</v>
      </c>
      <c r="O4" s="24" t="s">
        <v>88</v>
      </c>
      <c r="P4" s="24" t="s">
        <v>89</v>
      </c>
      <c r="R4" s="25" t="s">
        <v>90</v>
      </c>
      <c r="S4" s="25"/>
      <c r="T4" s="25"/>
      <c r="V4" s="24" t="s">
        <v>91</v>
      </c>
      <c r="W4" s="24" t="s">
        <v>92</v>
      </c>
      <c r="X4" s="24" t="s">
        <v>93</v>
      </c>
      <c r="Y4" s="24" t="s">
        <v>94</v>
      </c>
    </row>
    <row r="5" customFormat="false" ht="15" hidden="false" customHeight="false" outlineLevel="0" collapsed="false">
      <c r="A5" s="45" t="n">
        <v>46023</v>
      </c>
      <c r="B5" s="31" t="s">
        <v>67</v>
      </c>
      <c r="C5" s="32" t="s">
        <v>95</v>
      </c>
      <c r="D5" s="31" t="n">
        <v>5</v>
      </c>
      <c r="E5" s="31" t="n">
        <v>5</v>
      </c>
      <c r="F5" s="29" t="n">
        <v>120</v>
      </c>
      <c r="G5" s="29" t="n">
        <f aca="false">IF(OR(D5="",E5="",F5=""),"",D5*E5*F5)</f>
        <v>3000</v>
      </c>
      <c r="H5" s="31" t="n">
        <v>8</v>
      </c>
      <c r="I5" s="46" t="str">
        <f aca="false">IF(OR(C5="",K5=""),"","Yes")</f>
        <v>Yes</v>
      </c>
      <c r="J5" s="32" t="s">
        <v>96</v>
      </c>
      <c r="K5" s="47" t="n">
        <f aca="false">IF(OR(E5="",F5=""),"",F5*(1+E5/30))</f>
        <v>140</v>
      </c>
      <c r="L5" s="27" t="n">
        <f aca="false">IF(A5="","",INT((A5-StartDate)/7)+1)</f>
        <v>1</v>
      </c>
      <c r="M5" s="27" t="str">
        <f aca="false">IF(A5="","",TEXT(A5,"mmm"))</f>
        <v>Jan</v>
      </c>
      <c r="N5" s="47" t="n">
        <f aca="false">IFERROR(IF(ISNUMBER(SEARCH("squat",C5)),K5,""),"")</f>
        <v>140</v>
      </c>
      <c r="O5" s="47" t="str">
        <f aca="false">IFERROR(IF(ISNUMBER(SEARCH("bench",C5)),K5,""),"")</f>
        <v/>
      </c>
      <c r="P5" s="47" t="str">
        <f aca="false">IFERROR(IF(ISNUMBER(SEARCH("deadlift",C5)),K5,""),"")</f>
        <v/>
      </c>
      <c r="V5" s="47" t="n">
        <f aca="false">IF(N5="",0,N5)</f>
        <v>140</v>
      </c>
      <c r="W5" s="47" t="n">
        <f aca="false">IF(O5="",0,O5)</f>
        <v>0</v>
      </c>
      <c r="X5" s="47" t="n">
        <f aca="false">IF(P5="",0,P5)</f>
        <v>0</v>
      </c>
      <c r="Y5" s="47" t="n">
        <f aca="false">V5+W5+X5</f>
        <v>140</v>
      </c>
    </row>
    <row r="6" customFormat="false" ht="15" hidden="false" customHeight="false" outlineLevel="0" collapsed="false">
      <c r="A6" s="45" t="n">
        <v>46023</v>
      </c>
      <c r="B6" s="31" t="s">
        <v>67</v>
      </c>
      <c r="C6" s="32" t="s">
        <v>97</v>
      </c>
      <c r="D6" s="31" t="n">
        <v>5</v>
      </c>
      <c r="E6" s="31" t="n">
        <v>5</v>
      </c>
      <c r="F6" s="29" t="n">
        <v>85</v>
      </c>
      <c r="G6" s="29" t="n">
        <f aca="false">IF(OR(D6="",E6="",F6=""),"",D6*E6*F6)</f>
        <v>2125</v>
      </c>
      <c r="H6" s="31" t="n">
        <v>8</v>
      </c>
      <c r="I6" s="36" t="str">
        <f aca="false">IF(OR(C6="",K6=""),"",IF(K6&gt;=_xlfn.MAXIFS($K$5:K5,$C$5:C5,C6),"Yes","No"))</f>
        <v>Yes</v>
      </c>
      <c r="J6" s="32"/>
      <c r="K6" s="48" t="n">
        <f aca="false">IF(OR(E6="",F6=""),"",F6*(1+E6/30))</f>
        <v>99.1666666666667</v>
      </c>
      <c r="L6" s="36" t="n">
        <f aca="false">IF(A6="","",INT((A6-StartDate)/7)+1)</f>
        <v>1</v>
      </c>
      <c r="M6" s="36" t="str">
        <f aca="false">IF(A6="","",TEXT(A6,"mmm"))</f>
        <v>Jan</v>
      </c>
      <c r="N6" s="48" t="str">
        <f aca="false">IFERROR(IF(ISNUMBER(SEARCH("squat",C6)),K6,""),"")</f>
        <v/>
      </c>
      <c r="O6" s="48" t="n">
        <f aca="false">IFERROR(IF(ISNUMBER(SEARCH("bench",C6)),K6,""),"")</f>
        <v>99.1666666666667</v>
      </c>
      <c r="P6" s="48" t="str">
        <f aca="false">IFERROR(IF(ISNUMBER(SEARCH("deadlift",C6)),K6,""),"")</f>
        <v/>
      </c>
      <c r="R6" s="39" t="s">
        <v>98</v>
      </c>
      <c r="S6" s="39"/>
      <c r="T6" s="40" t="n">
        <f aca="true">SUMIFS($G$5:$G$504,$L$5:$L$504,INT((TODAY()-StartDate)/7)+1)</f>
        <v>0</v>
      </c>
      <c r="V6" s="48" t="n">
        <f aca="false">MAX(V5,IF(N6="",0,N6))</f>
        <v>140</v>
      </c>
      <c r="W6" s="48" t="n">
        <f aca="false">MAX(W5,IF(O6="",0,O6))</f>
        <v>99.1666666666667</v>
      </c>
      <c r="X6" s="48" t="n">
        <f aca="false">MAX(X5,IF(P6="",0,P6))</f>
        <v>0</v>
      </c>
      <c r="Y6" s="48" t="n">
        <f aca="false">V6+W6+X6</f>
        <v>239.166666666667</v>
      </c>
    </row>
    <row r="7" customFormat="false" ht="15" hidden="false" customHeight="false" outlineLevel="0" collapsed="false">
      <c r="A7" s="45" t="n">
        <v>46023</v>
      </c>
      <c r="B7" s="31" t="s">
        <v>67</v>
      </c>
      <c r="C7" s="32" t="s">
        <v>99</v>
      </c>
      <c r="D7" s="31" t="n">
        <v>3</v>
      </c>
      <c r="E7" s="31" t="n">
        <v>3</v>
      </c>
      <c r="F7" s="29" t="n">
        <v>150</v>
      </c>
      <c r="G7" s="29" t="n">
        <f aca="false">IF(OR(D7="",E7="",F7=""),"",D7*E7*F7)</f>
        <v>1350</v>
      </c>
      <c r="H7" s="31" t="n">
        <v>9</v>
      </c>
      <c r="I7" s="46" t="str">
        <f aca="false">IF(OR(C7="",K7=""),"",IF(K7&gt;=_xlfn.MAXIFS($K$5:K6,$C$5:C6,C7),"Yes","No"))</f>
        <v>Yes</v>
      </c>
      <c r="J7" s="32" t="s">
        <v>100</v>
      </c>
      <c r="K7" s="47" t="n">
        <f aca="false">IF(OR(E7="",F7=""),"",F7*(1+E7/30))</f>
        <v>165</v>
      </c>
      <c r="L7" s="27" t="n">
        <f aca="false">IF(A7="","",INT((A7-StartDate)/7)+1)</f>
        <v>1</v>
      </c>
      <c r="M7" s="27" t="str">
        <f aca="false">IF(A7="","",TEXT(A7,"mmm"))</f>
        <v>Jan</v>
      </c>
      <c r="N7" s="47" t="str">
        <f aca="false">IFERROR(IF(ISNUMBER(SEARCH("squat",C7)),K7,""),"")</f>
        <v/>
      </c>
      <c r="O7" s="47" t="str">
        <f aca="false">IFERROR(IF(ISNUMBER(SEARCH("bench",C7)),K7,""),"")</f>
        <v/>
      </c>
      <c r="P7" s="47" t="n">
        <f aca="false">IFERROR(IF(ISNUMBER(SEARCH("deadlift",C7)),K7,""),"")</f>
        <v>165</v>
      </c>
      <c r="R7" s="41" t="s">
        <v>101</v>
      </c>
      <c r="S7" s="41"/>
      <c r="T7" s="42" t="n">
        <f aca="true">IFERROR(AVERAGEIFS($H$5:$H$504,$L$5:$L$504,INT((TODAY()-StartDate)/7)+1),0)</f>
        <v>0</v>
      </c>
      <c r="V7" s="47" t="n">
        <f aca="false">MAX(V6,IF(N7="",0,N7))</f>
        <v>140</v>
      </c>
      <c r="W7" s="47" t="n">
        <f aca="false">MAX(W6,IF(O7="",0,O7))</f>
        <v>99.1666666666667</v>
      </c>
      <c r="X7" s="47" t="n">
        <f aca="false">MAX(X6,IF(P7="",0,P7))</f>
        <v>165</v>
      </c>
      <c r="Y7" s="47" t="n">
        <f aca="false">V7+W7+X7</f>
        <v>404.166666666667</v>
      </c>
    </row>
    <row r="8" customFormat="false" ht="15" hidden="false" customHeight="false" outlineLevel="0" collapsed="false">
      <c r="A8" s="45" t="n">
        <v>46023</v>
      </c>
      <c r="B8" s="31" t="s">
        <v>67</v>
      </c>
      <c r="C8" s="32" t="s">
        <v>95</v>
      </c>
      <c r="D8" s="31" t="n">
        <v>1</v>
      </c>
      <c r="E8" s="31" t="n">
        <v>1</v>
      </c>
      <c r="F8" s="29" t="n">
        <v>140</v>
      </c>
      <c r="G8" s="29" t="n">
        <f aca="false">IF(OR(D8="",E8="",F8=""),"",D8*E8*F8)</f>
        <v>140</v>
      </c>
      <c r="H8" s="31" t="n">
        <v>9</v>
      </c>
      <c r="I8" s="36" t="str">
        <f aca="false">IF(OR(C8="",K8=""),"",IF(K8&gt;=_xlfn.MAXIFS($K$5:K7,$C$5:C7,C8),"Yes","No"))</f>
        <v>Yes</v>
      </c>
      <c r="J8" s="32" t="s">
        <v>102</v>
      </c>
      <c r="K8" s="48" t="n">
        <f aca="false">IF(OR(E8="",F8=""),"",F8*(1+E8/30))</f>
        <v>144.666666666667</v>
      </c>
      <c r="L8" s="36" t="n">
        <f aca="false">IF(A8="","",INT((A8-StartDate)/7)+1)</f>
        <v>1</v>
      </c>
      <c r="M8" s="36" t="str">
        <f aca="false">IF(A8="","",TEXT(A8,"mmm"))</f>
        <v>Jan</v>
      </c>
      <c r="N8" s="48" t="n">
        <f aca="false">IFERROR(IF(ISNUMBER(SEARCH("squat",C8)),K8,""),"")</f>
        <v>144.666666666667</v>
      </c>
      <c r="O8" s="48" t="str">
        <f aca="false">IFERROR(IF(ISNUMBER(SEARCH("bench",C8)),K8,""),"")</f>
        <v/>
      </c>
      <c r="P8" s="48" t="str">
        <f aca="false">IFERROR(IF(ISNUMBER(SEARCH("deadlift",C8)),K8,""),"")</f>
        <v/>
      </c>
      <c r="R8" s="39" t="s">
        <v>103</v>
      </c>
      <c r="S8" s="39"/>
      <c r="T8" s="40" t="n">
        <f aca="true">IFERROR(ROUND(SUMIFS($G$5:$G$504,$L$5:$L$504,INT((TODAY()-StartDate)/7)+1)*AVERAGEIFS($H$5:$H$504,$L$5:$L$504,INT((TODAY()-StartDate)/7)+1)/10,0),0)</f>
        <v>0</v>
      </c>
      <c r="V8" s="48" t="n">
        <f aca="false">MAX(V7,IF(N8="",0,N8))</f>
        <v>144.666666666667</v>
      </c>
      <c r="W8" s="48" t="n">
        <f aca="false">MAX(W7,IF(O8="",0,O8))</f>
        <v>99.1666666666667</v>
      </c>
      <c r="X8" s="48" t="n">
        <f aca="false">MAX(X7,IF(P8="",0,P8))</f>
        <v>165</v>
      </c>
      <c r="Y8" s="48" t="n">
        <f aca="false">V8+W8+X8</f>
        <v>408.833333333333</v>
      </c>
    </row>
    <row r="9" customFormat="false" ht="15" hidden="false" customHeight="false" outlineLevel="0" collapsed="false">
      <c r="A9" s="45" t="n">
        <v>46023</v>
      </c>
      <c r="B9" s="31" t="s">
        <v>67</v>
      </c>
      <c r="C9" s="32" t="s">
        <v>97</v>
      </c>
      <c r="D9" s="31" t="n">
        <v>1</v>
      </c>
      <c r="E9" s="31" t="n">
        <v>1</v>
      </c>
      <c r="F9" s="29" t="n">
        <v>95</v>
      </c>
      <c r="G9" s="29" t="n">
        <f aca="false">IF(OR(D9="",E9="",F9=""),"",D9*E9*F9)</f>
        <v>95</v>
      </c>
      <c r="H9" s="31" t="n">
        <v>9</v>
      </c>
      <c r="I9" s="46" t="str">
        <f aca="false">IF(OR(C9="",K9=""),"",IF(K9&gt;=_xlfn.MAXIFS($K$5:K8,$C$5:C8,C9),"Yes","No"))</f>
        <v>No</v>
      </c>
      <c r="J9" s="32" t="s">
        <v>102</v>
      </c>
      <c r="K9" s="47" t="n">
        <f aca="false">IF(OR(E9="",F9=""),"",F9*(1+E9/30))</f>
        <v>98.1666666666667</v>
      </c>
      <c r="L9" s="27" t="n">
        <f aca="false">IF(A9="","",INT((A9-StartDate)/7)+1)</f>
        <v>1</v>
      </c>
      <c r="M9" s="27" t="str">
        <f aca="false">IF(A9="","",TEXT(A9,"mmm"))</f>
        <v>Jan</v>
      </c>
      <c r="N9" s="47" t="str">
        <f aca="false">IFERROR(IF(ISNUMBER(SEARCH("squat",C9)),K9,""),"")</f>
        <v/>
      </c>
      <c r="O9" s="47" t="n">
        <f aca="false">IFERROR(IF(ISNUMBER(SEARCH("bench",C9)),K9,""),"")</f>
        <v>98.1666666666667</v>
      </c>
      <c r="P9" s="47" t="str">
        <f aca="false">IFERROR(IF(ISNUMBER(SEARCH("deadlift",C9)),K9,""),"")</f>
        <v/>
      </c>
      <c r="R9" s="41" t="s">
        <v>104</v>
      </c>
      <c r="S9" s="41"/>
      <c r="T9" s="49" t="n">
        <f aca="true">SUMIFS($G$5:$G$504,$M$5:$M$504,TEXT(TODAY(),"mmm"))</f>
        <v>0</v>
      </c>
      <c r="V9" s="47" t="n">
        <f aca="false">MAX(V8,IF(N9="",0,N9))</f>
        <v>144.666666666667</v>
      </c>
      <c r="W9" s="47" t="n">
        <f aca="false">MAX(W8,IF(O9="",0,O9))</f>
        <v>99.1666666666667</v>
      </c>
      <c r="X9" s="47" t="n">
        <f aca="false">MAX(X8,IF(P9="",0,P9))</f>
        <v>165</v>
      </c>
      <c r="Y9" s="47" t="n">
        <f aca="false">V9+W9+X9</f>
        <v>408.833333333333</v>
      </c>
    </row>
    <row r="10" customFormat="false" ht="15" hidden="false" customHeight="false" outlineLevel="0" collapsed="false">
      <c r="A10" s="45" t="n">
        <v>46023</v>
      </c>
      <c r="B10" s="31" t="s">
        <v>67</v>
      </c>
      <c r="C10" s="32" t="s">
        <v>99</v>
      </c>
      <c r="D10" s="31" t="n">
        <v>1</v>
      </c>
      <c r="E10" s="31" t="n">
        <v>1</v>
      </c>
      <c r="F10" s="29" t="n">
        <v>170</v>
      </c>
      <c r="G10" s="29" t="n">
        <f aca="false">IF(OR(D10="",E10="",F10=""),"",D10*E10*F10)</f>
        <v>170</v>
      </c>
      <c r="H10" s="31" t="n">
        <v>9</v>
      </c>
      <c r="I10" s="36" t="str">
        <f aca="false">IF(OR(C10="",K10=""),"",IF(K10&gt;=_xlfn.MAXIFS($K$5:K9,$C$5:C9,C10),"Yes","No"))</f>
        <v>Yes</v>
      </c>
      <c r="J10" s="32" t="s">
        <v>102</v>
      </c>
      <c r="K10" s="48" t="n">
        <f aca="false">IF(OR(E10="",F10=""),"",F10*(1+E10/30))</f>
        <v>175.666666666667</v>
      </c>
      <c r="L10" s="36" t="n">
        <f aca="false">IF(A10="","",INT((A10-StartDate)/7)+1)</f>
        <v>1</v>
      </c>
      <c r="M10" s="36" t="str">
        <f aca="false">IF(A10="","",TEXT(A10,"mmm"))</f>
        <v>Jan</v>
      </c>
      <c r="N10" s="48" t="str">
        <f aca="false">IFERROR(IF(ISNUMBER(SEARCH("squat",C10)),K10,""),"")</f>
        <v/>
      </c>
      <c r="O10" s="48" t="str">
        <f aca="false">IFERROR(IF(ISNUMBER(SEARCH("bench",C10)),K10,""),"")</f>
        <v/>
      </c>
      <c r="P10" s="48" t="n">
        <f aca="false">IFERROR(IF(ISNUMBER(SEARCH("deadlift",C10)),K10,""),"")</f>
        <v>175.666666666667</v>
      </c>
      <c r="R10" s="39" t="s">
        <v>105</v>
      </c>
      <c r="S10" s="39"/>
      <c r="T10" s="50" t="n">
        <f aca="true">IFERROR(AVERAGEIFS($H$5:$H$504,$M$5:$M$504,TEXT(TODAY(),"mmm")),0)</f>
        <v>0</v>
      </c>
      <c r="V10" s="48" t="n">
        <f aca="false">MAX(V9,IF(N10="",0,N10))</f>
        <v>144.666666666667</v>
      </c>
      <c r="W10" s="48" t="n">
        <f aca="false">MAX(W9,IF(O10="",0,O10))</f>
        <v>99.1666666666667</v>
      </c>
      <c r="X10" s="48" t="n">
        <f aca="false">MAX(X9,IF(P10="",0,P10))</f>
        <v>175.666666666667</v>
      </c>
      <c r="Y10" s="48" t="n">
        <f aca="false">V10+W10+X10</f>
        <v>419.5</v>
      </c>
    </row>
    <row r="11" customFormat="false" ht="15" hidden="false" customHeight="false" outlineLevel="0" collapsed="false">
      <c r="A11" s="45"/>
      <c r="B11" s="31"/>
      <c r="C11" s="32"/>
      <c r="D11" s="31"/>
      <c r="E11" s="31"/>
      <c r="F11" s="29"/>
      <c r="G11" s="29" t="str">
        <f aca="false">IF(OR(D11="",E11="",F11=""),"",D11*E11*F11)</f>
        <v/>
      </c>
      <c r="H11" s="31"/>
      <c r="I11" s="46" t="str">
        <f aca="false">IF(OR(C11="",K11=""),"",IF(K11&gt;=_xlfn.MAXIFS($K$5:K10,$C$5:C10,C11),"Yes","No"))</f>
        <v/>
      </c>
      <c r="J11" s="32"/>
      <c r="K11" s="47" t="str">
        <f aca="false">IF(OR(E11="",F11=""),"",F11*(1+E11/30))</f>
        <v/>
      </c>
      <c r="L11" s="27" t="str">
        <f aca="false">IF(A11="","",INT((A11-StartDate)/7)+1)</f>
        <v/>
      </c>
      <c r="M11" s="27" t="str">
        <f aca="false">IF(A11="","",TEXT(A11,"mmm"))</f>
        <v/>
      </c>
      <c r="N11" s="47" t="str">
        <f aca="false">IFERROR(IF(ISNUMBER(SEARCH("squat",C11)),K11,""),"")</f>
        <v/>
      </c>
      <c r="O11" s="47" t="str">
        <f aca="false">IFERROR(IF(ISNUMBER(SEARCH("bench",C11)),K11,""),"")</f>
        <v/>
      </c>
      <c r="P11" s="47" t="str">
        <f aca="false">IFERROR(IF(ISNUMBER(SEARCH("deadlift",C11)),K11,""),"")</f>
        <v/>
      </c>
      <c r="R11" s="41" t="s">
        <v>106</v>
      </c>
      <c r="S11" s="41"/>
      <c r="T11" s="49" t="n">
        <f aca="false">SUM($G$5:$G$504)</f>
        <v>6880</v>
      </c>
      <c r="V11" s="47" t="n">
        <f aca="false">MAX(V10,IF(N11="",0,N11))</f>
        <v>144.666666666667</v>
      </c>
      <c r="W11" s="47" t="n">
        <f aca="false">MAX(W10,IF(O11="",0,O11))</f>
        <v>99.1666666666667</v>
      </c>
      <c r="X11" s="47" t="n">
        <f aca="false">MAX(X10,IF(P11="",0,P11))</f>
        <v>175.666666666667</v>
      </c>
      <c r="Y11" s="47" t="n">
        <f aca="false">V11+W11+X11</f>
        <v>419.5</v>
      </c>
    </row>
    <row r="12" customFormat="false" ht="15" hidden="false" customHeight="false" outlineLevel="0" collapsed="false">
      <c r="A12" s="45"/>
      <c r="B12" s="31"/>
      <c r="C12" s="32"/>
      <c r="D12" s="31"/>
      <c r="E12" s="31"/>
      <c r="F12" s="29"/>
      <c r="G12" s="29" t="str">
        <f aca="false">IF(OR(D12="",E12="",F12=""),"",D12*E12*F12)</f>
        <v/>
      </c>
      <c r="H12" s="31"/>
      <c r="I12" s="36" t="str">
        <f aca="false">IF(OR(C12="",K12=""),"",IF(K12&gt;=_xlfn.MAXIFS($K$5:K11,$C$5:C11,C12),"Yes","No"))</f>
        <v/>
      </c>
      <c r="J12" s="32"/>
      <c r="K12" s="48" t="str">
        <f aca="false">IF(OR(E12="",F12=""),"",F12*(1+E12/30))</f>
        <v/>
      </c>
      <c r="L12" s="36" t="str">
        <f aca="false">IF(A12="","",INT((A12-StartDate)/7)+1)</f>
        <v/>
      </c>
      <c r="M12" s="36" t="str">
        <f aca="false">IF(A12="","",TEXT(A12,"mmm"))</f>
        <v/>
      </c>
      <c r="N12" s="48" t="str">
        <f aca="false">IFERROR(IF(ISNUMBER(SEARCH("squat",C12)),K12,""),"")</f>
        <v/>
      </c>
      <c r="O12" s="48" t="str">
        <f aca="false">IFERROR(IF(ISNUMBER(SEARCH("bench",C12)),K12,""),"")</f>
        <v/>
      </c>
      <c r="P12" s="48" t="str">
        <f aca="false">IFERROR(IF(ISNUMBER(SEARCH("deadlift",C12)),K12,""),"")</f>
        <v/>
      </c>
      <c r="V12" s="48" t="n">
        <f aca="false">MAX(V11,IF(N12="",0,N12))</f>
        <v>144.666666666667</v>
      </c>
      <c r="W12" s="48" t="n">
        <f aca="false">MAX(W11,IF(O12="",0,O12))</f>
        <v>99.1666666666667</v>
      </c>
      <c r="X12" s="48" t="n">
        <f aca="false">MAX(X11,IF(P12="",0,P12))</f>
        <v>175.666666666667</v>
      </c>
      <c r="Y12" s="48" t="n">
        <f aca="false">V12+W12+X12</f>
        <v>419.5</v>
      </c>
    </row>
    <row r="13" customFormat="false" ht="15" hidden="false" customHeight="false" outlineLevel="0" collapsed="false">
      <c r="A13" s="45"/>
      <c r="B13" s="31"/>
      <c r="C13" s="32"/>
      <c r="D13" s="31"/>
      <c r="E13" s="31"/>
      <c r="F13" s="29"/>
      <c r="G13" s="29" t="str">
        <f aca="false">IF(OR(D13="",E13="",F13=""),"",D13*E13*F13)</f>
        <v/>
      </c>
      <c r="H13" s="31"/>
      <c r="I13" s="46" t="str">
        <f aca="false">IF(OR(C13="",K13=""),"",IF(K13&gt;=_xlfn.MAXIFS($K$5:K12,$C$5:C12,C13),"Yes","No"))</f>
        <v/>
      </c>
      <c r="J13" s="32"/>
      <c r="K13" s="47" t="str">
        <f aca="false">IF(OR(E13="",F13=""),"",F13*(1+E13/30))</f>
        <v/>
      </c>
      <c r="L13" s="27" t="str">
        <f aca="false">IF(A13="","",INT((A13-StartDate)/7)+1)</f>
        <v/>
      </c>
      <c r="M13" s="27" t="str">
        <f aca="false">IF(A13="","",TEXT(A13,"mmm"))</f>
        <v/>
      </c>
      <c r="N13" s="47" t="str">
        <f aca="false">IFERROR(IF(ISNUMBER(SEARCH("squat",C13)),K13,""),"")</f>
        <v/>
      </c>
      <c r="O13" s="47" t="str">
        <f aca="false">IFERROR(IF(ISNUMBER(SEARCH("bench",C13)),K13,""),"")</f>
        <v/>
      </c>
      <c r="P13" s="47" t="str">
        <f aca="false">IFERROR(IF(ISNUMBER(SEARCH("deadlift",C13)),K13,""),"")</f>
        <v/>
      </c>
      <c r="V13" s="47" t="n">
        <f aca="false">MAX(V12,IF(N13="",0,N13))</f>
        <v>144.666666666667</v>
      </c>
      <c r="W13" s="47" t="n">
        <f aca="false">MAX(W12,IF(O13="",0,O13))</f>
        <v>99.1666666666667</v>
      </c>
      <c r="X13" s="47" t="n">
        <f aca="false">MAX(X12,IF(P13="",0,P13))</f>
        <v>175.666666666667</v>
      </c>
      <c r="Y13" s="47" t="n">
        <f aca="false">V13+W13+X13</f>
        <v>419.5</v>
      </c>
    </row>
    <row r="14" customFormat="false" ht="15" hidden="false" customHeight="false" outlineLevel="0" collapsed="false">
      <c r="A14" s="45"/>
      <c r="B14" s="31"/>
      <c r="C14" s="32"/>
      <c r="D14" s="31"/>
      <c r="E14" s="31"/>
      <c r="F14" s="29"/>
      <c r="G14" s="29" t="str">
        <f aca="false">IF(OR(D14="",E14="",F14=""),"",D14*E14*F14)</f>
        <v/>
      </c>
      <c r="H14" s="31"/>
      <c r="I14" s="36" t="str">
        <f aca="false">IF(OR(C14="",K14=""),"",IF(K14&gt;=_xlfn.MAXIFS($K$5:K13,$C$5:C13,C14),"Yes","No"))</f>
        <v/>
      </c>
      <c r="J14" s="32"/>
      <c r="K14" s="48" t="str">
        <f aca="false">IF(OR(E14="",F14=""),"",F14*(1+E14/30))</f>
        <v/>
      </c>
      <c r="L14" s="36" t="str">
        <f aca="false">IF(A14="","",INT((A14-StartDate)/7)+1)</f>
        <v/>
      </c>
      <c r="M14" s="36" t="str">
        <f aca="false">IF(A14="","",TEXT(A14,"mmm"))</f>
        <v/>
      </c>
      <c r="N14" s="48" t="str">
        <f aca="false">IFERROR(IF(ISNUMBER(SEARCH("squat",C14)),K14,""),"")</f>
        <v/>
      </c>
      <c r="O14" s="48" t="str">
        <f aca="false">IFERROR(IF(ISNUMBER(SEARCH("bench",C14)),K14,""),"")</f>
        <v/>
      </c>
      <c r="P14" s="48" t="str">
        <f aca="false">IFERROR(IF(ISNUMBER(SEARCH("deadlift",C14)),K14,""),"")</f>
        <v/>
      </c>
      <c r="V14" s="48" t="n">
        <f aca="false">MAX(V13,IF(N14="",0,N14))</f>
        <v>144.666666666667</v>
      </c>
      <c r="W14" s="48" t="n">
        <f aca="false">MAX(W13,IF(O14="",0,O14))</f>
        <v>99.1666666666667</v>
      </c>
      <c r="X14" s="48" t="n">
        <f aca="false">MAX(X13,IF(P14="",0,P14))</f>
        <v>175.666666666667</v>
      </c>
      <c r="Y14" s="48" t="n">
        <f aca="false">V14+W14+X14</f>
        <v>419.5</v>
      </c>
    </row>
    <row r="15" customFormat="false" ht="15" hidden="false" customHeight="false" outlineLevel="0" collapsed="false">
      <c r="A15" s="45"/>
      <c r="B15" s="31"/>
      <c r="C15" s="32"/>
      <c r="D15" s="31"/>
      <c r="E15" s="31"/>
      <c r="F15" s="29"/>
      <c r="G15" s="29" t="str">
        <f aca="false">IF(OR(D15="",E15="",F15=""),"",D15*E15*F15)</f>
        <v/>
      </c>
      <c r="H15" s="31"/>
      <c r="I15" s="46" t="str">
        <f aca="false">IF(OR(C15="",K15=""),"",IF(K15&gt;=_xlfn.MAXIFS($K$5:K14,$C$5:C14,C15),"Yes","No"))</f>
        <v/>
      </c>
      <c r="J15" s="32"/>
      <c r="K15" s="47" t="str">
        <f aca="false">IF(OR(E15="",F15=""),"",F15*(1+E15/30))</f>
        <v/>
      </c>
      <c r="L15" s="27" t="str">
        <f aca="false">IF(A15="","",INT((A15-StartDate)/7)+1)</f>
        <v/>
      </c>
      <c r="M15" s="27" t="str">
        <f aca="false">IF(A15="","",TEXT(A15,"mmm"))</f>
        <v/>
      </c>
      <c r="N15" s="47" t="str">
        <f aca="false">IFERROR(IF(ISNUMBER(SEARCH("squat",C15)),K15,""),"")</f>
        <v/>
      </c>
      <c r="O15" s="47" t="str">
        <f aca="false">IFERROR(IF(ISNUMBER(SEARCH("bench",C15)),K15,""),"")</f>
        <v/>
      </c>
      <c r="P15" s="47" t="str">
        <f aca="false">IFERROR(IF(ISNUMBER(SEARCH("deadlift",C15)),K15,""),"")</f>
        <v/>
      </c>
      <c r="V15" s="47" t="n">
        <f aca="false">MAX(V14,IF(N15="",0,N15))</f>
        <v>144.666666666667</v>
      </c>
      <c r="W15" s="47" t="n">
        <f aca="false">MAX(W14,IF(O15="",0,O15))</f>
        <v>99.1666666666667</v>
      </c>
      <c r="X15" s="47" t="n">
        <f aca="false">MAX(X14,IF(P15="",0,P15))</f>
        <v>175.666666666667</v>
      </c>
      <c r="Y15" s="47" t="n">
        <f aca="false">V15+W15+X15</f>
        <v>419.5</v>
      </c>
    </row>
    <row r="16" customFormat="false" ht="15" hidden="false" customHeight="false" outlineLevel="0" collapsed="false">
      <c r="A16" s="45"/>
      <c r="B16" s="31"/>
      <c r="C16" s="32"/>
      <c r="D16" s="31"/>
      <c r="E16" s="31"/>
      <c r="F16" s="29"/>
      <c r="G16" s="29" t="str">
        <f aca="false">IF(OR(D16="",E16="",F16=""),"",D16*E16*F16)</f>
        <v/>
      </c>
      <c r="H16" s="31"/>
      <c r="I16" s="36" t="str">
        <f aca="false">IF(OR(C16="",K16=""),"",IF(K16&gt;=_xlfn.MAXIFS($K$5:K15,$C$5:C15,C16),"Yes","No"))</f>
        <v/>
      </c>
      <c r="J16" s="32"/>
      <c r="K16" s="48" t="str">
        <f aca="false">IF(OR(E16="",F16=""),"",F16*(1+E16/30))</f>
        <v/>
      </c>
      <c r="L16" s="36" t="str">
        <f aca="false">IF(A16="","",INT((A16-StartDate)/7)+1)</f>
        <v/>
      </c>
      <c r="M16" s="36" t="str">
        <f aca="false">IF(A16="","",TEXT(A16,"mmm"))</f>
        <v/>
      </c>
      <c r="N16" s="48" t="str">
        <f aca="false">IFERROR(IF(ISNUMBER(SEARCH("squat",C16)),K16,""),"")</f>
        <v/>
      </c>
      <c r="O16" s="48" t="str">
        <f aca="false">IFERROR(IF(ISNUMBER(SEARCH("bench",C16)),K16,""),"")</f>
        <v/>
      </c>
      <c r="P16" s="48" t="str">
        <f aca="false">IFERROR(IF(ISNUMBER(SEARCH("deadlift",C16)),K16,""),"")</f>
        <v/>
      </c>
      <c r="V16" s="48" t="n">
        <f aca="false">MAX(V15,IF(N16="",0,N16))</f>
        <v>144.666666666667</v>
      </c>
      <c r="W16" s="48" t="n">
        <f aca="false">MAX(W15,IF(O16="",0,O16))</f>
        <v>99.1666666666667</v>
      </c>
      <c r="X16" s="48" t="n">
        <f aca="false">MAX(X15,IF(P16="",0,P16))</f>
        <v>175.666666666667</v>
      </c>
      <c r="Y16" s="48" t="n">
        <f aca="false">V16+W16+X16</f>
        <v>419.5</v>
      </c>
    </row>
    <row r="17" customFormat="false" ht="15" hidden="false" customHeight="false" outlineLevel="0" collapsed="false">
      <c r="A17" s="45"/>
      <c r="B17" s="31"/>
      <c r="C17" s="32"/>
      <c r="D17" s="31"/>
      <c r="E17" s="31"/>
      <c r="F17" s="29"/>
      <c r="G17" s="29" t="str">
        <f aca="false">IF(OR(D17="",E17="",F17=""),"",D17*E17*F17)</f>
        <v/>
      </c>
      <c r="H17" s="31"/>
      <c r="I17" s="46" t="str">
        <f aca="false">IF(OR(C17="",K17=""),"",IF(K17&gt;=_xlfn.MAXIFS($K$5:K16,$C$5:C16,C17),"Yes","No"))</f>
        <v/>
      </c>
      <c r="J17" s="32"/>
      <c r="K17" s="47" t="str">
        <f aca="false">IF(OR(E17="",F17=""),"",F17*(1+E17/30))</f>
        <v/>
      </c>
      <c r="L17" s="27" t="str">
        <f aca="false">IF(A17="","",INT((A17-StartDate)/7)+1)</f>
        <v/>
      </c>
      <c r="M17" s="27" t="str">
        <f aca="false">IF(A17="","",TEXT(A17,"mmm"))</f>
        <v/>
      </c>
      <c r="N17" s="47" t="str">
        <f aca="false">IFERROR(IF(ISNUMBER(SEARCH("squat",C17)),K17,""),"")</f>
        <v/>
      </c>
      <c r="O17" s="47" t="str">
        <f aca="false">IFERROR(IF(ISNUMBER(SEARCH("bench",C17)),K17,""),"")</f>
        <v/>
      </c>
      <c r="P17" s="47" t="str">
        <f aca="false">IFERROR(IF(ISNUMBER(SEARCH("deadlift",C17)),K17,""),"")</f>
        <v/>
      </c>
      <c r="V17" s="47" t="n">
        <f aca="false">MAX(V16,IF(N17="",0,N17))</f>
        <v>144.666666666667</v>
      </c>
      <c r="W17" s="47" t="n">
        <f aca="false">MAX(W16,IF(O17="",0,O17))</f>
        <v>99.1666666666667</v>
      </c>
      <c r="X17" s="47" t="n">
        <f aca="false">MAX(X16,IF(P17="",0,P17))</f>
        <v>175.666666666667</v>
      </c>
      <c r="Y17" s="47" t="n">
        <f aca="false">V17+W17+X17</f>
        <v>419.5</v>
      </c>
    </row>
    <row r="18" customFormat="false" ht="15" hidden="false" customHeight="false" outlineLevel="0" collapsed="false">
      <c r="A18" s="45"/>
      <c r="B18" s="31"/>
      <c r="C18" s="32"/>
      <c r="D18" s="31"/>
      <c r="E18" s="31"/>
      <c r="F18" s="29"/>
      <c r="G18" s="29" t="str">
        <f aca="false">IF(OR(D18="",E18="",F18=""),"",D18*E18*F18)</f>
        <v/>
      </c>
      <c r="H18" s="31"/>
      <c r="I18" s="36" t="str">
        <f aca="false">IF(OR(C18="",K18=""),"",IF(K18&gt;=_xlfn.MAXIFS($K$5:K17,$C$5:C17,C18),"Yes","No"))</f>
        <v/>
      </c>
      <c r="J18" s="32"/>
      <c r="K18" s="48" t="str">
        <f aca="false">IF(OR(E18="",F18=""),"",F18*(1+E18/30))</f>
        <v/>
      </c>
      <c r="L18" s="36" t="str">
        <f aca="false">IF(A18="","",INT((A18-StartDate)/7)+1)</f>
        <v/>
      </c>
      <c r="M18" s="36" t="str">
        <f aca="false">IF(A18="","",TEXT(A18,"mmm"))</f>
        <v/>
      </c>
      <c r="N18" s="48" t="str">
        <f aca="false">IFERROR(IF(ISNUMBER(SEARCH("squat",C18)),K18,""),"")</f>
        <v/>
      </c>
      <c r="O18" s="48" t="str">
        <f aca="false">IFERROR(IF(ISNUMBER(SEARCH("bench",C18)),K18,""),"")</f>
        <v/>
      </c>
      <c r="P18" s="48" t="str">
        <f aca="false">IFERROR(IF(ISNUMBER(SEARCH("deadlift",C18)),K18,""),"")</f>
        <v/>
      </c>
      <c r="V18" s="48" t="n">
        <f aca="false">MAX(V17,IF(N18="",0,N18))</f>
        <v>144.666666666667</v>
      </c>
      <c r="W18" s="48" t="n">
        <f aca="false">MAX(W17,IF(O18="",0,O18))</f>
        <v>99.1666666666667</v>
      </c>
      <c r="X18" s="48" t="n">
        <f aca="false">MAX(X17,IF(P18="",0,P18))</f>
        <v>175.666666666667</v>
      </c>
      <c r="Y18" s="48" t="n">
        <f aca="false">V18+W18+X18</f>
        <v>419.5</v>
      </c>
    </row>
    <row r="19" customFormat="false" ht="15" hidden="false" customHeight="false" outlineLevel="0" collapsed="false">
      <c r="A19" s="45"/>
      <c r="B19" s="31"/>
      <c r="C19" s="32"/>
      <c r="D19" s="31"/>
      <c r="E19" s="31"/>
      <c r="F19" s="29"/>
      <c r="G19" s="29" t="str">
        <f aca="false">IF(OR(D19="",E19="",F19=""),"",D19*E19*F19)</f>
        <v/>
      </c>
      <c r="H19" s="31"/>
      <c r="I19" s="46" t="str">
        <f aca="false">IF(OR(C19="",K19=""),"",IF(K19&gt;=_xlfn.MAXIFS($K$5:K18,$C$5:C18,C19),"Yes","No"))</f>
        <v/>
      </c>
      <c r="J19" s="32"/>
      <c r="K19" s="47" t="str">
        <f aca="false">IF(OR(E19="",F19=""),"",F19*(1+E19/30))</f>
        <v/>
      </c>
      <c r="L19" s="27" t="str">
        <f aca="false">IF(A19="","",INT((A19-StartDate)/7)+1)</f>
        <v/>
      </c>
      <c r="M19" s="27" t="str">
        <f aca="false">IF(A19="","",TEXT(A19,"mmm"))</f>
        <v/>
      </c>
      <c r="N19" s="47" t="str">
        <f aca="false">IFERROR(IF(ISNUMBER(SEARCH("squat",C19)),K19,""),"")</f>
        <v/>
      </c>
      <c r="O19" s="47" t="str">
        <f aca="false">IFERROR(IF(ISNUMBER(SEARCH("bench",C19)),K19,""),"")</f>
        <v/>
      </c>
      <c r="P19" s="47" t="str">
        <f aca="false">IFERROR(IF(ISNUMBER(SEARCH("deadlift",C19)),K19,""),"")</f>
        <v/>
      </c>
      <c r="V19" s="47" t="n">
        <f aca="false">MAX(V18,IF(N19="",0,N19))</f>
        <v>144.666666666667</v>
      </c>
      <c r="W19" s="47" t="n">
        <f aca="false">MAX(W18,IF(O19="",0,O19))</f>
        <v>99.1666666666667</v>
      </c>
      <c r="X19" s="47" t="n">
        <f aca="false">MAX(X18,IF(P19="",0,P19))</f>
        <v>175.666666666667</v>
      </c>
      <c r="Y19" s="47" t="n">
        <f aca="false">V19+W19+X19</f>
        <v>419.5</v>
      </c>
    </row>
    <row r="20" customFormat="false" ht="15" hidden="false" customHeight="false" outlineLevel="0" collapsed="false">
      <c r="A20" s="45"/>
      <c r="B20" s="31"/>
      <c r="C20" s="32"/>
      <c r="D20" s="31"/>
      <c r="E20" s="31"/>
      <c r="F20" s="29"/>
      <c r="G20" s="29" t="str">
        <f aca="false">IF(OR(D20="",E20="",F20=""),"",D20*E20*F20)</f>
        <v/>
      </c>
      <c r="H20" s="31"/>
      <c r="I20" s="36" t="str">
        <f aca="false">IF(OR(C20="",K20=""),"",IF(K20&gt;=_xlfn.MAXIFS($K$5:K19,$C$5:C19,C20),"Yes","No"))</f>
        <v/>
      </c>
      <c r="J20" s="32"/>
      <c r="K20" s="48" t="str">
        <f aca="false">IF(OR(E20="",F20=""),"",F20*(1+E20/30))</f>
        <v/>
      </c>
      <c r="L20" s="36" t="str">
        <f aca="false">IF(A20="","",INT((A20-StartDate)/7)+1)</f>
        <v/>
      </c>
      <c r="M20" s="36" t="str">
        <f aca="false">IF(A20="","",TEXT(A20,"mmm"))</f>
        <v/>
      </c>
      <c r="N20" s="48" t="str">
        <f aca="false">IFERROR(IF(ISNUMBER(SEARCH("squat",C20)),K20,""),"")</f>
        <v/>
      </c>
      <c r="O20" s="48" t="str">
        <f aca="false">IFERROR(IF(ISNUMBER(SEARCH("bench",C20)),K20,""),"")</f>
        <v/>
      </c>
      <c r="P20" s="48" t="str">
        <f aca="false">IFERROR(IF(ISNUMBER(SEARCH("deadlift",C20)),K20,""),"")</f>
        <v/>
      </c>
      <c r="V20" s="48" t="n">
        <f aca="false">MAX(V19,IF(N20="",0,N20))</f>
        <v>144.666666666667</v>
      </c>
      <c r="W20" s="48" t="n">
        <f aca="false">MAX(W19,IF(O20="",0,O20))</f>
        <v>99.1666666666667</v>
      </c>
      <c r="X20" s="48" t="n">
        <f aca="false">MAX(X19,IF(P20="",0,P20))</f>
        <v>175.666666666667</v>
      </c>
      <c r="Y20" s="48" t="n">
        <f aca="false">V20+W20+X20</f>
        <v>419.5</v>
      </c>
    </row>
    <row r="21" customFormat="false" ht="15" hidden="false" customHeight="false" outlineLevel="0" collapsed="false">
      <c r="A21" s="45"/>
      <c r="B21" s="31"/>
      <c r="C21" s="32"/>
      <c r="D21" s="31"/>
      <c r="E21" s="31"/>
      <c r="F21" s="29"/>
      <c r="G21" s="29" t="str">
        <f aca="false">IF(OR(D21="",E21="",F21=""),"",D21*E21*F21)</f>
        <v/>
      </c>
      <c r="H21" s="31"/>
      <c r="I21" s="46" t="str">
        <f aca="false">IF(OR(C21="",K21=""),"",IF(K21&gt;=_xlfn.MAXIFS($K$5:K20,$C$5:C20,C21),"Yes","No"))</f>
        <v/>
      </c>
      <c r="J21" s="32"/>
      <c r="K21" s="47" t="str">
        <f aca="false">IF(OR(E21="",F21=""),"",F21*(1+E21/30))</f>
        <v/>
      </c>
      <c r="L21" s="27" t="str">
        <f aca="false">IF(A21="","",INT((A21-StartDate)/7)+1)</f>
        <v/>
      </c>
      <c r="M21" s="27" t="str">
        <f aca="false">IF(A21="","",TEXT(A21,"mmm"))</f>
        <v/>
      </c>
      <c r="N21" s="47" t="str">
        <f aca="false">IFERROR(IF(ISNUMBER(SEARCH("squat",C21)),K21,""),"")</f>
        <v/>
      </c>
      <c r="O21" s="47" t="str">
        <f aca="false">IFERROR(IF(ISNUMBER(SEARCH("bench",C21)),K21,""),"")</f>
        <v/>
      </c>
      <c r="P21" s="47" t="str">
        <f aca="false">IFERROR(IF(ISNUMBER(SEARCH("deadlift",C21)),K21,""),"")</f>
        <v/>
      </c>
      <c r="V21" s="47" t="n">
        <f aca="false">MAX(V20,IF(N21="",0,N21))</f>
        <v>144.666666666667</v>
      </c>
      <c r="W21" s="47" t="n">
        <f aca="false">MAX(W20,IF(O21="",0,O21))</f>
        <v>99.1666666666667</v>
      </c>
      <c r="X21" s="47" t="n">
        <f aca="false">MAX(X20,IF(P21="",0,P21))</f>
        <v>175.666666666667</v>
      </c>
      <c r="Y21" s="47" t="n">
        <f aca="false">V21+W21+X21</f>
        <v>419.5</v>
      </c>
    </row>
    <row r="22" customFormat="false" ht="15" hidden="false" customHeight="false" outlineLevel="0" collapsed="false">
      <c r="A22" s="45"/>
      <c r="B22" s="31"/>
      <c r="C22" s="32"/>
      <c r="D22" s="31"/>
      <c r="E22" s="31"/>
      <c r="F22" s="29"/>
      <c r="G22" s="29" t="str">
        <f aca="false">IF(OR(D22="",E22="",F22=""),"",D22*E22*F22)</f>
        <v/>
      </c>
      <c r="H22" s="31"/>
      <c r="I22" s="36" t="str">
        <f aca="false">IF(OR(C22="",K22=""),"",IF(K22&gt;=_xlfn.MAXIFS($K$5:K21,$C$5:C21,C22),"Yes","No"))</f>
        <v/>
      </c>
      <c r="J22" s="32"/>
      <c r="K22" s="48" t="str">
        <f aca="false">IF(OR(E22="",F22=""),"",F22*(1+E22/30))</f>
        <v/>
      </c>
      <c r="L22" s="36" t="str">
        <f aca="false">IF(A22="","",INT((A22-StartDate)/7)+1)</f>
        <v/>
      </c>
      <c r="M22" s="36" t="str">
        <f aca="false">IF(A22="","",TEXT(A22,"mmm"))</f>
        <v/>
      </c>
      <c r="N22" s="48" t="str">
        <f aca="false">IFERROR(IF(ISNUMBER(SEARCH("squat",C22)),K22,""),"")</f>
        <v/>
      </c>
      <c r="O22" s="48" t="str">
        <f aca="false">IFERROR(IF(ISNUMBER(SEARCH("bench",C22)),K22,""),"")</f>
        <v/>
      </c>
      <c r="P22" s="48" t="str">
        <f aca="false">IFERROR(IF(ISNUMBER(SEARCH("deadlift",C22)),K22,""),"")</f>
        <v/>
      </c>
      <c r="V22" s="48" t="n">
        <f aca="false">MAX(V21,IF(N22="",0,N22))</f>
        <v>144.666666666667</v>
      </c>
      <c r="W22" s="48" t="n">
        <f aca="false">MAX(W21,IF(O22="",0,O22))</f>
        <v>99.1666666666667</v>
      </c>
      <c r="X22" s="48" t="n">
        <f aca="false">MAX(X21,IF(P22="",0,P22))</f>
        <v>175.666666666667</v>
      </c>
      <c r="Y22" s="48" t="n">
        <f aca="false">V22+W22+X22</f>
        <v>419.5</v>
      </c>
    </row>
    <row r="23" customFormat="false" ht="15" hidden="false" customHeight="false" outlineLevel="0" collapsed="false">
      <c r="A23" s="45"/>
      <c r="B23" s="31"/>
      <c r="C23" s="32"/>
      <c r="D23" s="31"/>
      <c r="E23" s="31"/>
      <c r="F23" s="29"/>
      <c r="G23" s="29" t="str">
        <f aca="false">IF(OR(D23="",E23="",F23=""),"",D23*E23*F23)</f>
        <v/>
      </c>
      <c r="H23" s="31"/>
      <c r="I23" s="46" t="str">
        <f aca="false">IF(OR(C23="",K23=""),"",IF(K23&gt;=_xlfn.MAXIFS($K$5:K22,$C$5:C22,C23),"Yes","No"))</f>
        <v/>
      </c>
      <c r="J23" s="32"/>
      <c r="K23" s="47" t="str">
        <f aca="false">IF(OR(E23="",F23=""),"",F23*(1+E23/30))</f>
        <v/>
      </c>
      <c r="L23" s="27" t="str">
        <f aca="false">IF(A23="","",INT((A23-StartDate)/7)+1)</f>
        <v/>
      </c>
      <c r="M23" s="27" t="str">
        <f aca="false">IF(A23="","",TEXT(A23,"mmm"))</f>
        <v/>
      </c>
      <c r="N23" s="47" t="str">
        <f aca="false">IFERROR(IF(ISNUMBER(SEARCH("squat",C23)),K23,""),"")</f>
        <v/>
      </c>
      <c r="O23" s="47" t="str">
        <f aca="false">IFERROR(IF(ISNUMBER(SEARCH("bench",C23)),K23,""),"")</f>
        <v/>
      </c>
      <c r="P23" s="47" t="str">
        <f aca="false">IFERROR(IF(ISNUMBER(SEARCH("deadlift",C23)),K23,""),"")</f>
        <v/>
      </c>
      <c r="V23" s="47" t="n">
        <f aca="false">MAX(V22,IF(N23="",0,N23))</f>
        <v>144.666666666667</v>
      </c>
      <c r="W23" s="47" t="n">
        <f aca="false">MAX(W22,IF(O23="",0,O23))</f>
        <v>99.1666666666667</v>
      </c>
      <c r="X23" s="47" t="n">
        <f aca="false">MAX(X22,IF(P23="",0,P23))</f>
        <v>175.666666666667</v>
      </c>
      <c r="Y23" s="47" t="n">
        <f aca="false">V23+W23+X23</f>
        <v>419.5</v>
      </c>
    </row>
    <row r="24" customFormat="false" ht="15" hidden="false" customHeight="false" outlineLevel="0" collapsed="false">
      <c r="A24" s="45"/>
      <c r="B24" s="31"/>
      <c r="C24" s="32"/>
      <c r="D24" s="31"/>
      <c r="E24" s="31"/>
      <c r="F24" s="29"/>
      <c r="G24" s="29" t="str">
        <f aca="false">IF(OR(D24="",E24="",F24=""),"",D24*E24*F24)</f>
        <v/>
      </c>
      <c r="H24" s="31"/>
      <c r="I24" s="36" t="str">
        <f aca="false">IF(OR(C24="",K24=""),"",IF(K24&gt;=_xlfn.MAXIFS($K$5:K23,$C$5:C23,C24),"Yes","No"))</f>
        <v/>
      </c>
      <c r="J24" s="32"/>
      <c r="K24" s="48" t="str">
        <f aca="false">IF(OR(E24="",F24=""),"",F24*(1+E24/30))</f>
        <v/>
      </c>
      <c r="L24" s="36" t="str">
        <f aca="false">IF(A24="","",INT((A24-StartDate)/7)+1)</f>
        <v/>
      </c>
      <c r="M24" s="36" t="str">
        <f aca="false">IF(A24="","",TEXT(A24,"mmm"))</f>
        <v/>
      </c>
      <c r="N24" s="48" t="str">
        <f aca="false">IFERROR(IF(ISNUMBER(SEARCH("squat",C24)),K24,""),"")</f>
        <v/>
      </c>
      <c r="O24" s="48" t="str">
        <f aca="false">IFERROR(IF(ISNUMBER(SEARCH("bench",C24)),K24,""),"")</f>
        <v/>
      </c>
      <c r="P24" s="48" t="str">
        <f aca="false">IFERROR(IF(ISNUMBER(SEARCH("deadlift",C24)),K24,""),"")</f>
        <v/>
      </c>
      <c r="V24" s="48" t="n">
        <f aca="false">MAX(V23,IF(N24="",0,N24))</f>
        <v>144.666666666667</v>
      </c>
      <c r="W24" s="48" t="n">
        <f aca="false">MAX(W23,IF(O24="",0,O24))</f>
        <v>99.1666666666667</v>
      </c>
      <c r="X24" s="48" t="n">
        <f aca="false">MAX(X23,IF(P24="",0,P24))</f>
        <v>175.666666666667</v>
      </c>
      <c r="Y24" s="48" t="n">
        <f aca="false">V24+W24+X24</f>
        <v>419.5</v>
      </c>
    </row>
    <row r="25" customFormat="false" ht="15" hidden="false" customHeight="false" outlineLevel="0" collapsed="false">
      <c r="A25" s="45"/>
      <c r="B25" s="31"/>
      <c r="C25" s="32"/>
      <c r="D25" s="31"/>
      <c r="E25" s="31"/>
      <c r="F25" s="29"/>
      <c r="G25" s="29" t="str">
        <f aca="false">IF(OR(D25="",E25="",F25=""),"",D25*E25*F25)</f>
        <v/>
      </c>
      <c r="H25" s="31"/>
      <c r="I25" s="46" t="str">
        <f aca="false">IF(OR(C25="",K25=""),"",IF(K25&gt;=_xlfn.MAXIFS($K$5:K24,$C$5:C24,C25),"Yes","No"))</f>
        <v/>
      </c>
      <c r="J25" s="32"/>
      <c r="K25" s="47" t="str">
        <f aca="false">IF(OR(E25="",F25=""),"",F25*(1+E25/30))</f>
        <v/>
      </c>
      <c r="L25" s="27" t="str">
        <f aca="false">IF(A25="","",INT((A25-StartDate)/7)+1)</f>
        <v/>
      </c>
      <c r="M25" s="27" t="str">
        <f aca="false">IF(A25="","",TEXT(A25,"mmm"))</f>
        <v/>
      </c>
      <c r="N25" s="47" t="str">
        <f aca="false">IFERROR(IF(ISNUMBER(SEARCH("squat",C25)),K25,""),"")</f>
        <v/>
      </c>
      <c r="O25" s="47" t="str">
        <f aca="false">IFERROR(IF(ISNUMBER(SEARCH("bench",C25)),K25,""),"")</f>
        <v/>
      </c>
      <c r="P25" s="47" t="str">
        <f aca="false">IFERROR(IF(ISNUMBER(SEARCH("deadlift",C25)),K25,""),"")</f>
        <v/>
      </c>
      <c r="V25" s="47" t="n">
        <f aca="false">MAX(V24,IF(N25="",0,N25))</f>
        <v>144.666666666667</v>
      </c>
      <c r="W25" s="47" t="n">
        <f aca="false">MAX(W24,IF(O25="",0,O25))</f>
        <v>99.1666666666667</v>
      </c>
      <c r="X25" s="47" t="n">
        <f aca="false">MAX(X24,IF(P25="",0,P25))</f>
        <v>175.666666666667</v>
      </c>
      <c r="Y25" s="47" t="n">
        <f aca="false">V25+W25+X25</f>
        <v>419.5</v>
      </c>
    </row>
    <row r="26" customFormat="false" ht="15" hidden="false" customHeight="false" outlineLevel="0" collapsed="false">
      <c r="A26" s="45"/>
      <c r="B26" s="31"/>
      <c r="C26" s="32"/>
      <c r="D26" s="31"/>
      <c r="E26" s="31"/>
      <c r="F26" s="29"/>
      <c r="G26" s="29" t="str">
        <f aca="false">IF(OR(D26="",E26="",F26=""),"",D26*E26*F26)</f>
        <v/>
      </c>
      <c r="H26" s="31"/>
      <c r="I26" s="36" t="str">
        <f aca="false">IF(OR(C26="",K26=""),"",IF(K26&gt;=_xlfn.MAXIFS($K$5:K25,$C$5:C25,C26),"Yes","No"))</f>
        <v/>
      </c>
      <c r="J26" s="32"/>
      <c r="K26" s="48" t="str">
        <f aca="false">IF(OR(E26="",F26=""),"",F26*(1+E26/30))</f>
        <v/>
      </c>
      <c r="L26" s="36" t="str">
        <f aca="false">IF(A26="","",INT((A26-StartDate)/7)+1)</f>
        <v/>
      </c>
      <c r="M26" s="36" t="str">
        <f aca="false">IF(A26="","",TEXT(A26,"mmm"))</f>
        <v/>
      </c>
      <c r="N26" s="48" t="str">
        <f aca="false">IFERROR(IF(ISNUMBER(SEARCH("squat",C26)),K26,""),"")</f>
        <v/>
      </c>
      <c r="O26" s="48" t="str">
        <f aca="false">IFERROR(IF(ISNUMBER(SEARCH("bench",C26)),K26,""),"")</f>
        <v/>
      </c>
      <c r="P26" s="48" t="str">
        <f aca="false">IFERROR(IF(ISNUMBER(SEARCH("deadlift",C26)),K26,""),"")</f>
        <v/>
      </c>
      <c r="V26" s="48" t="n">
        <f aca="false">MAX(V25,IF(N26="",0,N26))</f>
        <v>144.666666666667</v>
      </c>
      <c r="W26" s="48" t="n">
        <f aca="false">MAX(W25,IF(O26="",0,O26))</f>
        <v>99.1666666666667</v>
      </c>
      <c r="X26" s="48" t="n">
        <f aca="false">MAX(X25,IF(P26="",0,P26))</f>
        <v>175.666666666667</v>
      </c>
      <c r="Y26" s="48" t="n">
        <f aca="false">V26+W26+X26</f>
        <v>419.5</v>
      </c>
    </row>
    <row r="27" customFormat="false" ht="15" hidden="false" customHeight="false" outlineLevel="0" collapsed="false">
      <c r="A27" s="45"/>
      <c r="B27" s="31"/>
      <c r="C27" s="32"/>
      <c r="D27" s="31"/>
      <c r="E27" s="31"/>
      <c r="F27" s="29"/>
      <c r="G27" s="29" t="str">
        <f aca="false">IF(OR(D27="",E27="",F27=""),"",D27*E27*F27)</f>
        <v/>
      </c>
      <c r="H27" s="31"/>
      <c r="I27" s="46" t="str">
        <f aca="false">IF(OR(C27="",K27=""),"",IF(K27&gt;=_xlfn.MAXIFS($K$5:K26,$C$5:C26,C27),"Yes","No"))</f>
        <v/>
      </c>
      <c r="J27" s="32"/>
      <c r="K27" s="47" t="str">
        <f aca="false">IF(OR(E27="",F27=""),"",F27*(1+E27/30))</f>
        <v/>
      </c>
      <c r="L27" s="27" t="str">
        <f aca="false">IF(A27="","",INT((A27-StartDate)/7)+1)</f>
        <v/>
      </c>
      <c r="M27" s="27" t="str">
        <f aca="false">IF(A27="","",TEXT(A27,"mmm"))</f>
        <v/>
      </c>
      <c r="N27" s="47" t="str">
        <f aca="false">IFERROR(IF(ISNUMBER(SEARCH("squat",C27)),K27,""),"")</f>
        <v/>
      </c>
      <c r="O27" s="47" t="str">
        <f aca="false">IFERROR(IF(ISNUMBER(SEARCH("bench",C27)),K27,""),"")</f>
        <v/>
      </c>
      <c r="P27" s="47" t="str">
        <f aca="false">IFERROR(IF(ISNUMBER(SEARCH("deadlift",C27)),K27,""),"")</f>
        <v/>
      </c>
      <c r="V27" s="47" t="n">
        <f aca="false">MAX(V26,IF(N27="",0,N27))</f>
        <v>144.666666666667</v>
      </c>
      <c r="W27" s="47" t="n">
        <f aca="false">MAX(W26,IF(O27="",0,O27))</f>
        <v>99.1666666666667</v>
      </c>
      <c r="X27" s="47" t="n">
        <f aca="false">MAX(X26,IF(P27="",0,P27))</f>
        <v>175.666666666667</v>
      </c>
      <c r="Y27" s="47" t="n">
        <f aca="false">V27+W27+X27</f>
        <v>419.5</v>
      </c>
    </row>
    <row r="28" customFormat="false" ht="15" hidden="false" customHeight="false" outlineLevel="0" collapsed="false">
      <c r="A28" s="45"/>
      <c r="B28" s="31"/>
      <c r="C28" s="32"/>
      <c r="D28" s="31"/>
      <c r="E28" s="31"/>
      <c r="F28" s="29"/>
      <c r="G28" s="29" t="str">
        <f aca="false">IF(OR(D28="",E28="",F28=""),"",D28*E28*F28)</f>
        <v/>
      </c>
      <c r="H28" s="31"/>
      <c r="I28" s="36" t="str">
        <f aca="false">IF(OR(C28="",K28=""),"",IF(K28&gt;=_xlfn.MAXIFS($K$5:K27,$C$5:C27,C28),"Yes","No"))</f>
        <v/>
      </c>
      <c r="J28" s="32"/>
      <c r="K28" s="48" t="str">
        <f aca="false">IF(OR(E28="",F28=""),"",F28*(1+E28/30))</f>
        <v/>
      </c>
      <c r="L28" s="36" t="str">
        <f aca="false">IF(A28="","",INT((A28-StartDate)/7)+1)</f>
        <v/>
      </c>
      <c r="M28" s="36" t="str">
        <f aca="false">IF(A28="","",TEXT(A28,"mmm"))</f>
        <v/>
      </c>
      <c r="N28" s="48" t="str">
        <f aca="false">IFERROR(IF(ISNUMBER(SEARCH("squat",C28)),K28,""),"")</f>
        <v/>
      </c>
      <c r="O28" s="48" t="str">
        <f aca="false">IFERROR(IF(ISNUMBER(SEARCH("bench",C28)),K28,""),"")</f>
        <v/>
      </c>
      <c r="P28" s="48" t="str">
        <f aca="false">IFERROR(IF(ISNUMBER(SEARCH("deadlift",C28)),K28,""),"")</f>
        <v/>
      </c>
      <c r="V28" s="48" t="n">
        <f aca="false">MAX(V27,IF(N28="",0,N28))</f>
        <v>144.666666666667</v>
      </c>
      <c r="W28" s="48" t="n">
        <f aca="false">MAX(W27,IF(O28="",0,O28))</f>
        <v>99.1666666666667</v>
      </c>
      <c r="X28" s="48" t="n">
        <f aca="false">MAX(X27,IF(P28="",0,P28))</f>
        <v>175.666666666667</v>
      </c>
      <c r="Y28" s="48" t="n">
        <f aca="false">V28+W28+X28</f>
        <v>419.5</v>
      </c>
    </row>
    <row r="29" customFormat="false" ht="15" hidden="false" customHeight="false" outlineLevel="0" collapsed="false">
      <c r="A29" s="45"/>
      <c r="B29" s="31"/>
      <c r="C29" s="32"/>
      <c r="D29" s="31"/>
      <c r="E29" s="31"/>
      <c r="F29" s="29"/>
      <c r="G29" s="29" t="str">
        <f aca="false">IF(OR(D29="",E29="",F29=""),"",D29*E29*F29)</f>
        <v/>
      </c>
      <c r="H29" s="31"/>
      <c r="I29" s="46" t="str">
        <f aca="false">IF(OR(C29="",K29=""),"",IF(K29&gt;=_xlfn.MAXIFS($K$5:K28,$C$5:C28,C29),"Yes","No"))</f>
        <v/>
      </c>
      <c r="J29" s="32"/>
      <c r="K29" s="47" t="str">
        <f aca="false">IF(OR(E29="",F29=""),"",F29*(1+E29/30))</f>
        <v/>
      </c>
      <c r="L29" s="27" t="str">
        <f aca="false">IF(A29="","",INT((A29-StartDate)/7)+1)</f>
        <v/>
      </c>
      <c r="M29" s="27" t="str">
        <f aca="false">IF(A29="","",TEXT(A29,"mmm"))</f>
        <v/>
      </c>
      <c r="N29" s="47" t="str">
        <f aca="false">IFERROR(IF(ISNUMBER(SEARCH("squat",C29)),K29,""),"")</f>
        <v/>
      </c>
      <c r="O29" s="47" t="str">
        <f aca="false">IFERROR(IF(ISNUMBER(SEARCH("bench",C29)),K29,""),"")</f>
        <v/>
      </c>
      <c r="P29" s="47" t="str">
        <f aca="false">IFERROR(IF(ISNUMBER(SEARCH("deadlift",C29)),K29,""),"")</f>
        <v/>
      </c>
      <c r="V29" s="47" t="n">
        <f aca="false">MAX(V28,IF(N29="",0,N29))</f>
        <v>144.666666666667</v>
      </c>
      <c r="W29" s="47" t="n">
        <f aca="false">MAX(W28,IF(O29="",0,O29))</f>
        <v>99.1666666666667</v>
      </c>
      <c r="X29" s="47" t="n">
        <f aca="false">MAX(X28,IF(P29="",0,P29))</f>
        <v>175.666666666667</v>
      </c>
      <c r="Y29" s="47" t="n">
        <f aca="false">V29+W29+X29</f>
        <v>419.5</v>
      </c>
    </row>
    <row r="30" customFormat="false" ht="15" hidden="false" customHeight="false" outlineLevel="0" collapsed="false">
      <c r="A30" s="45"/>
      <c r="B30" s="31"/>
      <c r="C30" s="32"/>
      <c r="D30" s="31"/>
      <c r="E30" s="31"/>
      <c r="F30" s="29"/>
      <c r="G30" s="29" t="str">
        <f aca="false">IF(OR(D30="",E30="",F30=""),"",D30*E30*F30)</f>
        <v/>
      </c>
      <c r="H30" s="31"/>
      <c r="I30" s="36" t="str">
        <f aca="false">IF(OR(C30="",K30=""),"",IF(K30&gt;=_xlfn.MAXIFS($K$5:K29,$C$5:C29,C30),"Yes","No"))</f>
        <v/>
      </c>
      <c r="J30" s="32"/>
      <c r="K30" s="48" t="str">
        <f aca="false">IF(OR(E30="",F30=""),"",F30*(1+E30/30))</f>
        <v/>
      </c>
      <c r="L30" s="36" t="str">
        <f aca="false">IF(A30="","",INT((A30-StartDate)/7)+1)</f>
        <v/>
      </c>
      <c r="M30" s="36" t="str">
        <f aca="false">IF(A30="","",TEXT(A30,"mmm"))</f>
        <v/>
      </c>
      <c r="N30" s="48" t="str">
        <f aca="false">IFERROR(IF(ISNUMBER(SEARCH("squat",C30)),K30,""),"")</f>
        <v/>
      </c>
      <c r="O30" s="48" t="str">
        <f aca="false">IFERROR(IF(ISNUMBER(SEARCH("bench",C30)),K30,""),"")</f>
        <v/>
      </c>
      <c r="P30" s="48" t="str">
        <f aca="false">IFERROR(IF(ISNUMBER(SEARCH("deadlift",C30)),K30,""),"")</f>
        <v/>
      </c>
      <c r="V30" s="48" t="n">
        <f aca="false">MAX(V29,IF(N30="",0,N30))</f>
        <v>144.666666666667</v>
      </c>
      <c r="W30" s="48" t="n">
        <f aca="false">MAX(W29,IF(O30="",0,O30))</f>
        <v>99.1666666666667</v>
      </c>
      <c r="X30" s="48" t="n">
        <f aca="false">MAX(X29,IF(P30="",0,P30))</f>
        <v>175.666666666667</v>
      </c>
      <c r="Y30" s="48" t="n">
        <f aca="false">V30+W30+X30</f>
        <v>419.5</v>
      </c>
    </row>
    <row r="31" customFormat="false" ht="15" hidden="false" customHeight="false" outlineLevel="0" collapsed="false">
      <c r="A31" s="45"/>
      <c r="B31" s="31"/>
      <c r="C31" s="32"/>
      <c r="D31" s="31"/>
      <c r="E31" s="31"/>
      <c r="F31" s="29"/>
      <c r="G31" s="29" t="str">
        <f aca="false">IF(OR(D31="",E31="",F31=""),"",D31*E31*F31)</f>
        <v/>
      </c>
      <c r="H31" s="31"/>
      <c r="I31" s="46" t="str">
        <f aca="false">IF(OR(C31="",K31=""),"",IF(K31&gt;=_xlfn.MAXIFS($K$5:K30,$C$5:C30,C31),"Yes","No"))</f>
        <v/>
      </c>
      <c r="J31" s="32"/>
      <c r="K31" s="47" t="str">
        <f aca="false">IF(OR(E31="",F31=""),"",F31*(1+E31/30))</f>
        <v/>
      </c>
      <c r="L31" s="27" t="str">
        <f aca="false">IF(A31="","",INT((A31-StartDate)/7)+1)</f>
        <v/>
      </c>
      <c r="M31" s="27" t="str">
        <f aca="false">IF(A31="","",TEXT(A31,"mmm"))</f>
        <v/>
      </c>
      <c r="N31" s="47" t="str">
        <f aca="false">IFERROR(IF(ISNUMBER(SEARCH("squat",C31)),K31,""),"")</f>
        <v/>
      </c>
      <c r="O31" s="47" t="str">
        <f aca="false">IFERROR(IF(ISNUMBER(SEARCH("bench",C31)),K31,""),"")</f>
        <v/>
      </c>
      <c r="P31" s="47" t="str">
        <f aca="false">IFERROR(IF(ISNUMBER(SEARCH("deadlift",C31)),K31,""),"")</f>
        <v/>
      </c>
      <c r="V31" s="47" t="n">
        <f aca="false">MAX(V30,IF(N31="",0,N31))</f>
        <v>144.666666666667</v>
      </c>
      <c r="W31" s="47" t="n">
        <f aca="false">MAX(W30,IF(O31="",0,O31))</f>
        <v>99.1666666666667</v>
      </c>
      <c r="X31" s="47" t="n">
        <f aca="false">MAX(X30,IF(P31="",0,P31))</f>
        <v>175.666666666667</v>
      </c>
      <c r="Y31" s="47" t="n">
        <f aca="false">V31+W31+X31</f>
        <v>419.5</v>
      </c>
    </row>
    <row r="32" customFormat="false" ht="15" hidden="false" customHeight="false" outlineLevel="0" collapsed="false">
      <c r="A32" s="45"/>
      <c r="B32" s="31"/>
      <c r="C32" s="32"/>
      <c r="D32" s="31"/>
      <c r="E32" s="31"/>
      <c r="F32" s="29"/>
      <c r="G32" s="29" t="str">
        <f aca="false">IF(OR(D32="",E32="",F32=""),"",D32*E32*F32)</f>
        <v/>
      </c>
      <c r="H32" s="31"/>
      <c r="I32" s="36" t="str">
        <f aca="false">IF(OR(C32="",K32=""),"",IF(K32&gt;=_xlfn.MAXIFS($K$5:K31,$C$5:C31,C32),"Yes","No"))</f>
        <v/>
      </c>
      <c r="J32" s="32"/>
      <c r="K32" s="48" t="str">
        <f aca="false">IF(OR(E32="",F32=""),"",F32*(1+E32/30))</f>
        <v/>
      </c>
      <c r="L32" s="36" t="str">
        <f aca="false">IF(A32="","",INT((A32-StartDate)/7)+1)</f>
        <v/>
      </c>
      <c r="M32" s="36" t="str">
        <f aca="false">IF(A32="","",TEXT(A32,"mmm"))</f>
        <v/>
      </c>
      <c r="N32" s="48" t="str">
        <f aca="false">IFERROR(IF(ISNUMBER(SEARCH("squat",C32)),K32,""),"")</f>
        <v/>
      </c>
      <c r="O32" s="48" t="str">
        <f aca="false">IFERROR(IF(ISNUMBER(SEARCH("bench",C32)),K32,""),"")</f>
        <v/>
      </c>
      <c r="P32" s="48" t="str">
        <f aca="false">IFERROR(IF(ISNUMBER(SEARCH("deadlift",C32)),K32,""),"")</f>
        <v/>
      </c>
      <c r="V32" s="48" t="n">
        <f aca="false">MAX(V31,IF(N32="",0,N32))</f>
        <v>144.666666666667</v>
      </c>
      <c r="W32" s="48" t="n">
        <f aca="false">MAX(W31,IF(O32="",0,O32))</f>
        <v>99.1666666666667</v>
      </c>
      <c r="X32" s="48" t="n">
        <f aca="false">MAX(X31,IF(P32="",0,P32))</f>
        <v>175.666666666667</v>
      </c>
      <c r="Y32" s="48" t="n">
        <f aca="false">V32+W32+X32</f>
        <v>419.5</v>
      </c>
    </row>
    <row r="33" customFormat="false" ht="15" hidden="false" customHeight="false" outlineLevel="0" collapsed="false">
      <c r="A33" s="45"/>
      <c r="B33" s="31"/>
      <c r="C33" s="32"/>
      <c r="D33" s="31"/>
      <c r="E33" s="31"/>
      <c r="F33" s="29"/>
      <c r="G33" s="29" t="str">
        <f aca="false">IF(OR(D33="",E33="",F33=""),"",D33*E33*F33)</f>
        <v/>
      </c>
      <c r="H33" s="31"/>
      <c r="I33" s="46" t="str">
        <f aca="false">IF(OR(C33="",K33=""),"",IF(K33&gt;=_xlfn.MAXIFS($K$5:K32,$C$5:C32,C33),"Yes","No"))</f>
        <v/>
      </c>
      <c r="J33" s="32"/>
      <c r="K33" s="47" t="str">
        <f aca="false">IF(OR(E33="",F33=""),"",F33*(1+E33/30))</f>
        <v/>
      </c>
      <c r="L33" s="27" t="str">
        <f aca="false">IF(A33="","",INT((A33-StartDate)/7)+1)</f>
        <v/>
      </c>
      <c r="M33" s="27" t="str">
        <f aca="false">IF(A33="","",TEXT(A33,"mmm"))</f>
        <v/>
      </c>
      <c r="N33" s="47" t="str">
        <f aca="false">IFERROR(IF(ISNUMBER(SEARCH("squat",C33)),K33,""),"")</f>
        <v/>
      </c>
      <c r="O33" s="47" t="str">
        <f aca="false">IFERROR(IF(ISNUMBER(SEARCH("bench",C33)),K33,""),"")</f>
        <v/>
      </c>
      <c r="P33" s="47" t="str">
        <f aca="false">IFERROR(IF(ISNUMBER(SEARCH("deadlift",C33)),K33,""),"")</f>
        <v/>
      </c>
      <c r="V33" s="47" t="n">
        <f aca="false">MAX(V32,IF(N33="",0,N33))</f>
        <v>144.666666666667</v>
      </c>
      <c r="W33" s="47" t="n">
        <f aca="false">MAX(W32,IF(O33="",0,O33))</f>
        <v>99.1666666666667</v>
      </c>
      <c r="X33" s="47" t="n">
        <f aca="false">MAX(X32,IF(P33="",0,P33))</f>
        <v>175.666666666667</v>
      </c>
      <c r="Y33" s="47" t="n">
        <f aca="false">V33+W33+X33</f>
        <v>419.5</v>
      </c>
    </row>
    <row r="34" customFormat="false" ht="15" hidden="false" customHeight="false" outlineLevel="0" collapsed="false">
      <c r="A34" s="45"/>
      <c r="B34" s="31"/>
      <c r="C34" s="32"/>
      <c r="D34" s="31"/>
      <c r="E34" s="31"/>
      <c r="F34" s="29"/>
      <c r="G34" s="29" t="str">
        <f aca="false">IF(OR(D34="",E34="",F34=""),"",D34*E34*F34)</f>
        <v/>
      </c>
      <c r="H34" s="31"/>
      <c r="I34" s="36" t="str">
        <f aca="false">IF(OR(C34="",K34=""),"",IF(K34&gt;=_xlfn.MAXIFS($K$5:K33,$C$5:C33,C34),"Yes","No"))</f>
        <v/>
      </c>
      <c r="J34" s="32"/>
      <c r="K34" s="48" t="str">
        <f aca="false">IF(OR(E34="",F34=""),"",F34*(1+E34/30))</f>
        <v/>
      </c>
      <c r="L34" s="36" t="str">
        <f aca="false">IF(A34="","",INT((A34-StartDate)/7)+1)</f>
        <v/>
      </c>
      <c r="M34" s="36" t="str">
        <f aca="false">IF(A34="","",TEXT(A34,"mmm"))</f>
        <v/>
      </c>
      <c r="N34" s="48" t="str">
        <f aca="false">IFERROR(IF(ISNUMBER(SEARCH("squat",C34)),K34,""),"")</f>
        <v/>
      </c>
      <c r="O34" s="48" t="str">
        <f aca="false">IFERROR(IF(ISNUMBER(SEARCH("bench",C34)),K34,""),"")</f>
        <v/>
      </c>
      <c r="P34" s="48" t="str">
        <f aca="false">IFERROR(IF(ISNUMBER(SEARCH("deadlift",C34)),K34,""),"")</f>
        <v/>
      </c>
      <c r="V34" s="48" t="n">
        <f aca="false">MAX(V33,IF(N34="",0,N34))</f>
        <v>144.666666666667</v>
      </c>
      <c r="W34" s="48" t="n">
        <f aca="false">MAX(W33,IF(O34="",0,O34))</f>
        <v>99.1666666666667</v>
      </c>
      <c r="X34" s="48" t="n">
        <f aca="false">MAX(X33,IF(P34="",0,P34))</f>
        <v>175.666666666667</v>
      </c>
      <c r="Y34" s="48" t="n">
        <f aca="false">V34+W34+X34</f>
        <v>419.5</v>
      </c>
    </row>
    <row r="35" customFormat="false" ht="15" hidden="false" customHeight="false" outlineLevel="0" collapsed="false">
      <c r="A35" s="45"/>
      <c r="B35" s="31"/>
      <c r="C35" s="32"/>
      <c r="D35" s="31"/>
      <c r="E35" s="31"/>
      <c r="F35" s="29"/>
      <c r="G35" s="29" t="str">
        <f aca="false">IF(OR(D35="",E35="",F35=""),"",D35*E35*F35)</f>
        <v/>
      </c>
      <c r="H35" s="31"/>
      <c r="I35" s="46" t="str">
        <f aca="false">IF(OR(C35="",K35=""),"",IF(K35&gt;=_xlfn.MAXIFS($K$5:K34,$C$5:C34,C35),"Yes","No"))</f>
        <v/>
      </c>
      <c r="J35" s="32"/>
      <c r="K35" s="47" t="str">
        <f aca="false">IF(OR(E35="",F35=""),"",F35*(1+E35/30))</f>
        <v/>
      </c>
      <c r="L35" s="27" t="str">
        <f aca="false">IF(A35="","",INT((A35-StartDate)/7)+1)</f>
        <v/>
      </c>
      <c r="M35" s="27" t="str">
        <f aca="false">IF(A35="","",TEXT(A35,"mmm"))</f>
        <v/>
      </c>
      <c r="N35" s="47" t="str">
        <f aca="false">IFERROR(IF(ISNUMBER(SEARCH("squat",C35)),K35,""),"")</f>
        <v/>
      </c>
      <c r="O35" s="47" t="str">
        <f aca="false">IFERROR(IF(ISNUMBER(SEARCH("bench",C35)),K35,""),"")</f>
        <v/>
      </c>
      <c r="P35" s="47" t="str">
        <f aca="false">IFERROR(IF(ISNUMBER(SEARCH("deadlift",C35)),K35,""),"")</f>
        <v/>
      </c>
      <c r="V35" s="47" t="n">
        <f aca="false">MAX(V34,IF(N35="",0,N35))</f>
        <v>144.666666666667</v>
      </c>
      <c r="W35" s="47" t="n">
        <f aca="false">MAX(W34,IF(O35="",0,O35))</f>
        <v>99.1666666666667</v>
      </c>
      <c r="X35" s="47" t="n">
        <f aca="false">MAX(X34,IF(P35="",0,P35))</f>
        <v>175.666666666667</v>
      </c>
      <c r="Y35" s="47" t="n">
        <f aca="false">V35+W35+X35</f>
        <v>419.5</v>
      </c>
    </row>
    <row r="36" customFormat="false" ht="15" hidden="false" customHeight="false" outlineLevel="0" collapsed="false">
      <c r="A36" s="45"/>
      <c r="B36" s="31"/>
      <c r="C36" s="32"/>
      <c r="D36" s="31"/>
      <c r="E36" s="31"/>
      <c r="F36" s="29"/>
      <c r="G36" s="29" t="str">
        <f aca="false">IF(OR(D36="",E36="",F36=""),"",D36*E36*F36)</f>
        <v/>
      </c>
      <c r="H36" s="31"/>
      <c r="I36" s="36" t="str">
        <f aca="false">IF(OR(C36="",K36=""),"",IF(K36&gt;=_xlfn.MAXIFS($K$5:K35,$C$5:C35,C36),"Yes","No"))</f>
        <v/>
      </c>
      <c r="J36" s="32"/>
      <c r="K36" s="48" t="str">
        <f aca="false">IF(OR(E36="",F36=""),"",F36*(1+E36/30))</f>
        <v/>
      </c>
      <c r="L36" s="36" t="str">
        <f aca="false">IF(A36="","",INT((A36-StartDate)/7)+1)</f>
        <v/>
      </c>
      <c r="M36" s="36" t="str">
        <f aca="false">IF(A36="","",TEXT(A36,"mmm"))</f>
        <v/>
      </c>
      <c r="N36" s="48" t="str">
        <f aca="false">IFERROR(IF(ISNUMBER(SEARCH("squat",C36)),K36,""),"")</f>
        <v/>
      </c>
      <c r="O36" s="48" t="str">
        <f aca="false">IFERROR(IF(ISNUMBER(SEARCH("bench",C36)),K36,""),"")</f>
        <v/>
      </c>
      <c r="P36" s="48" t="str">
        <f aca="false">IFERROR(IF(ISNUMBER(SEARCH("deadlift",C36)),K36,""),"")</f>
        <v/>
      </c>
      <c r="V36" s="48" t="n">
        <f aca="false">MAX(V35,IF(N36="",0,N36))</f>
        <v>144.666666666667</v>
      </c>
      <c r="W36" s="48" t="n">
        <f aca="false">MAX(W35,IF(O36="",0,O36))</f>
        <v>99.1666666666667</v>
      </c>
      <c r="X36" s="48" t="n">
        <f aca="false">MAX(X35,IF(P36="",0,P36))</f>
        <v>175.666666666667</v>
      </c>
      <c r="Y36" s="48" t="n">
        <f aca="false">V36+W36+X36</f>
        <v>419.5</v>
      </c>
    </row>
    <row r="37" customFormat="false" ht="15" hidden="false" customHeight="false" outlineLevel="0" collapsed="false">
      <c r="A37" s="45"/>
      <c r="B37" s="31"/>
      <c r="C37" s="32"/>
      <c r="D37" s="31"/>
      <c r="E37" s="31"/>
      <c r="F37" s="29"/>
      <c r="G37" s="29" t="str">
        <f aca="false">IF(OR(D37="",E37="",F37=""),"",D37*E37*F37)</f>
        <v/>
      </c>
      <c r="H37" s="31"/>
      <c r="I37" s="46" t="str">
        <f aca="false">IF(OR(C37="",K37=""),"",IF(K37&gt;=_xlfn.MAXIFS($K$5:K36,$C$5:C36,C37),"Yes","No"))</f>
        <v/>
      </c>
      <c r="J37" s="32"/>
      <c r="K37" s="47" t="str">
        <f aca="false">IF(OR(E37="",F37=""),"",F37*(1+E37/30))</f>
        <v/>
      </c>
      <c r="L37" s="27" t="str">
        <f aca="false">IF(A37="","",INT((A37-StartDate)/7)+1)</f>
        <v/>
      </c>
      <c r="M37" s="27" t="str">
        <f aca="false">IF(A37="","",TEXT(A37,"mmm"))</f>
        <v/>
      </c>
      <c r="N37" s="47" t="str">
        <f aca="false">IFERROR(IF(ISNUMBER(SEARCH("squat",C37)),K37,""),"")</f>
        <v/>
      </c>
      <c r="O37" s="47" t="str">
        <f aca="false">IFERROR(IF(ISNUMBER(SEARCH("bench",C37)),K37,""),"")</f>
        <v/>
      </c>
      <c r="P37" s="47" t="str">
        <f aca="false">IFERROR(IF(ISNUMBER(SEARCH("deadlift",C37)),K37,""),"")</f>
        <v/>
      </c>
      <c r="V37" s="47" t="n">
        <f aca="false">MAX(V36,IF(N37="",0,N37))</f>
        <v>144.666666666667</v>
      </c>
      <c r="W37" s="47" t="n">
        <f aca="false">MAX(W36,IF(O37="",0,O37))</f>
        <v>99.1666666666667</v>
      </c>
      <c r="X37" s="47" t="n">
        <f aca="false">MAX(X36,IF(P37="",0,P37))</f>
        <v>175.666666666667</v>
      </c>
      <c r="Y37" s="47" t="n">
        <f aca="false">V37+W37+X37</f>
        <v>419.5</v>
      </c>
    </row>
    <row r="38" customFormat="false" ht="15" hidden="false" customHeight="false" outlineLevel="0" collapsed="false">
      <c r="A38" s="45"/>
      <c r="B38" s="31"/>
      <c r="C38" s="32"/>
      <c r="D38" s="31"/>
      <c r="E38" s="31"/>
      <c r="F38" s="29"/>
      <c r="G38" s="29" t="str">
        <f aca="false">IF(OR(D38="",E38="",F38=""),"",D38*E38*F38)</f>
        <v/>
      </c>
      <c r="H38" s="31"/>
      <c r="I38" s="36" t="str">
        <f aca="false">IF(OR(C38="",K38=""),"",IF(K38&gt;=_xlfn.MAXIFS($K$5:K37,$C$5:C37,C38),"Yes","No"))</f>
        <v/>
      </c>
      <c r="J38" s="32"/>
      <c r="K38" s="48" t="str">
        <f aca="false">IF(OR(E38="",F38=""),"",F38*(1+E38/30))</f>
        <v/>
      </c>
      <c r="L38" s="36" t="str">
        <f aca="false">IF(A38="","",INT((A38-StartDate)/7)+1)</f>
        <v/>
      </c>
      <c r="M38" s="36" t="str">
        <f aca="false">IF(A38="","",TEXT(A38,"mmm"))</f>
        <v/>
      </c>
      <c r="N38" s="48" t="str">
        <f aca="false">IFERROR(IF(ISNUMBER(SEARCH("squat",C38)),K38,""),"")</f>
        <v/>
      </c>
      <c r="O38" s="48" t="str">
        <f aca="false">IFERROR(IF(ISNUMBER(SEARCH("bench",C38)),K38,""),"")</f>
        <v/>
      </c>
      <c r="P38" s="48" t="str">
        <f aca="false">IFERROR(IF(ISNUMBER(SEARCH("deadlift",C38)),K38,""),"")</f>
        <v/>
      </c>
      <c r="V38" s="48" t="n">
        <f aca="false">MAX(V37,IF(N38="",0,N38))</f>
        <v>144.666666666667</v>
      </c>
      <c r="W38" s="48" t="n">
        <f aca="false">MAX(W37,IF(O38="",0,O38))</f>
        <v>99.1666666666667</v>
      </c>
      <c r="X38" s="48" t="n">
        <f aca="false">MAX(X37,IF(P38="",0,P38))</f>
        <v>175.666666666667</v>
      </c>
      <c r="Y38" s="48" t="n">
        <f aca="false">V38+W38+X38</f>
        <v>419.5</v>
      </c>
    </row>
    <row r="39" customFormat="false" ht="15" hidden="false" customHeight="false" outlineLevel="0" collapsed="false">
      <c r="A39" s="45"/>
      <c r="B39" s="31"/>
      <c r="C39" s="32"/>
      <c r="D39" s="31"/>
      <c r="E39" s="31"/>
      <c r="F39" s="29"/>
      <c r="G39" s="29" t="str">
        <f aca="false">IF(OR(D39="",E39="",F39=""),"",D39*E39*F39)</f>
        <v/>
      </c>
      <c r="H39" s="31"/>
      <c r="I39" s="46" t="str">
        <f aca="false">IF(OR(C39="",K39=""),"",IF(K39&gt;=_xlfn.MAXIFS($K$5:K38,$C$5:C38,C39),"Yes","No"))</f>
        <v/>
      </c>
      <c r="J39" s="32"/>
      <c r="K39" s="47" t="str">
        <f aca="false">IF(OR(E39="",F39=""),"",F39*(1+E39/30))</f>
        <v/>
      </c>
      <c r="L39" s="27" t="str">
        <f aca="false">IF(A39="","",INT((A39-StartDate)/7)+1)</f>
        <v/>
      </c>
      <c r="M39" s="27" t="str">
        <f aca="false">IF(A39="","",TEXT(A39,"mmm"))</f>
        <v/>
      </c>
      <c r="N39" s="47" t="str">
        <f aca="false">IFERROR(IF(ISNUMBER(SEARCH("squat",C39)),K39,""),"")</f>
        <v/>
      </c>
      <c r="O39" s="47" t="str">
        <f aca="false">IFERROR(IF(ISNUMBER(SEARCH("bench",C39)),K39,""),"")</f>
        <v/>
      </c>
      <c r="P39" s="47" t="str">
        <f aca="false">IFERROR(IF(ISNUMBER(SEARCH("deadlift",C39)),K39,""),"")</f>
        <v/>
      </c>
      <c r="V39" s="47" t="n">
        <f aca="false">MAX(V38,IF(N39="",0,N39))</f>
        <v>144.666666666667</v>
      </c>
      <c r="W39" s="47" t="n">
        <f aca="false">MAX(W38,IF(O39="",0,O39))</f>
        <v>99.1666666666667</v>
      </c>
      <c r="X39" s="47" t="n">
        <f aca="false">MAX(X38,IF(P39="",0,P39))</f>
        <v>175.666666666667</v>
      </c>
      <c r="Y39" s="47" t="n">
        <f aca="false">V39+W39+X39</f>
        <v>419.5</v>
      </c>
    </row>
    <row r="40" customFormat="false" ht="15" hidden="false" customHeight="false" outlineLevel="0" collapsed="false">
      <c r="A40" s="45"/>
      <c r="B40" s="31"/>
      <c r="C40" s="32"/>
      <c r="D40" s="31"/>
      <c r="E40" s="31"/>
      <c r="F40" s="29"/>
      <c r="G40" s="29" t="str">
        <f aca="false">IF(OR(D40="",E40="",F40=""),"",D40*E40*F40)</f>
        <v/>
      </c>
      <c r="H40" s="31"/>
      <c r="I40" s="36" t="str">
        <f aca="false">IF(OR(C40="",K40=""),"",IF(K40&gt;=_xlfn.MAXIFS($K$5:K39,$C$5:C39,C40),"Yes","No"))</f>
        <v/>
      </c>
      <c r="J40" s="32"/>
      <c r="K40" s="48" t="str">
        <f aca="false">IF(OR(E40="",F40=""),"",F40*(1+E40/30))</f>
        <v/>
      </c>
      <c r="L40" s="36" t="str">
        <f aca="false">IF(A40="","",INT((A40-StartDate)/7)+1)</f>
        <v/>
      </c>
      <c r="M40" s="36" t="str">
        <f aca="false">IF(A40="","",TEXT(A40,"mmm"))</f>
        <v/>
      </c>
      <c r="N40" s="48" t="str">
        <f aca="false">IFERROR(IF(ISNUMBER(SEARCH("squat",C40)),K40,""),"")</f>
        <v/>
      </c>
      <c r="O40" s="48" t="str">
        <f aca="false">IFERROR(IF(ISNUMBER(SEARCH("bench",C40)),K40,""),"")</f>
        <v/>
      </c>
      <c r="P40" s="48" t="str">
        <f aca="false">IFERROR(IF(ISNUMBER(SEARCH("deadlift",C40)),K40,""),"")</f>
        <v/>
      </c>
      <c r="V40" s="48" t="n">
        <f aca="false">MAX(V39,IF(N40="",0,N40))</f>
        <v>144.666666666667</v>
      </c>
      <c r="W40" s="48" t="n">
        <f aca="false">MAX(W39,IF(O40="",0,O40))</f>
        <v>99.1666666666667</v>
      </c>
      <c r="X40" s="48" t="n">
        <f aca="false">MAX(X39,IF(P40="",0,P40))</f>
        <v>175.666666666667</v>
      </c>
      <c r="Y40" s="48" t="n">
        <f aca="false">V40+W40+X40</f>
        <v>419.5</v>
      </c>
    </row>
    <row r="41" customFormat="false" ht="15" hidden="false" customHeight="false" outlineLevel="0" collapsed="false">
      <c r="A41" s="45"/>
      <c r="B41" s="31"/>
      <c r="C41" s="32"/>
      <c r="D41" s="31"/>
      <c r="E41" s="31"/>
      <c r="F41" s="29"/>
      <c r="G41" s="29" t="str">
        <f aca="false">IF(OR(D41="",E41="",F41=""),"",D41*E41*F41)</f>
        <v/>
      </c>
      <c r="H41" s="31"/>
      <c r="I41" s="46" t="str">
        <f aca="false">IF(OR(C41="",K41=""),"",IF(K41&gt;=_xlfn.MAXIFS($K$5:K40,$C$5:C40,C41),"Yes","No"))</f>
        <v/>
      </c>
      <c r="J41" s="32"/>
      <c r="K41" s="47" t="str">
        <f aca="false">IF(OR(E41="",F41=""),"",F41*(1+E41/30))</f>
        <v/>
      </c>
      <c r="L41" s="27" t="str">
        <f aca="false">IF(A41="","",INT((A41-StartDate)/7)+1)</f>
        <v/>
      </c>
      <c r="M41" s="27" t="str">
        <f aca="false">IF(A41="","",TEXT(A41,"mmm"))</f>
        <v/>
      </c>
      <c r="N41" s="47" t="str">
        <f aca="false">IFERROR(IF(ISNUMBER(SEARCH("squat",C41)),K41,""),"")</f>
        <v/>
      </c>
      <c r="O41" s="47" t="str">
        <f aca="false">IFERROR(IF(ISNUMBER(SEARCH("bench",C41)),K41,""),"")</f>
        <v/>
      </c>
      <c r="P41" s="47" t="str">
        <f aca="false">IFERROR(IF(ISNUMBER(SEARCH("deadlift",C41)),K41,""),"")</f>
        <v/>
      </c>
      <c r="V41" s="47" t="n">
        <f aca="false">MAX(V40,IF(N41="",0,N41))</f>
        <v>144.666666666667</v>
      </c>
      <c r="W41" s="47" t="n">
        <f aca="false">MAX(W40,IF(O41="",0,O41))</f>
        <v>99.1666666666667</v>
      </c>
      <c r="X41" s="47" t="n">
        <f aca="false">MAX(X40,IF(P41="",0,P41))</f>
        <v>175.666666666667</v>
      </c>
      <c r="Y41" s="47" t="n">
        <f aca="false">V41+W41+X41</f>
        <v>419.5</v>
      </c>
    </row>
    <row r="42" customFormat="false" ht="15" hidden="false" customHeight="false" outlineLevel="0" collapsed="false">
      <c r="A42" s="45"/>
      <c r="B42" s="31"/>
      <c r="C42" s="32"/>
      <c r="D42" s="31"/>
      <c r="E42" s="31"/>
      <c r="F42" s="29"/>
      <c r="G42" s="29" t="str">
        <f aca="false">IF(OR(D42="",E42="",F42=""),"",D42*E42*F42)</f>
        <v/>
      </c>
      <c r="H42" s="31"/>
      <c r="I42" s="36" t="str">
        <f aca="false">IF(OR(C42="",K42=""),"",IF(K42&gt;=_xlfn.MAXIFS($K$5:K41,$C$5:C41,C42),"Yes","No"))</f>
        <v/>
      </c>
      <c r="J42" s="32"/>
      <c r="K42" s="48" t="str">
        <f aca="false">IF(OR(E42="",F42=""),"",F42*(1+E42/30))</f>
        <v/>
      </c>
      <c r="L42" s="36" t="str">
        <f aca="false">IF(A42="","",INT((A42-StartDate)/7)+1)</f>
        <v/>
      </c>
      <c r="M42" s="36" t="str">
        <f aca="false">IF(A42="","",TEXT(A42,"mmm"))</f>
        <v/>
      </c>
      <c r="N42" s="48" t="str">
        <f aca="false">IFERROR(IF(ISNUMBER(SEARCH("squat",C42)),K42,""),"")</f>
        <v/>
      </c>
      <c r="O42" s="48" t="str">
        <f aca="false">IFERROR(IF(ISNUMBER(SEARCH("bench",C42)),K42,""),"")</f>
        <v/>
      </c>
      <c r="P42" s="48" t="str">
        <f aca="false">IFERROR(IF(ISNUMBER(SEARCH("deadlift",C42)),K42,""),"")</f>
        <v/>
      </c>
      <c r="V42" s="48" t="n">
        <f aca="false">MAX(V41,IF(N42="",0,N42))</f>
        <v>144.666666666667</v>
      </c>
      <c r="W42" s="48" t="n">
        <f aca="false">MAX(W41,IF(O42="",0,O42))</f>
        <v>99.1666666666667</v>
      </c>
      <c r="X42" s="48" t="n">
        <f aca="false">MAX(X41,IF(P42="",0,P42))</f>
        <v>175.666666666667</v>
      </c>
      <c r="Y42" s="48" t="n">
        <f aca="false">V42+W42+X42</f>
        <v>419.5</v>
      </c>
    </row>
    <row r="43" customFormat="false" ht="15" hidden="false" customHeight="false" outlineLevel="0" collapsed="false">
      <c r="A43" s="45"/>
      <c r="B43" s="31"/>
      <c r="C43" s="32"/>
      <c r="D43" s="31"/>
      <c r="E43" s="31"/>
      <c r="F43" s="29"/>
      <c r="G43" s="29" t="str">
        <f aca="false">IF(OR(D43="",E43="",F43=""),"",D43*E43*F43)</f>
        <v/>
      </c>
      <c r="H43" s="31"/>
      <c r="I43" s="46" t="str">
        <f aca="false">IF(OR(C43="",K43=""),"",IF(K43&gt;=_xlfn.MAXIFS($K$5:K42,$C$5:C42,C43),"Yes","No"))</f>
        <v/>
      </c>
      <c r="J43" s="32"/>
      <c r="K43" s="47" t="str">
        <f aca="false">IF(OR(E43="",F43=""),"",F43*(1+E43/30))</f>
        <v/>
      </c>
      <c r="L43" s="27" t="str">
        <f aca="false">IF(A43="","",INT((A43-StartDate)/7)+1)</f>
        <v/>
      </c>
      <c r="M43" s="27" t="str">
        <f aca="false">IF(A43="","",TEXT(A43,"mmm"))</f>
        <v/>
      </c>
      <c r="N43" s="47" t="str">
        <f aca="false">IFERROR(IF(ISNUMBER(SEARCH("squat",C43)),K43,""),"")</f>
        <v/>
      </c>
      <c r="O43" s="47" t="str">
        <f aca="false">IFERROR(IF(ISNUMBER(SEARCH("bench",C43)),K43,""),"")</f>
        <v/>
      </c>
      <c r="P43" s="47" t="str">
        <f aca="false">IFERROR(IF(ISNUMBER(SEARCH("deadlift",C43)),K43,""),"")</f>
        <v/>
      </c>
      <c r="V43" s="47" t="n">
        <f aca="false">MAX(V42,IF(N43="",0,N43))</f>
        <v>144.666666666667</v>
      </c>
      <c r="W43" s="47" t="n">
        <f aca="false">MAX(W42,IF(O43="",0,O43))</f>
        <v>99.1666666666667</v>
      </c>
      <c r="X43" s="47" t="n">
        <f aca="false">MAX(X42,IF(P43="",0,P43))</f>
        <v>175.666666666667</v>
      </c>
      <c r="Y43" s="47" t="n">
        <f aca="false">V43+W43+X43</f>
        <v>419.5</v>
      </c>
    </row>
    <row r="44" customFormat="false" ht="15" hidden="false" customHeight="false" outlineLevel="0" collapsed="false">
      <c r="A44" s="45"/>
      <c r="B44" s="31"/>
      <c r="C44" s="32"/>
      <c r="D44" s="31"/>
      <c r="E44" s="31"/>
      <c r="F44" s="29"/>
      <c r="G44" s="29" t="str">
        <f aca="false">IF(OR(D44="",E44="",F44=""),"",D44*E44*F44)</f>
        <v/>
      </c>
      <c r="H44" s="31"/>
      <c r="I44" s="36" t="str">
        <f aca="false">IF(OR(C44="",K44=""),"",IF(K44&gt;=_xlfn.MAXIFS($K$5:K43,$C$5:C43,C44),"Yes","No"))</f>
        <v/>
      </c>
      <c r="J44" s="32"/>
      <c r="K44" s="48" t="str">
        <f aca="false">IF(OR(E44="",F44=""),"",F44*(1+E44/30))</f>
        <v/>
      </c>
      <c r="L44" s="36" t="str">
        <f aca="false">IF(A44="","",INT((A44-StartDate)/7)+1)</f>
        <v/>
      </c>
      <c r="M44" s="36" t="str">
        <f aca="false">IF(A44="","",TEXT(A44,"mmm"))</f>
        <v/>
      </c>
      <c r="N44" s="48" t="str">
        <f aca="false">IFERROR(IF(ISNUMBER(SEARCH("squat",C44)),K44,""),"")</f>
        <v/>
      </c>
      <c r="O44" s="48" t="str">
        <f aca="false">IFERROR(IF(ISNUMBER(SEARCH("bench",C44)),K44,""),"")</f>
        <v/>
      </c>
      <c r="P44" s="48" t="str">
        <f aca="false">IFERROR(IF(ISNUMBER(SEARCH("deadlift",C44)),K44,""),"")</f>
        <v/>
      </c>
      <c r="V44" s="48" t="n">
        <f aca="false">MAX(V43,IF(N44="",0,N44))</f>
        <v>144.666666666667</v>
      </c>
      <c r="W44" s="48" t="n">
        <f aca="false">MAX(W43,IF(O44="",0,O44))</f>
        <v>99.1666666666667</v>
      </c>
      <c r="X44" s="48" t="n">
        <f aca="false">MAX(X43,IF(P44="",0,P44))</f>
        <v>175.666666666667</v>
      </c>
      <c r="Y44" s="48" t="n">
        <f aca="false">V44+W44+X44</f>
        <v>419.5</v>
      </c>
    </row>
    <row r="45" customFormat="false" ht="15" hidden="false" customHeight="false" outlineLevel="0" collapsed="false">
      <c r="A45" s="45"/>
      <c r="B45" s="31"/>
      <c r="C45" s="32"/>
      <c r="D45" s="31"/>
      <c r="E45" s="31"/>
      <c r="F45" s="29"/>
      <c r="G45" s="29" t="str">
        <f aca="false">IF(OR(D45="",E45="",F45=""),"",D45*E45*F45)</f>
        <v/>
      </c>
      <c r="H45" s="31"/>
      <c r="I45" s="46" t="str">
        <f aca="false">IF(OR(C45="",K45=""),"",IF(K45&gt;=_xlfn.MAXIFS($K$5:K44,$C$5:C44,C45),"Yes","No"))</f>
        <v/>
      </c>
      <c r="J45" s="32"/>
      <c r="K45" s="47" t="str">
        <f aca="false">IF(OR(E45="",F45=""),"",F45*(1+E45/30))</f>
        <v/>
      </c>
      <c r="L45" s="27" t="str">
        <f aca="false">IF(A45="","",INT((A45-StartDate)/7)+1)</f>
        <v/>
      </c>
      <c r="M45" s="27" t="str">
        <f aca="false">IF(A45="","",TEXT(A45,"mmm"))</f>
        <v/>
      </c>
      <c r="N45" s="47" t="str">
        <f aca="false">IFERROR(IF(ISNUMBER(SEARCH("squat",C45)),K45,""),"")</f>
        <v/>
      </c>
      <c r="O45" s="47" t="str">
        <f aca="false">IFERROR(IF(ISNUMBER(SEARCH("bench",C45)),K45,""),"")</f>
        <v/>
      </c>
      <c r="P45" s="47" t="str">
        <f aca="false">IFERROR(IF(ISNUMBER(SEARCH("deadlift",C45)),K45,""),"")</f>
        <v/>
      </c>
      <c r="V45" s="47" t="n">
        <f aca="false">MAX(V44,IF(N45="",0,N45))</f>
        <v>144.666666666667</v>
      </c>
      <c r="W45" s="47" t="n">
        <f aca="false">MAX(W44,IF(O45="",0,O45))</f>
        <v>99.1666666666667</v>
      </c>
      <c r="X45" s="47" t="n">
        <f aca="false">MAX(X44,IF(P45="",0,P45))</f>
        <v>175.666666666667</v>
      </c>
      <c r="Y45" s="47" t="n">
        <f aca="false">V45+W45+X45</f>
        <v>419.5</v>
      </c>
    </row>
    <row r="46" customFormat="false" ht="15" hidden="false" customHeight="false" outlineLevel="0" collapsed="false">
      <c r="A46" s="45"/>
      <c r="B46" s="31"/>
      <c r="C46" s="32"/>
      <c r="D46" s="31"/>
      <c r="E46" s="31"/>
      <c r="F46" s="29"/>
      <c r="G46" s="29" t="str">
        <f aca="false">IF(OR(D46="",E46="",F46=""),"",D46*E46*F46)</f>
        <v/>
      </c>
      <c r="H46" s="31"/>
      <c r="I46" s="36" t="str">
        <f aca="false">IF(OR(C46="",K46=""),"",IF(K46&gt;=_xlfn.MAXIFS($K$5:K45,$C$5:C45,C46),"Yes","No"))</f>
        <v/>
      </c>
      <c r="J46" s="32"/>
      <c r="K46" s="48" t="str">
        <f aca="false">IF(OR(E46="",F46=""),"",F46*(1+E46/30))</f>
        <v/>
      </c>
      <c r="L46" s="36" t="str">
        <f aca="false">IF(A46="","",INT((A46-StartDate)/7)+1)</f>
        <v/>
      </c>
      <c r="M46" s="36" t="str">
        <f aca="false">IF(A46="","",TEXT(A46,"mmm"))</f>
        <v/>
      </c>
      <c r="N46" s="48" t="str">
        <f aca="false">IFERROR(IF(ISNUMBER(SEARCH("squat",C46)),K46,""),"")</f>
        <v/>
      </c>
      <c r="O46" s="48" t="str">
        <f aca="false">IFERROR(IF(ISNUMBER(SEARCH("bench",C46)),K46,""),"")</f>
        <v/>
      </c>
      <c r="P46" s="48" t="str">
        <f aca="false">IFERROR(IF(ISNUMBER(SEARCH("deadlift",C46)),K46,""),"")</f>
        <v/>
      </c>
      <c r="V46" s="48" t="n">
        <f aca="false">MAX(V45,IF(N46="",0,N46))</f>
        <v>144.666666666667</v>
      </c>
      <c r="W46" s="48" t="n">
        <f aca="false">MAX(W45,IF(O46="",0,O46))</f>
        <v>99.1666666666667</v>
      </c>
      <c r="X46" s="48" t="n">
        <f aca="false">MAX(X45,IF(P46="",0,P46))</f>
        <v>175.666666666667</v>
      </c>
      <c r="Y46" s="48" t="n">
        <f aca="false">V46+W46+X46</f>
        <v>419.5</v>
      </c>
    </row>
    <row r="47" customFormat="false" ht="15" hidden="false" customHeight="false" outlineLevel="0" collapsed="false">
      <c r="A47" s="45"/>
      <c r="B47" s="31"/>
      <c r="C47" s="32"/>
      <c r="D47" s="31"/>
      <c r="E47" s="31"/>
      <c r="F47" s="29"/>
      <c r="G47" s="29" t="str">
        <f aca="false">IF(OR(D47="",E47="",F47=""),"",D47*E47*F47)</f>
        <v/>
      </c>
      <c r="H47" s="31"/>
      <c r="I47" s="46" t="str">
        <f aca="false">IF(OR(C47="",K47=""),"",IF(K47&gt;=_xlfn.MAXIFS($K$5:K46,$C$5:C46,C47),"Yes","No"))</f>
        <v/>
      </c>
      <c r="J47" s="32"/>
      <c r="K47" s="47" t="str">
        <f aca="false">IF(OR(E47="",F47=""),"",F47*(1+E47/30))</f>
        <v/>
      </c>
      <c r="L47" s="27" t="str">
        <f aca="false">IF(A47="","",INT((A47-StartDate)/7)+1)</f>
        <v/>
      </c>
      <c r="M47" s="27" t="str">
        <f aca="false">IF(A47="","",TEXT(A47,"mmm"))</f>
        <v/>
      </c>
      <c r="N47" s="47" t="str">
        <f aca="false">IFERROR(IF(ISNUMBER(SEARCH("squat",C47)),K47,""),"")</f>
        <v/>
      </c>
      <c r="O47" s="47" t="str">
        <f aca="false">IFERROR(IF(ISNUMBER(SEARCH("bench",C47)),K47,""),"")</f>
        <v/>
      </c>
      <c r="P47" s="47" t="str">
        <f aca="false">IFERROR(IF(ISNUMBER(SEARCH("deadlift",C47)),K47,""),"")</f>
        <v/>
      </c>
      <c r="V47" s="47" t="n">
        <f aca="false">MAX(V46,IF(N47="",0,N47))</f>
        <v>144.666666666667</v>
      </c>
      <c r="W47" s="47" t="n">
        <f aca="false">MAX(W46,IF(O47="",0,O47))</f>
        <v>99.1666666666667</v>
      </c>
      <c r="X47" s="47" t="n">
        <f aca="false">MAX(X46,IF(P47="",0,P47))</f>
        <v>175.666666666667</v>
      </c>
      <c r="Y47" s="47" t="n">
        <f aca="false">V47+W47+X47</f>
        <v>419.5</v>
      </c>
    </row>
    <row r="48" customFormat="false" ht="15" hidden="false" customHeight="false" outlineLevel="0" collapsed="false">
      <c r="A48" s="45"/>
      <c r="B48" s="31"/>
      <c r="C48" s="32"/>
      <c r="D48" s="31"/>
      <c r="E48" s="31"/>
      <c r="F48" s="29"/>
      <c r="G48" s="29" t="str">
        <f aca="false">IF(OR(D48="",E48="",F48=""),"",D48*E48*F48)</f>
        <v/>
      </c>
      <c r="H48" s="31"/>
      <c r="I48" s="36" t="str">
        <f aca="false">IF(OR(C48="",K48=""),"",IF(K48&gt;=_xlfn.MAXIFS($K$5:K47,$C$5:C47,C48),"Yes","No"))</f>
        <v/>
      </c>
      <c r="J48" s="32"/>
      <c r="K48" s="48" t="str">
        <f aca="false">IF(OR(E48="",F48=""),"",F48*(1+E48/30))</f>
        <v/>
      </c>
      <c r="L48" s="36" t="str">
        <f aca="false">IF(A48="","",INT((A48-StartDate)/7)+1)</f>
        <v/>
      </c>
      <c r="M48" s="36" t="str">
        <f aca="false">IF(A48="","",TEXT(A48,"mmm"))</f>
        <v/>
      </c>
      <c r="N48" s="48" t="str">
        <f aca="false">IFERROR(IF(ISNUMBER(SEARCH("squat",C48)),K48,""),"")</f>
        <v/>
      </c>
      <c r="O48" s="48" t="str">
        <f aca="false">IFERROR(IF(ISNUMBER(SEARCH("bench",C48)),K48,""),"")</f>
        <v/>
      </c>
      <c r="P48" s="48" t="str">
        <f aca="false">IFERROR(IF(ISNUMBER(SEARCH("deadlift",C48)),K48,""),"")</f>
        <v/>
      </c>
      <c r="V48" s="48" t="n">
        <f aca="false">MAX(V47,IF(N48="",0,N48))</f>
        <v>144.666666666667</v>
      </c>
      <c r="W48" s="48" t="n">
        <f aca="false">MAX(W47,IF(O48="",0,O48))</f>
        <v>99.1666666666667</v>
      </c>
      <c r="X48" s="48" t="n">
        <f aca="false">MAX(X47,IF(P48="",0,P48))</f>
        <v>175.666666666667</v>
      </c>
      <c r="Y48" s="48" t="n">
        <f aca="false">V48+W48+X48</f>
        <v>419.5</v>
      </c>
    </row>
    <row r="49" customFormat="false" ht="15" hidden="false" customHeight="false" outlineLevel="0" collapsed="false">
      <c r="A49" s="45"/>
      <c r="B49" s="31"/>
      <c r="C49" s="32"/>
      <c r="D49" s="31"/>
      <c r="E49" s="31"/>
      <c r="F49" s="29"/>
      <c r="G49" s="29" t="str">
        <f aca="false">IF(OR(D49="",E49="",F49=""),"",D49*E49*F49)</f>
        <v/>
      </c>
      <c r="H49" s="31"/>
      <c r="I49" s="46" t="str">
        <f aca="false">IF(OR(C49="",K49=""),"",IF(K49&gt;=_xlfn.MAXIFS($K$5:K48,$C$5:C48,C49),"Yes","No"))</f>
        <v/>
      </c>
      <c r="J49" s="32"/>
      <c r="K49" s="47" t="str">
        <f aca="false">IF(OR(E49="",F49=""),"",F49*(1+E49/30))</f>
        <v/>
      </c>
      <c r="L49" s="27" t="str">
        <f aca="false">IF(A49="","",INT((A49-StartDate)/7)+1)</f>
        <v/>
      </c>
      <c r="M49" s="27" t="str">
        <f aca="false">IF(A49="","",TEXT(A49,"mmm"))</f>
        <v/>
      </c>
      <c r="N49" s="47" t="str">
        <f aca="false">IFERROR(IF(ISNUMBER(SEARCH("squat",C49)),K49,""),"")</f>
        <v/>
      </c>
      <c r="O49" s="47" t="str">
        <f aca="false">IFERROR(IF(ISNUMBER(SEARCH("bench",C49)),K49,""),"")</f>
        <v/>
      </c>
      <c r="P49" s="47" t="str">
        <f aca="false">IFERROR(IF(ISNUMBER(SEARCH("deadlift",C49)),K49,""),"")</f>
        <v/>
      </c>
      <c r="V49" s="47" t="n">
        <f aca="false">MAX(V48,IF(N49="",0,N49))</f>
        <v>144.666666666667</v>
      </c>
      <c r="W49" s="47" t="n">
        <f aca="false">MAX(W48,IF(O49="",0,O49))</f>
        <v>99.1666666666667</v>
      </c>
      <c r="X49" s="47" t="n">
        <f aca="false">MAX(X48,IF(P49="",0,P49))</f>
        <v>175.666666666667</v>
      </c>
      <c r="Y49" s="47" t="n">
        <f aca="false">V49+W49+X49</f>
        <v>419.5</v>
      </c>
    </row>
    <row r="50" customFormat="false" ht="15" hidden="false" customHeight="false" outlineLevel="0" collapsed="false">
      <c r="A50" s="45"/>
      <c r="B50" s="31"/>
      <c r="C50" s="32"/>
      <c r="D50" s="31"/>
      <c r="E50" s="31"/>
      <c r="F50" s="29"/>
      <c r="G50" s="29" t="str">
        <f aca="false">IF(OR(D50="",E50="",F50=""),"",D50*E50*F50)</f>
        <v/>
      </c>
      <c r="H50" s="31"/>
      <c r="I50" s="36" t="str">
        <f aca="false">IF(OR(C50="",K50=""),"",IF(K50&gt;=_xlfn.MAXIFS($K$5:K49,$C$5:C49,C50),"Yes","No"))</f>
        <v/>
      </c>
      <c r="J50" s="32"/>
      <c r="K50" s="48" t="str">
        <f aca="false">IF(OR(E50="",F50=""),"",F50*(1+E50/30))</f>
        <v/>
      </c>
      <c r="L50" s="36" t="str">
        <f aca="false">IF(A50="","",INT((A50-StartDate)/7)+1)</f>
        <v/>
      </c>
      <c r="M50" s="36" t="str">
        <f aca="false">IF(A50="","",TEXT(A50,"mmm"))</f>
        <v/>
      </c>
      <c r="N50" s="48" t="str">
        <f aca="false">IFERROR(IF(ISNUMBER(SEARCH("squat",C50)),K50,""),"")</f>
        <v/>
      </c>
      <c r="O50" s="48" t="str">
        <f aca="false">IFERROR(IF(ISNUMBER(SEARCH("bench",C50)),K50,""),"")</f>
        <v/>
      </c>
      <c r="P50" s="48" t="str">
        <f aca="false">IFERROR(IF(ISNUMBER(SEARCH("deadlift",C50)),K50,""),"")</f>
        <v/>
      </c>
      <c r="V50" s="48" t="n">
        <f aca="false">MAX(V49,IF(N50="",0,N50))</f>
        <v>144.666666666667</v>
      </c>
      <c r="W50" s="48" t="n">
        <f aca="false">MAX(W49,IF(O50="",0,O50))</f>
        <v>99.1666666666667</v>
      </c>
      <c r="X50" s="48" t="n">
        <f aca="false">MAX(X49,IF(P50="",0,P50))</f>
        <v>175.666666666667</v>
      </c>
      <c r="Y50" s="48" t="n">
        <f aca="false">V50+W50+X50</f>
        <v>419.5</v>
      </c>
    </row>
    <row r="51" customFormat="false" ht="15" hidden="false" customHeight="false" outlineLevel="0" collapsed="false">
      <c r="A51" s="45"/>
      <c r="B51" s="31"/>
      <c r="C51" s="32"/>
      <c r="D51" s="31"/>
      <c r="E51" s="31"/>
      <c r="F51" s="29"/>
      <c r="G51" s="29" t="str">
        <f aca="false">IF(OR(D51="",E51="",F51=""),"",D51*E51*F51)</f>
        <v/>
      </c>
      <c r="H51" s="31"/>
      <c r="I51" s="46" t="str">
        <f aca="false">IF(OR(C51="",K51=""),"",IF(K51&gt;=_xlfn.MAXIFS($K$5:K50,$C$5:C50,C51),"Yes","No"))</f>
        <v/>
      </c>
      <c r="J51" s="32"/>
      <c r="K51" s="47" t="str">
        <f aca="false">IF(OR(E51="",F51=""),"",F51*(1+E51/30))</f>
        <v/>
      </c>
      <c r="L51" s="27" t="str">
        <f aca="false">IF(A51="","",INT((A51-StartDate)/7)+1)</f>
        <v/>
      </c>
      <c r="M51" s="27" t="str">
        <f aca="false">IF(A51="","",TEXT(A51,"mmm"))</f>
        <v/>
      </c>
      <c r="N51" s="47" t="str">
        <f aca="false">IFERROR(IF(ISNUMBER(SEARCH("squat",C51)),K51,""),"")</f>
        <v/>
      </c>
      <c r="O51" s="47" t="str">
        <f aca="false">IFERROR(IF(ISNUMBER(SEARCH("bench",C51)),K51,""),"")</f>
        <v/>
      </c>
      <c r="P51" s="47" t="str">
        <f aca="false">IFERROR(IF(ISNUMBER(SEARCH("deadlift",C51)),K51,""),"")</f>
        <v/>
      </c>
      <c r="V51" s="47" t="n">
        <f aca="false">MAX(V50,IF(N51="",0,N51))</f>
        <v>144.666666666667</v>
      </c>
      <c r="W51" s="47" t="n">
        <f aca="false">MAX(W50,IF(O51="",0,O51))</f>
        <v>99.1666666666667</v>
      </c>
      <c r="X51" s="47" t="n">
        <f aca="false">MAX(X50,IF(P51="",0,P51))</f>
        <v>175.666666666667</v>
      </c>
      <c r="Y51" s="47" t="n">
        <f aca="false">V51+W51+X51</f>
        <v>419.5</v>
      </c>
    </row>
    <row r="52" customFormat="false" ht="15" hidden="false" customHeight="false" outlineLevel="0" collapsed="false">
      <c r="A52" s="45"/>
      <c r="B52" s="31"/>
      <c r="C52" s="32"/>
      <c r="D52" s="31"/>
      <c r="E52" s="31"/>
      <c r="F52" s="29"/>
      <c r="G52" s="29" t="str">
        <f aca="false">IF(OR(D52="",E52="",F52=""),"",D52*E52*F52)</f>
        <v/>
      </c>
      <c r="H52" s="31"/>
      <c r="I52" s="36" t="str">
        <f aca="false">IF(OR(C52="",K52=""),"",IF(K52&gt;=_xlfn.MAXIFS($K$5:K51,$C$5:C51,C52),"Yes","No"))</f>
        <v/>
      </c>
      <c r="J52" s="32"/>
      <c r="K52" s="48" t="str">
        <f aca="false">IF(OR(E52="",F52=""),"",F52*(1+E52/30))</f>
        <v/>
      </c>
      <c r="L52" s="36" t="str">
        <f aca="false">IF(A52="","",INT((A52-StartDate)/7)+1)</f>
        <v/>
      </c>
      <c r="M52" s="36" t="str">
        <f aca="false">IF(A52="","",TEXT(A52,"mmm"))</f>
        <v/>
      </c>
      <c r="N52" s="48" t="str">
        <f aca="false">IFERROR(IF(ISNUMBER(SEARCH("squat",C52)),K52,""),"")</f>
        <v/>
      </c>
      <c r="O52" s="48" t="str">
        <f aca="false">IFERROR(IF(ISNUMBER(SEARCH("bench",C52)),K52,""),"")</f>
        <v/>
      </c>
      <c r="P52" s="48" t="str">
        <f aca="false">IFERROR(IF(ISNUMBER(SEARCH("deadlift",C52)),K52,""),"")</f>
        <v/>
      </c>
      <c r="V52" s="48" t="n">
        <f aca="false">MAX(V51,IF(N52="",0,N52))</f>
        <v>144.666666666667</v>
      </c>
      <c r="W52" s="48" t="n">
        <f aca="false">MAX(W51,IF(O52="",0,O52))</f>
        <v>99.1666666666667</v>
      </c>
      <c r="X52" s="48" t="n">
        <f aca="false">MAX(X51,IF(P52="",0,P52))</f>
        <v>175.666666666667</v>
      </c>
      <c r="Y52" s="48" t="n">
        <f aca="false">V52+W52+X52</f>
        <v>419.5</v>
      </c>
    </row>
    <row r="53" customFormat="false" ht="15" hidden="false" customHeight="false" outlineLevel="0" collapsed="false">
      <c r="A53" s="45"/>
      <c r="B53" s="31"/>
      <c r="C53" s="32"/>
      <c r="D53" s="31"/>
      <c r="E53" s="31"/>
      <c r="F53" s="29"/>
      <c r="G53" s="29" t="str">
        <f aca="false">IF(OR(D53="",E53="",F53=""),"",D53*E53*F53)</f>
        <v/>
      </c>
      <c r="H53" s="31"/>
      <c r="I53" s="46" t="str">
        <f aca="false">IF(OR(C53="",K53=""),"",IF(K53&gt;=_xlfn.MAXIFS($K$5:K52,$C$5:C52,C53),"Yes","No"))</f>
        <v/>
      </c>
      <c r="J53" s="32"/>
      <c r="K53" s="47" t="str">
        <f aca="false">IF(OR(E53="",F53=""),"",F53*(1+E53/30))</f>
        <v/>
      </c>
      <c r="L53" s="27" t="str">
        <f aca="false">IF(A53="","",INT((A53-StartDate)/7)+1)</f>
        <v/>
      </c>
      <c r="M53" s="27" t="str">
        <f aca="false">IF(A53="","",TEXT(A53,"mmm"))</f>
        <v/>
      </c>
      <c r="N53" s="47" t="str">
        <f aca="false">IFERROR(IF(ISNUMBER(SEARCH("squat",C53)),K53,""),"")</f>
        <v/>
      </c>
      <c r="O53" s="47" t="str">
        <f aca="false">IFERROR(IF(ISNUMBER(SEARCH("bench",C53)),K53,""),"")</f>
        <v/>
      </c>
      <c r="P53" s="47" t="str">
        <f aca="false">IFERROR(IF(ISNUMBER(SEARCH("deadlift",C53)),K53,""),"")</f>
        <v/>
      </c>
      <c r="V53" s="47" t="n">
        <f aca="false">MAX(V52,IF(N53="",0,N53))</f>
        <v>144.666666666667</v>
      </c>
      <c r="W53" s="47" t="n">
        <f aca="false">MAX(W52,IF(O53="",0,O53))</f>
        <v>99.1666666666667</v>
      </c>
      <c r="X53" s="47" t="n">
        <f aca="false">MAX(X52,IF(P53="",0,P53))</f>
        <v>175.666666666667</v>
      </c>
      <c r="Y53" s="47" t="n">
        <f aca="false">V53+W53+X53</f>
        <v>419.5</v>
      </c>
    </row>
    <row r="54" customFormat="false" ht="15" hidden="false" customHeight="false" outlineLevel="0" collapsed="false">
      <c r="A54" s="45"/>
      <c r="B54" s="31"/>
      <c r="C54" s="32"/>
      <c r="D54" s="31"/>
      <c r="E54" s="31"/>
      <c r="F54" s="29"/>
      <c r="G54" s="29" t="str">
        <f aca="false">IF(OR(D54="",E54="",F54=""),"",D54*E54*F54)</f>
        <v/>
      </c>
      <c r="H54" s="31"/>
      <c r="I54" s="36" t="str">
        <f aca="false">IF(OR(C54="",K54=""),"",IF(K54&gt;=_xlfn.MAXIFS($K$5:K53,$C$5:C53,C54),"Yes","No"))</f>
        <v/>
      </c>
      <c r="J54" s="32"/>
      <c r="K54" s="48" t="str">
        <f aca="false">IF(OR(E54="",F54=""),"",F54*(1+E54/30))</f>
        <v/>
      </c>
      <c r="L54" s="36" t="str">
        <f aca="false">IF(A54="","",INT((A54-StartDate)/7)+1)</f>
        <v/>
      </c>
      <c r="M54" s="36" t="str">
        <f aca="false">IF(A54="","",TEXT(A54,"mmm"))</f>
        <v/>
      </c>
      <c r="N54" s="48" t="str">
        <f aca="false">IFERROR(IF(ISNUMBER(SEARCH("squat",C54)),K54,""),"")</f>
        <v/>
      </c>
      <c r="O54" s="48" t="str">
        <f aca="false">IFERROR(IF(ISNUMBER(SEARCH("bench",C54)),K54,""),"")</f>
        <v/>
      </c>
      <c r="P54" s="48" t="str">
        <f aca="false">IFERROR(IF(ISNUMBER(SEARCH("deadlift",C54)),K54,""),"")</f>
        <v/>
      </c>
      <c r="V54" s="48" t="n">
        <f aca="false">MAX(V53,IF(N54="",0,N54))</f>
        <v>144.666666666667</v>
      </c>
      <c r="W54" s="48" t="n">
        <f aca="false">MAX(W53,IF(O54="",0,O54))</f>
        <v>99.1666666666667</v>
      </c>
      <c r="X54" s="48" t="n">
        <f aca="false">MAX(X53,IF(P54="",0,P54))</f>
        <v>175.666666666667</v>
      </c>
      <c r="Y54" s="48" t="n">
        <f aca="false">V54+W54+X54</f>
        <v>419.5</v>
      </c>
    </row>
    <row r="55" customFormat="false" ht="15" hidden="false" customHeight="false" outlineLevel="0" collapsed="false">
      <c r="A55" s="45"/>
      <c r="B55" s="31"/>
      <c r="C55" s="32"/>
      <c r="D55" s="31"/>
      <c r="E55" s="31"/>
      <c r="F55" s="29"/>
      <c r="G55" s="29" t="str">
        <f aca="false">IF(OR(D55="",E55="",F55=""),"",D55*E55*F55)</f>
        <v/>
      </c>
      <c r="H55" s="31"/>
      <c r="I55" s="46" t="str">
        <f aca="false">IF(OR(C55="",K55=""),"",IF(K55&gt;=_xlfn.MAXIFS($K$5:K54,$C$5:C54,C55),"Yes","No"))</f>
        <v/>
      </c>
      <c r="J55" s="32"/>
      <c r="K55" s="47" t="str">
        <f aca="false">IF(OR(E55="",F55=""),"",F55*(1+E55/30))</f>
        <v/>
      </c>
      <c r="L55" s="27" t="str">
        <f aca="false">IF(A55="","",INT((A55-StartDate)/7)+1)</f>
        <v/>
      </c>
      <c r="M55" s="27" t="str">
        <f aca="false">IF(A55="","",TEXT(A55,"mmm"))</f>
        <v/>
      </c>
      <c r="N55" s="47" t="str">
        <f aca="false">IFERROR(IF(ISNUMBER(SEARCH("squat",C55)),K55,""),"")</f>
        <v/>
      </c>
      <c r="O55" s="47" t="str">
        <f aca="false">IFERROR(IF(ISNUMBER(SEARCH("bench",C55)),K55,""),"")</f>
        <v/>
      </c>
      <c r="P55" s="47" t="str">
        <f aca="false">IFERROR(IF(ISNUMBER(SEARCH("deadlift",C55)),K55,""),"")</f>
        <v/>
      </c>
      <c r="V55" s="47" t="n">
        <f aca="false">MAX(V54,IF(N55="",0,N55))</f>
        <v>144.666666666667</v>
      </c>
      <c r="W55" s="47" t="n">
        <f aca="false">MAX(W54,IF(O55="",0,O55))</f>
        <v>99.1666666666667</v>
      </c>
      <c r="X55" s="47" t="n">
        <f aca="false">MAX(X54,IF(P55="",0,P55))</f>
        <v>175.666666666667</v>
      </c>
      <c r="Y55" s="47" t="n">
        <f aca="false">V55+W55+X55</f>
        <v>419.5</v>
      </c>
    </row>
    <row r="56" customFormat="false" ht="15" hidden="false" customHeight="false" outlineLevel="0" collapsed="false">
      <c r="A56" s="45"/>
      <c r="B56" s="31"/>
      <c r="C56" s="32"/>
      <c r="D56" s="31"/>
      <c r="E56" s="31"/>
      <c r="F56" s="29"/>
      <c r="G56" s="29" t="str">
        <f aca="false">IF(OR(D56="",E56="",F56=""),"",D56*E56*F56)</f>
        <v/>
      </c>
      <c r="H56" s="31"/>
      <c r="I56" s="36" t="str">
        <f aca="false">IF(OR(C56="",K56=""),"",IF(K56&gt;=_xlfn.MAXIFS($K$5:K55,$C$5:C55,C56),"Yes","No"))</f>
        <v/>
      </c>
      <c r="J56" s="32"/>
      <c r="K56" s="48" t="str">
        <f aca="false">IF(OR(E56="",F56=""),"",F56*(1+E56/30))</f>
        <v/>
      </c>
      <c r="L56" s="36" t="str">
        <f aca="false">IF(A56="","",INT((A56-StartDate)/7)+1)</f>
        <v/>
      </c>
      <c r="M56" s="36" t="str">
        <f aca="false">IF(A56="","",TEXT(A56,"mmm"))</f>
        <v/>
      </c>
      <c r="N56" s="48" t="str">
        <f aca="false">IFERROR(IF(ISNUMBER(SEARCH("squat",C56)),K56,""),"")</f>
        <v/>
      </c>
      <c r="O56" s="48" t="str">
        <f aca="false">IFERROR(IF(ISNUMBER(SEARCH("bench",C56)),K56,""),"")</f>
        <v/>
      </c>
      <c r="P56" s="48" t="str">
        <f aca="false">IFERROR(IF(ISNUMBER(SEARCH("deadlift",C56)),K56,""),"")</f>
        <v/>
      </c>
      <c r="V56" s="48" t="n">
        <f aca="false">MAX(V55,IF(N56="",0,N56))</f>
        <v>144.666666666667</v>
      </c>
      <c r="W56" s="48" t="n">
        <f aca="false">MAX(W55,IF(O56="",0,O56))</f>
        <v>99.1666666666667</v>
      </c>
      <c r="X56" s="48" t="n">
        <f aca="false">MAX(X55,IF(P56="",0,P56))</f>
        <v>175.666666666667</v>
      </c>
      <c r="Y56" s="48" t="n">
        <f aca="false">V56+W56+X56</f>
        <v>419.5</v>
      </c>
    </row>
    <row r="57" customFormat="false" ht="15" hidden="false" customHeight="false" outlineLevel="0" collapsed="false">
      <c r="A57" s="45"/>
      <c r="B57" s="31"/>
      <c r="C57" s="32"/>
      <c r="D57" s="31"/>
      <c r="E57" s="31"/>
      <c r="F57" s="29"/>
      <c r="G57" s="29" t="str">
        <f aca="false">IF(OR(D57="",E57="",F57=""),"",D57*E57*F57)</f>
        <v/>
      </c>
      <c r="H57" s="31"/>
      <c r="I57" s="46" t="str">
        <f aca="false">IF(OR(C57="",K57=""),"",IF(K57&gt;=_xlfn.MAXIFS($K$5:K56,$C$5:C56,C57),"Yes","No"))</f>
        <v/>
      </c>
      <c r="J57" s="32"/>
      <c r="K57" s="47" t="str">
        <f aca="false">IF(OR(E57="",F57=""),"",F57*(1+E57/30))</f>
        <v/>
      </c>
      <c r="L57" s="27" t="str">
        <f aca="false">IF(A57="","",INT((A57-StartDate)/7)+1)</f>
        <v/>
      </c>
      <c r="M57" s="27" t="str">
        <f aca="false">IF(A57="","",TEXT(A57,"mmm"))</f>
        <v/>
      </c>
      <c r="N57" s="47" t="str">
        <f aca="false">IFERROR(IF(ISNUMBER(SEARCH("squat",C57)),K57,""),"")</f>
        <v/>
      </c>
      <c r="O57" s="47" t="str">
        <f aca="false">IFERROR(IF(ISNUMBER(SEARCH("bench",C57)),K57,""),"")</f>
        <v/>
      </c>
      <c r="P57" s="47" t="str">
        <f aca="false">IFERROR(IF(ISNUMBER(SEARCH("deadlift",C57)),K57,""),"")</f>
        <v/>
      </c>
      <c r="V57" s="47" t="n">
        <f aca="false">MAX(V56,IF(N57="",0,N57))</f>
        <v>144.666666666667</v>
      </c>
      <c r="W57" s="47" t="n">
        <f aca="false">MAX(W56,IF(O57="",0,O57))</f>
        <v>99.1666666666667</v>
      </c>
      <c r="X57" s="47" t="n">
        <f aca="false">MAX(X56,IF(P57="",0,P57))</f>
        <v>175.666666666667</v>
      </c>
      <c r="Y57" s="47" t="n">
        <f aca="false">V57+W57+X57</f>
        <v>419.5</v>
      </c>
    </row>
    <row r="58" customFormat="false" ht="15" hidden="false" customHeight="false" outlineLevel="0" collapsed="false">
      <c r="A58" s="45"/>
      <c r="B58" s="31"/>
      <c r="C58" s="32"/>
      <c r="D58" s="31"/>
      <c r="E58" s="31"/>
      <c r="F58" s="29"/>
      <c r="G58" s="29" t="str">
        <f aca="false">IF(OR(D58="",E58="",F58=""),"",D58*E58*F58)</f>
        <v/>
      </c>
      <c r="H58" s="31"/>
      <c r="I58" s="36" t="str">
        <f aca="false">IF(OR(C58="",K58=""),"",IF(K58&gt;=_xlfn.MAXIFS($K$5:K57,$C$5:C57,C58),"Yes","No"))</f>
        <v/>
      </c>
      <c r="J58" s="32"/>
      <c r="K58" s="48" t="str">
        <f aca="false">IF(OR(E58="",F58=""),"",F58*(1+E58/30))</f>
        <v/>
      </c>
      <c r="L58" s="36" t="str">
        <f aca="false">IF(A58="","",INT((A58-StartDate)/7)+1)</f>
        <v/>
      </c>
      <c r="M58" s="36" t="str">
        <f aca="false">IF(A58="","",TEXT(A58,"mmm"))</f>
        <v/>
      </c>
      <c r="N58" s="48" t="str">
        <f aca="false">IFERROR(IF(ISNUMBER(SEARCH("squat",C58)),K58,""),"")</f>
        <v/>
      </c>
      <c r="O58" s="48" t="str">
        <f aca="false">IFERROR(IF(ISNUMBER(SEARCH("bench",C58)),K58,""),"")</f>
        <v/>
      </c>
      <c r="P58" s="48" t="str">
        <f aca="false">IFERROR(IF(ISNUMBER(SEARCH("deadlift",C58)),K58,""),"")</f>
        <v/>
      </c>
      <c r="V58" s="48" t="n">
        <f aca="false">MAX(V57,IF(N58="",0,N58))</f>
        <v>144.666666666667</v>
      </c>
      <c r="W58" s="48" t="n">
        <f aca="false">MAX(W57,IF(O58="",0,O58))</f>
        <v>99.1666666666667</v>
      </c>
      <c r="X58" s="48" t="n">
        <f aca="false">MAX(X57,IF(P58="",0,P58))</f>
        <v>175.666666666667</v>
      </c>
      <c r="Y58" s="48" t="n">
        <f aca="false">V58+W58+X58</f>
        <v>419.5</v>
      </c>
    </row>
    <row r="59" customFormat="false" ht="15" hidden="false" customHeight="false" outlineLevel="0" collapsed="false">
      <c r="A59" s="45"/>
      <c r="B59" s="31"/>
      <c r="C59" s="32"/>
      <c r="D59" s="31"/>
      <c r="E59" s="31"/>
      <c r="F59" s="29"/>
      <c r="G59" s="29" t="str">
        <f aca="false">IF(OR(D59="",E59="",F59=""),"",D59*E59*F59)</f>
        <v/>
      </c>
      <c r="H59" s="31"/>
      <c r="I59" s="46" t="str">
        <f aca="false">IF(OR(C59="",K59=""),"",IF(K59&gt;=_xlfn.MAXIFS($K$5:K58,$C$5:C58,C59),"Yes","No"))</f>
        <v/>
      </c>
      <c r="J59" s="32"/>
      <c r="K59" s="47" t="str">
        <f aca="false">IF(OR(E59="",F59=""),"",F59*(1+E59/30))</f>
        <v/>
      </c>
      <c r="L59" s="27" t="str">
        <f aca="false">IF(A59="","",INT((A59-StartDate)/7)+1)</f>
        <v/>
      </c>
      <c r="M59" s="27" t="str">
        <f aca="false">IF(A59="","",TEXT(A59,"mmm"))</f>
        <v/>
      </c>
      <c r="N59" s="47" t="str">
        <f aca="false">IFERROR(IF(ISNUMBER(SEARCH("squat",C59)),K59,""),"")</f>
        <v/>
      </c>
      <c r="O59" s="47" t="str">
        <f aca="false">IFERROR(IF(ISNUMBER(SEARCH("bench",C59)),K59,""),"")</f>
        <v/>
      </c>
      <c r="P59" s="47" t="str">
        <f aca="false">IFERROR(IF(ISNUMBER(SEARCH("deadlift",C59)),K59,""),"")</f>
        <v/>
      </c>
      <c r="V59" s="47" t="n">
        <f aca="false">MAX(V58,IF(N59="",0,N59))</f>
        <v>144.666666666667</v>
      </c>
      <c r="W59" s="47" t="n">
        <f aca="false">MAX(W58,IF(O59="",0,O59))</f>
        <v>99.1666666666667</v>
      </c>
      <c r="X59" s="47" t="n">
        <f aca="false">MAX(X58,IF(P59="",0,P59))</f>
        <v>175.666666666667</v>
      </c>
      <c r="Y59" s="47" t="n">
        <f aca="false">V59+W59+X59</f>
        <v>419.5</v>
      </c>
    </row>
    <row r="60" customFormat="false" ht="15" hidden="false" customHeight="false" outlineLevel="0" collapsed="false">
      <c r="A60" s="45"/>
      <c r="B60" s="31"/>
      <c r="C60" s="32"/>
      <c r="D60" s="31"/>
      <c r="E60" s="31"/>
      <c r="F60" s="29"/>
      <c r="G60" s="29" t="str">
        <f aca="false">IF(OR(D60="",E60="",F60=""),"",D60*E60*F60)</f>
        <v/>
      </c>
      <c r="H60" s="31"/>
      <c r="I60" s="36" t="str">
        <f aca="false">IF(OR(C60="",K60=""),"",IF(K60&gt;=_xlfn.MAXIFS($K$5:K59,$C$5:C59,C60),"Yes","No"))</f>
        <v/>
      </c>
      <c r="J60" s="32"/>
      <c r="K60" s="48" t="str">
        <f aca="false">IF(OR(E60="",F60=""),"",F60*(1+E60/30))</f>
        <v/>
      </c>
      <c r="L60" s="36" t="str">
        <f aca="false">IF(A60="","",INT((A60-StartDate)/7)+1)</f>
        <v/>
      </c>
      <c r="M60" s="36" t="str">
        <f aca="false">IF(A60="","",TEXT(A60,"mmm"))</f>
        <v/>
      </c>
      <c r="N60" s="48" t="str">
        <f aca="false">IFERROR(IF(ISNUMBER(SEARCH("squat",C60)),K60,""),"")</f>
        <v/>
      </c>
      <c r="O60" s="48" t="str">
        <f aca="false">IFERROR(IF(ISNUMBER(SEARCH("bench",C60)),K60,""),"")</f>
        <v/>
      </c>
      <c r="P60" s="48" t="str">
        <f aca="false">IFERROR(IF(ISNUMBER(SEARCH("deadlift",C60)),K60,""),"")</f>
        <v/>
      </c>
      <c r="V60" s="48" t="n">
        <f aca="false">MAX(V59,IF(N60="",0,N60))</f>
        <v>144.666666666667</v>
      </c>
      <c r="W60" s="48" t="n">
        <f aca="false">MAX(W59,IF(O60="",0,O60))</f>
        <v>99.1666666666667</v>
      </c>
      <c r="X60" s="48" t="n">
        <f aca="false">MAX(X59,IF(P60="",0,P60))</f>
        <v>175.666666666667</v>
      </c>
      <c r="Y60" s="48" t="n">
        <f aca="false">V60+W60+X60</f>
        <v>419.5</v>
      </c>
    </row>
    <row r="61" customFormat="false" ht="15" hidden="false" customHeight="false" outlineLevel="0" collapsed="false">
      <c r="A61" s="45"/>
      <c r="B61" s="31"/>
      <c r="C61" s="32"/>
      <c r="D61" s="31"/>
      <c r="E61" s="31"/>
      <c r="F61" s="29"/>
      <c r="G61" s="29" t="str">
        <f aca="false">IF(OR(D61="",E61="",F61=""),"",D61*E61*F61)</f>
        <v/>
      </c>
      <c r="H61" s="31"/>
      <c r="I61" s="46" t="str">
        <f aca="false">IF(OR(C61="",K61=""),"",IF(K61&gt;=_xlfn.MAXIFS($K$5:K60,$C$5:C60,C61),"Yes","No"))</f>
        <v/>
      </c>
      <c r="J61" s="32"/>
      <c r="K61" s="47" t="str">
        <f aca="false">IF(OR(E61="",F61=""),"",F61*(1+E61/30))</f>
        <v/>
      </c>
      <c r="L61" s="27" t="str">
        <f aca="false">IF(A61="","",INT((A61-StartDate)/7)+1)</f>
        <v/>
      </c>
      <c r="M61" s="27" t="str">
        <f aca="false">IF(A61="","",TEXT(A61,"mmm"))</f>
        <v/>
      </c>
      <c r="N61" s="47" t="str">
        <f aca="false">IFERROR(IF(ISNUMBER(SEARCH("squat",C61)),K61,""),"")</f>
        <v/>
      </c>
      <c r="O61" s="47" t="str">
        <f aca="false">IFERROR(IF(ISNUMBER(SEARCH("bench",C61)),K61,""),"")</f>
        <v/>
      </c>
      <c r="P61" s="47" t="str">
        <f aca="false">IFERROR(IF(ISNUMBER(SEARCH("deadlift",C61)),K61,""),"")</f>
        <v/>
      </c>
      <c r="V61" s="47" t="n">
        <f aca="false">MAX(V60,IF(N61="",0,N61))</f>
        <v>144.666666666667</v>
      </c>
      <c r="W61" s="47" t="n">
        <f aca="false">MAX(W60,IF(O61="",0,O61))</f>
        <v>99.1666666666667</v>
      </c>
      <c r="X61" s="47" t="n">
        <f aca="false">MAX(X60,IF(P61="",0,P61))</f>
        <v>175.666666666667</v>
      </c>
      <c r="Y61" s="47" t="n">
        <f aca="false">V61+W61+X61</f>
        <v>419.5</v>
      </c>
    </row>
    <row r="62" customFormat="false" ht="15" hidden="false" customHeight="false" outlineLevel="0" collapsed="false">
      <c r="A62" s="45"/>
      <c r="B62" s="31"/>
      <c r="C62" s="32"/>
      <c r="D62" s="31"/>
      <c r="E62" s="31"/>
      <c r="F62" s="29"/>
      <c r="G62" s="29" t="str">
        <f aca="false">IF(OR(D62="",E62="",F62=""),"",D62*E62*F62)</f>
        <v/>
      </c>
      <c r="H62" s="31"/>
      <c r="I62" s="36" t="str">
        <f aca="false">IF(OR(C62="",K62=""),"",IF(K62&gt;=_xlfn.MAXIFS($K$5:K61,$C$5:C61,C62),"Yes","No"))</f>
        <v/>
      </c>
      <c r="J62" s="32"/>
      <c r="K62" s="48" t="str">
        <f aca="false">IF(OR(E62="",F62=""),"",F62*(1+E62/30))</f>
        <v/>
      </c>
      <c r="L62" s="36" t="str">
        <f aca="false">IF(A62="","",INT((A62-StartDate)/7)+1)</f>
        <v/>
      </c>
      <c r="M62" s="36" t="str">
        <f aca="false">IF(A62="","",TEXT(A62,"mmm"))</f>
        <v/>
      </c>
      <c r="N62" s="48" t="str">
        <f aca="false">IFERROR(IF(ISNUMBER(SEARCH("squat",C62)),K62,""),"")</f>
        <v/>
      </c>
      <c r="O62" s="48" t="str">
        <f aca="false">IFERROR(IF(ISNUMBER(SEARCH("bench",C62)),K62,""),"")</f>
        <v/>
      </c>
      <c r="P62" s="48" t="str">
        <f aca="false">IFERROR(IF(ISNUMBER(SEARCH("deadlift",C62)),K62,""),"")</f>
        <v/>
      </c>
      <c r="V62" s="48" t="n">
        <f aca="false">MAX(V61,IF(N62="",0,N62))</f>
        <v>144.666666666667</v>
      </c>
      <c r="W62" s="48" t="n">
        <f aca="false">MAX(W61,IF(O62="",0,O62))</f>
        <v>99.1666666666667</v>
      </c>
      <c r="X62" s="48" t="n">
        <f aca="false">MAX(X61,IF(P62="",0,P62))</f>
        <v>175.666666666667</v>
      </c>
      <c r="Y62" s="48" t="n">
        <f aca="false">V62+W62+X62</f>
        <v>419.5</v>
      </c>
    </row>
    <row r="63" customFormat="false" ht="15" hidden="false" customHeight="false" outlineLevel="0" collapsed="false">
      <c r="A63" s="45"/>
      <c r="B63" s="31"/>
      <c r="C63" s="32"/>
      <c r="D63" s="31"/>
      <c r="E63" s="31"/>
      <c r="F63" s="29"/>
      <c r="G63" s="29" t="str">
        <f aca="false">IF(OR(D63="",E63="",F63=""),"",D63*E63*F63)</f>
        <v/>
      </c>
      <c r="H63" s="31"/>
      <c r="I63" s="46" t="str">
        <f aca="false">IF(OR(C63="",K63=""),"",IF(K63&gt;=_xlfn.MAXIFS($K$5:K62,$C$5:C62,C63),"Yes","No"))</f>
        <v/>
      </c>
      <c r="J63" s="32"/>
      <c r="K63" s="47" t="str">
        <f aca="false">IF(OR(E63="",F63=""),"",F63*(1+E63/30))</f>
        <v/>
      </c>
      <c r="L63" s="27" t="str">
        <f aca="false">IF(A63="","",INT((A63-StartDate)/7)+1)</f>
        <v/>
      </c>
      <c r="M63" s="27" t="str">
        <f aca="false">IF(A63="","",TEXT(A63,"mmm"))</f>
        <v/>
      </c>
      <c r="N63" s="47" t="str">
        <f aca="false">IFERROR(IF(ISNUMBER(SEARCH("squat",C63)),K63,""),"")</f>
        <v/>
      </c>
      <c r="O63" s="47" t="str">
        <f aca="false">IFERROR(IF(ISNUMBER(SEARCH("bench",C63)),K63,""),"")</f>
        <v/>
      </c>
      <c r="P63" s="47" t="str">
        <f aca="false">IFERROR(IF(ISNUMBER(SEARCH("deadlift",C63)),K63,""),"")</f>
        <v/>
      </c>
      <c r="V63" s="47" t="n">
        <f aca="false">MAX(V62,IF(N63="",0,N63))</f>
        <v>144.666666666667</v>
      </c>
      <c r="W63" s="47" t="n">
        <f aca="false">MAX(W62,IF(O63="",0,O63))</f>
        <v>99.1666666666667</v>
      </c>
      <c r="X63" s="47" t="n">
        <f aca="false">MAX(X62,IF(P63="",0,P63))</f>
        <v>175.666666666667</v>
      </c>
      <c r="Y63" s="47" t="n">
        <f aca="false">V63+W63+X63</f>
        <v>419.5</v>
      </c>
    </row>
    <row r="64" customFormat="false" ht="15" hidden="false" customHeight="false" outlineLevel="0" collapsed="false">
      <c r="A64" s="45"/>
      <c r="B64" s="31"/>
      <c r="C64" s="32"/>
      <c r="D64" s="31"/>
      <c r="E64" s="31"/>
      <c r="F64" s="29"/>
      <c r="G64" s="29" t="str">
        <f aca="false">IF(OR(D64="",E64="",F64=""),"",D64*E64*F64)</f>
        <v/>
      </c>
      <c r="H64" s="31"/>
      <c r="I64" s="36" t="str">
        <f aca="false">IF(OR(C64="",K64=""),"",IF(K64&gt;=_xlfn.MAXIFS($K$5:K63,$C$5:C63,C64),"Yes","No"))</f>
        <v/>
      </c>
      <c r="J64" s="32"/>
      <c r="K64" s="48" t="str">
        <f aca="false">IF(OR(E64="",F64=""),"",F64*(1+E64/30))</f>
        <v/>
      </c>
      <c r="L64" s="36" t="str">
        <f aca="false">IF(A64="","",INT((A64-StartDate)/7)+1)</f>
        <v/>
      </c>
      <c r="M64" s="36" t="str">
        <f aca="false">IF(A64="","",TEXT(A64,"mmm"))</f>
        <v/>
      </c>
      <c r="N64" s="48" t="str">
        <f aca="false">IFERROR(IF(ISNUMBER(SEARCH("squat",C64)),K64,""),"")</f>
        <v/>
      </c>
      <c r="O64" s="48" t="str">
        <f aca="false">IFERROR(IF(ISNUMBER(SEARCH("bench",C64)),K64,""),"")</f>
        <v/>
      </c>
      <c r="P64" s="48" t="str">
        <f aca="false">IFERROR(IF(ISNUMBER(SEARCH("deadlift",C64)),K64,""),"")</f>
        <v/>
      </c>
      <c r="V64" s="48" t="n">
        <f aca="false">MAX(V63,IF(N64="",0,N64))</f>
        <v>144.666666666667</v>
      </c>
      <c r="W64" s="48" t="n">
        <f aca="false">MAX(W63,IF(O64="",0,O64))</f>
        <v>99.1666666666667</v>
      </c>
      <c r="X64" s="48" t="n">
        <f aca="false">MAX(X63,IF(P64="",0,P64))</f>
        <v>175.666666666667</v>
      </c>
      <c r="Y64" s="48" t="n">
        <f aca="false">V64+W64+X64</f>
        <v>419.5</v>
      </c>
    </row>
    <row r="65" customFormat="false" ht="15" hidden="false" customHeight="false" outlineLevel="0" collapsed="false">
      <c r="A65" s="45"/>
      <c r="B65" s="31"/>
      <c r="C65" s="32"/>
      <c r="D65" s="31"/>
      <c r="E65" s="31"/>
      <c r="F65" s="29"/>
      <c r="G65" s="29" t="str">
        <f aca="false">IF(OR(D65="",E65="",F65=""),"",D65*E65*F65)</f>
        <v/>
      </c>
      <c r="H65" s="31"/>
      <c r="I65" s="46" t="str">
        <f aca="false">IF(OR(C65="",K65=""),"",IF(K65&gt;=_xlfn.MAXIFS($K$5:K64,$C$5:C64,C65),"Yes","No"))</f>
        <v/>
      </c>
      <c r="J65" s="32"/>
      <c r="K65" s="47" t="str">
        <f aca="false">IF(OR(E65="",F65=""),"",F65*(1+E65/30))</f>
        <v/>
      </c>
      <c r="L65" s="27" t="str">
        <f aca="false">IF(A65="","",INT((A65-StartDate)/7)+1)</f>
        <v/>
      </c>
      <c r="M65" s="27" t="str">
        <f aca="false">IF(A65="","",TEXT(A65,"mmm"))</f>
        <v/>
      </c>
      <c r="N65" s="47" t="str">
        <f aca="false">IFERROR(IF(ISNUMBER(SEARCH("squat",C65)),K65,""),"")</f>
        <v/>
      </c>
      <c r="O65" s="47" t="str">
        <f aca="false">IFERROR(IF(ISNUMBER(SEARCH("bench",C65)),K65,""),"")</f>
        <v/>
      </c>
      <c r="P65" s="47" t="str">
        <f aca="false">IFERROR(IF(ISNUMBER(SEARCH("deadlift",C65)),K65,""),"")</f>
        <v/>
      </c>
      <c r="V65" s="47" t="n">
        <f aca="false">MAX(V64,IF(N65="",0,N65))</f>
        <v>144.666666666667</v>
      </c>
      <c r="W65" s="47" t="n">
        <f aca="false">MAX(W64,IF(O65="",0,O65))</f>
        <v>99.1666666666667</v>
      </c>
      <c r="X65" s="47" t="n">
        <f aca="false">MAX(X64,IF(P65="",0,P65))</f>
        <v>175.666666666667</v>
      </c>
      <c r="Y65" s="47" t="n">
        <f aca="false">V65+W65+X65</f>
        <v>419.5</v>
      </c>
    </row>
    <row r="66" customFormat="false" ht="15" hidden="false" customHeight="false" outlineLevel="0" collapsed="false">
      <c r="A66" s="45"/>
      <c r="B66" s="31"/>
      <c r="C66" s="32"/>
      <c r="D66" s="31"/>
      <c r="E66" s="31"/>
      <c r="F66" s="29"/>
      <c r="G66" s="29" t="str">
        <f aca="false">IF(OR(D66="",E66="",F66=""),"",D66*E66*F66)</f>
        <v/>
      </c>
      <c r="H66" s="31"/>
      <c r="I66" s="36" t="str">
        <f aca="false">IF(OR(C66="",K66=""),"",IF(K66&gt;=_xlfn.MAXIFS($K$5:K65,$C$5:C65,C66),"Yes","No"))</f>
        <v/>
      </c>
      <c r="J66" s="32"/>
      <c r="K66" s="48" t="str">
        <f aca="false">IF(OR(E66="",F66=""),"",F66*(1+E66/30))</f>
        <v/>
      </c>
      <c r="L66" s="36" t="str">
        <f aca="false">IF(A66="","",INT((A66-StartDate)/7)+1)</f>
        <v/>
      </c>
      <c r="M66" s="36" t="str">
        <f aca="false">IF(A66="","",TEXT(A66,"mmm"))</f>
        <v/>
      </c>
      <c r="N66" s="48" t="str">
        <f aca="false">IFERROR(IF(ISNUMBER(SEARCH("squat",C66)),K66,""),"")</f>
        <v/>
      </c>
      <c r="O66" s="48" t="str">
        <f aca="false">IFERROR(IF(ISNUMBER(SEARCH("bench",C66)),K66,""),"")</f>
        <v/>
      </c>
      <c r="P66" s="48" t="str">
        <f aca="false">IFERROR(IF(ISNUMBER(SEARCH("deadlift",C66)),K66,""),"")</f>
        <v/>
      </c>
      <c r="V66" s="48" t="n">
        <f aca="false">MAX(V65,IF(N66="",0,N66))</f>
        <v>144.666666666667</v>
      </c>
      <c r="W66" s="48" t="n">
        <f aca="false">MAX(W65,IF(O66="",0,O66))</f>
        <v>99.1666666666667</v>
      </c>
      <c r="X66" s="48" t="n">
        <f aca="false">MAX(X65,IF(P66="",0,P66))</f>
        <v>175.666666666667</v>
      </c>
      <c r="Y66" s="48" t="n">
        <f aca="false">V66+W66+X66</f>
        <v>419.5</v>
      </c>
    </row>
    <row r="67" customFormat="false" ht="15" hidden="false" customHeight="false" outlineLevel="0" collapsed="false">
      <c r="A67" s="45"/>
      <c r="B67" s="31"/>
      <c r="C67" s="32"/>
      <c r="D67" s="31"/>
      <c r="E67" s="31"/>
      <c r="F67" s="29"/>
      <c r="G67" s="29" t="str">
        <f aca="false">IF(OR(D67="",E67="",F67=""),"",D67*E67*F67)</f>
        <v/>
      </c>
      <c r="H67" s="31"/>
      <c r="I67" s="46" t="str">
        <f aca="false">IF(OR(C67="",K67=""),"",IF(K67&gt;=_xlfn.MAXIFS($K$5:K66,$C$5:C66,C67),"Yes","No"))</f>
        <v/>
      </c>
      <c r="J67" s="32"/>
      <c r="K67" s="47" t="str">
        <f aca="false">IF(OR(E67="",F67=""),"",F67*(1+E67/30))</f>
        <v/>
      </c>
      <c r="L67" s="27" t="str">
        <f aca="false">IF(A67="","",INT((A67-StartDate)/7)+1)</f>
        <v/>
      </c>
      <c r="M67" s="27" t="str">
        <f aca="false">IF(A67="","",TEXT(A67,"mmm"))</f>
        <v/>
      </c>
      <c r="N67" s="47" t="str">
        <f aca="false">IFERROR(IF(ISNUMBER(SEARCH("squat",C67)),K67,""),"")</f>
        <v/>
      </c>
      <c r="O67" s="47" t="str">
        <f aca="false">IFERROR(IF(ISNUMBER(SEARCH("bench",C67)),K67,""),"")</f>
        <v/>
      </c>
      <c r="P67" s="47" t="str">
        <f aca="false">IFERROR(IF(ISNUMBER(SEARCH("deadlift",C67)),K67,""),"")</f>
        <v/>
      </c>
      <c r="V67" s="47" t="n">
        <f aca="false">MAX(V66,IF(N67="",0,N67))</f>
        <v>144.666666666667</v>
      </c>
      <c r="W67" s="47" t="n">
        <f aca="false">MAX(W66,IF(O67="",0,O67))</f>
        <v>99.1666666666667</v>
      </c>
      <c r="X67" s="47" t="n">
        <f aca="false">MAX(X66,IF(P67="",0,P67))</f>
        <v>175.666666666667</v>
      </c>
      <c r="Y67" s="47" t="n">
        <f aca="false">V67+W67+X67</f>
        <v>419.5</v>
      </c>
    </row>
    <row r="68" customFormat="false" ht="15" hidden="false" customHeight="false" outlineLevel="0" collapsed="false">
      <c r="A68" s="45"/>
      <c r="B68" s="31"/>
      <c r="C68" s="32"/>
      <c r="D68" s="31"/>
      <c r="E68" s="31"/>
      <c r="F68" s="29"/>
      <c r="G68" s="29" t="str">
        <f aca="false">IF(OR(D68="",E68="",F68=""),"",D68*E68*F68)</f>
        <v/>
      </c>
      <c r="H68" s="31"/>
      <c r="I68" s="36" t="str">
        <f aca="false">IF(OR(C68="",K68=""),"",IF(K68&gt;=_xlfn.MAXIFS($K$5:K67,$C$5:C67,C68),"Yes","No"))</f>
        <v/>
      </c>
      <c r="J68" s="32"/>
      <c r="K68" s="48" t="str">
        <f aca="false">IF(OR(E68="",F68=""),"",F68*(1+E68/30))</f>
        <v/>
      </c>
      <c r="L68" s="36" t="str">
        <f aca="false">IF(A68="","",INT((A68-StartDate)/7)+1)</f>
        <v/>
      </c>
      <c r="M68" s="36" t="str">
        <f aca="false">IF(A68="","",TEXT(A68,"mmm"))</f>
        <v/>
      </c>
      <c r="N68" s="48" t="str">
        <f aca="false">IFERROR(IF(ISNUMBER(SEARCH("squat",C68)),K68,""),"")</f>
        <v/>
      </c>
      <c r="O68" s="48" t="str">
        <f aca="false">IFERROR(IF(ISNUMBER(SEARCH("bench",C68)),K68,""),"")</f>
        <v/>
      </c>
      <c r="P68" s="48" t="str">
        <f aca="false">IFERROR(IF(ISNUMBER(SEARCH("deadlift",C68)),K68,""),"")</f>
        <v/>
      </c>
      <c r="V68" s="48" t="n">
        <f aca="false">MAX(V67,IF(N68="",0,N68))</f>
        <v>144.666666666667</v>
      </c>
      <c r="W68" s="48" t="n">
        <f aca="false">MAX(W67,IF(O68="",0,O68))</f>
        <v>99.1666666666667</v>
      </c>
      <c r="X68" s="48" t="n">
        <f aca="false">MAX(X67,IF(P68="",0,P68))</f>
        <v>175.666666666667</v>
      </c>
      <c r="Y68" s="48" t="n">
        <f aca="false">V68+W68+X68</f>
        <v>419.5</v>
      </c>
    </row>
    <row r="69" customFormat="false" ht="15" hidden="false" customHeight="false" outlineLevel="0" collapsed="false">
      <c r="A69" s="45"/>
      <c r="B69" s="31"/>
      <c r="C69" s="32"/>
      <c r="D69" s="31"/>
      <c r="E69" s="31"/>
      <c r="F69" s="29"/>
      <c r="G69" s="29" t="str">
        <f aca="false">IF(OR(D69="",E69="",F69=""),"",D69*E69*F69)</f>
        <v/>
      </c>
      <c r="H69" s="31"/>
      <c r="I69" s="46" t="str">
        <f aca="false">IF(OR(C69="",K69=""),"",IF(K69&gt;=_xlfn.MAXIFS($K$5:K68,$C$5:C68,C69),"Yes","No"))</f>
        <v/>
      </c>
      <c r="J69" s="32"/>
      <c r="K69" s="47" t="str">
        <f aca="false">IF(OR(E69="",F69=""),"",F69*(1+E69/30))</f>
        <v/>
      </c>
      <c r="L69" s="27" t="str">
        <f aca="false">IF(A69="","",INT((A69-StartDate)/7)+1)</f>
        <v/>
      </c>
      <c r="M69" s="27" t="str">
        <f aca="false">IF(A69="","",TEXT(A69,"mmm"))</f>
        <v/>
      </c>
      <c r="N69" s="47" t="str">
        <f aca="false">IFERROR(IF(ISNUMBER(SEARCH("squat",C69)),K69,""),"")</f>
        <v/>
      </c>
      <c r="O69" s="47" t="str">
        <f aca="false">IFERROR(IF(ISNUMBER(SEARCH("bench",C69)),K69,""),"")</f>
        <v/>
      </c>
      <c r="P69" s="47" t="str">
        <f aca="false">IFERROR(IF(ISNUMBER(SEARCH("deadlift",C69)),K69,""),"")</f>
        <v/>
      </c>
      <c r="V69" s="47" t="n">
        <f aca="false">MAX(V68,IF(N69="",0,N69))</f>
        <v>144.666666666667</v>
      </c>
      <c r="W69" s="47" t="n">
        <f aca="false">MAX(W68,IF(O69="",0,O69))</f>
        <v>99.1666666666667</v>
      </c>
      <c r="X69" s="47" t="n">
        <f aca="false">MAX(X68,IF(P69="",0,P69))</f>
        <v>175.666666666667</v>
      </c>
      <c r="Y69" s="47" t="n">
        <f aca="false">V69+W69+X69</f>
        <v>419.5</v>
      </c>
    </row>
    <row r="70" customFormat="false" ht="15" hidden="false" customHeight="false" outlineLevel="0" collapsed="false">
      <c r="A70" s="45"/>
      <c r="B70" s="31"/>
      <c r="C70" s="32"/>
      <c r="D70" s="31"/>
      <c r="E70" s="31"/>
      <c r="F70" s="29"/>
      <c r="G70" s="29" t="str">
        <f aca="false">IF(OR(D70="",E70="",F70=""),"",D70*E70*F70)</f>
        <v/>
      </c>
      <c r="H70" s="31"/>
      <c r="I70" s="36" t="str">
        <f aca="false">IF(OR(C70="",K70=""),"",IF(K70&gt;=_xlfn.MAXIFS($K$5:K69,$C$5:C69,C70),"Yes","No"))</f>
        <v/>
      </c>
      <c r="J70" s="32"/>
      <c r="K70" s="48" t="str">
        <f aca="false">IF(OR(E70="",F70=""),"",F70*(1+E70/30))</f>
        <v/>
      </c>
      <c r="L70" s="36" t="str">
        <f aca="false">IF(A70="","",INT((A70-StartDate)/7)+1)</f>
        <v/>
      </c>
      <c r="M70" s="36" t="str">
        <f aca="false">IF(A70="","",TEXT(A70,"mmm"))</f>
        <v/>
      </c>
      <c r="N70" s="48" t="str">
        <f aca="false">IFERROR(IF(ISNUMBER(SEARCH("squat",C70)),K70,""),"")</f>
        <v/>
      </c>
      <c r="O70" s="48" t="str">
        <f aca="false">IFERROR(IF(ISNUMBER(SEARCH("bench",C70)),K70,""),"")</f>
        <v/>
      </c>
      <c r="P70" s="48" t="str">
        <f aca="false">IFERROR(IF(ISNUMBER(SEARCH("deadlift",C70)),K70,""),"")</f>
        <v/>
      </c>
      <c r="V70" s="48" t="n">
        <f aca="false">MAX(V69,IF(N70="",0,N70))</f>
        <v>144.666666666667</v>
      </c>
      <c r="W70" s="48" t="n">
        <f aca="false">MAX(W69,IF(O70="",0,O70))</f>
        <v>99.1666666666667</v>
      </c>
      <c r="X70" s="48" t="n">
        <f aca="false">MAX(X69,IF(P70="",0,P70))</f>
        <v>175.666666666667</v>
      </c>
      <c r="Y70" s="48" t="n">
        <f aca="false">V70+W70+X70</f>
        <v>419.5</v>
      </c>
    </row>
    <row r="71" customFormat="false" ht="15" hidden="false" customHeight="false" outlineLevel="0" collapsed="false">
      <c r="A71" s="45"/>
      <c r="B71" s="31"/>
      <c r="C71" s="32"/>
      <c r="D71" s="31"/>
      <c r="E71" s="31"/>
      <c r="F71" s="29"/>
      <c r="G71" s="29" t="str">
        <f aca="false">IF(OR(D71="",E71="",F71=""),"",D71*E71*F71)</f>
        <v/>
      </c>
      <c r="H71" s="31"/>
      <c r="I71" s="46" t="str">
        <f aca="false">IF(OR(C71="",K71=""),"",IF(K71&gt;=_xlfn.MAXIFS($K$5:K70,$C$5:C70,C71),"Yes","No"))</f>
        <v/>
      </c>
      <c r="J71" s="32"/>
      <c r="K71" s="47" t="str">
        <f aca="false">IF(OR(E71="",F71=""),"",F71*(1+E71/30))</f>
        <v/>
      </c>
      <c r="L71" s="27" t="str">
        <f aca="false">IF(A71="","",INT((A71-StartDate)/7)+1)</f>
        <v/>
      </c>
      <c r="M71" s="27" t="str">
        <f aca="false">IF(A71="","",TEXT(A71,"mmm"))</f>
        <v/>
      </c>
      <c r="N71" s="47" t="str">
        <f aca="false">IFERROR(IF(ISNUMBER(SEARCH("squat",C71)),K71,""),"")</f>
        <v/>
      </c>
      <c r="O71" s="47" t="str">
        <f aca="false">IFERROR(IF(ISNUMBER(SEARCH("bench",C71)),K71,""),"")</f>
        <v/>
      </c>
      <c r="P71" s="47" t="str">
        <f aca="false">IFERROR(IF(ISNUMBER(SEARCH("deadlift",C71)),K71,""),"")</f>
        <v/>
      </c>
      <c r="V71" s="47" t="n">
        <f aca="false">MAX(V70,IF(N71="",0,N71))</f>
        <v>144.666666666667</v>
      </c>
      <c r="W71" s="47" t="n">
        <f aca="false">MAX(W70,IF(O71="",0,O71))</f>
        <v>99.1666666666667</v>
      </c>
      <c r="X71" s="47" t="n">
        <f aca="false">MAX(X70,IF(P71="",0,P71))</f>
        <v>175.666666666667</v>
      </c>
      <c r="Y71" s="47" t="n">
        <f aca="false">V71+W71+X71</f>
        <v>419.5</v>
      </c>
    </row>
    <row r="72" customFormat="false" ht="15" hidden="false" customHeight="false" outlineLevel="0" collapsed="false">
      <c r="A72" s="45"/>
      <c r="B72" s="31"/>
      <c r="C72" s="32"/>
      <c r="D72" s="31"/>
      <c r="E72" s="31"/>
      <c r="F72" s="29"/>
      <c r="G72" s="29" t="str">
        <f aca="false">IF(OR(D72="",E72="",F72=""),"",D72*E72*F72)</f>
        <v/>
      </c>
      <c r="H72" s="31"/>
      <c r="I72" s="36" t="str">
        <f aca="false">IF(OR(C72="",K72=""),"",IF(K72&gt;=_xlfn.MAXIFS($K$5:K71,$C$5:C71,C72),"Yes","No"))</f>
        <v/>
      </c>
      <c r="J72" s="32"/>
      <c r="K72" s="48" t="str">
        <f aca="false">IF(OR(E72="",F72=""),"",F72*(1+E72/30))</f>
        <v/>
      </c>
      <c r="L72" s="36" t="str">
        <f aca="false">IF(A72="","",INT((A72-StartDate)/7)+1)</f>
        <v/>
      </c>
      <c r="M72" s="36" t="str">
        <f aca="false">IF(A72="","",TEXT(A72,"mmm"))</f>
        <v/>
      </c>
      <c r="N72" s="48" t="str">
        <f aca="false">IFERROR(IF(ISNUMBER(SEARCH("squat",C72)),K72,""),"")</f>
        <v/>
      </c>
      <c r="O72" s="48" t="str">
        <f aca="false">IFERROR(IF(ISNUMBER(SEARCH("bench",C72)),K72,""),"")</f>
        <v/>
      </c>
      <c r="P72" s="48" t="str">
        <f aca="false">IFERROR(IF(ISNUMBER(SEARCH("deadlift",C72)),K72,""),"")</f>
        <v/>
      </c>
      <c r="V72" s="48" t="n">
        <f aca="false">MAX(V71,IF(N72="",0,N72))</f>
        <v>144.666666666667</v>
      </c>
      <c r="W72" s="48" t="n">
        <f aca="false">MAX(W71,IF(O72="",0,O72))</f>
        <v>99.1666666666667</v>
      </c>
      <c r="X72" s="48" t="n">
        <f aca="false">MAX(X71,IF(P72="",0,P72))</f>
        <v>175.666666666667</v>
      </c>
      <c r="Y72" s="48" t="n">
        <f aca="false">V72+W72+X72</f>
        <v>419.5</v>
      </c>
    </row>
    <row r="73" customFormat="false" ht="15" hidden="false" customHeight="false" outlineLevel="0" collapsed="false">
      <c r="A73" s="45"/>
      <c r="B73" s="31"/>
      <c r="C73" s="32"/>
      <c r="D73" s="31"/>
      <c r="E73" s="31"/>
      <c r="F73" s="29"/>
      <c r="G73" s="29" t="str">
        <f aca="false">IF(OR(D73="",E73="",F73=""),"",D73*E73*F73)</f>
        <v/>
      </c>
      <c r="H73" s="31"/>
      <c r="I73" s="46" t="str">
        <f aca="false">IF(OR(C73="",K73=""),"",IF(K73&gt;=_xlfn.MAXIFS($K$5:K72,$C$5:C72,C73),"Yes","No"))</f>
        <v/>
      </c>
      <c r="J73" s="32"/>
      <c r="K73" s="47" t="str">
        <f aca="false">IF(OR(E73="",F73=""),"",F73*(1+E73/30))</f>
        <v/>
      </c>
      <c r="L73" s="27" t="str">
        <f aca="false">IF(A73="","",INT((A73-StartDate)/7)+1)</f>
        <v/>
      </c>
      <c r="M73" s="27" t="str">
        <f aca="false">IF(A73="","",TEXT(A73,"mmm"))</f>
        <v/>
      </c>
      <c r="N73" s="47" t="str">
        <f aca="false">IFERROR(IF(ISNUMBER(SEARCH("squat",C73)),K73,""),"")</f>
        <v/>
      </c>
      <c r="O73" s="47" t="str">
        <f aca="false">IFERROR(IF(ISNUMBER(SEARCH("bench",C73)),K73,""),"")</f>
        <v/>
      </c>
      <c r="P73" s="47" t="str">
        <f aca="false">IFERROR(IF(ISNUMBER(SEARCH("deadlift",C73)),K73,""),"")</f>
        <v/>
      </c>
      <c r="V73" s="47" t="n">
        <f aca="false">MAX(V72,IF(N73="",0,N73))</f>
        <v>144.666666666667</v>
      </c>
      <c r="W73" s="47" t="n">
        <f aca="false">MAX(W72,IF(O73="",0,O73))</f>
        <v>99.1666666666667</v>
      </c>
      <c r="X73" s="47" t="n">
        <f aca="false">MAX(X72,IF(P73="",0,P73))</f>
        <v>175.666666666667</v>
      </c>
      <c r="Y73" s="47" t="n">
        <f aca="false">V73+W73+X73</f>
        <v>419.5</v>
      </c>
    </row>
    <row r="74" customFormat="false" ht="15" hidden="false" customHeight="false" outlineLevel="0" collapsed="false">
      <c r="A74" s="45"/>
      <c r="B74" s="31"/>
      <c r="C74" s="32"/>
      <c r="D74" s="31"/>
      <c r="E74" s="31"/>
      <c r="F74" s="29"/>
      <c r="G74" s="29" t="str">
        <f aca="false">IF(OR(D74="",E74="",F74=""),"",D74*E74*F74)</f>
        <v/>
      </c>
      <c r="H74" s="31"/>
      <c r="I74" s="36" t="str">
        <f aca="false">IF(OR(C74="",K74=""),"",IF(K74&gt;=_xlfn.MAXIFS($K$5:K73,$C$5:C73,C74),"Yes","No"))</f>
        <v/>
      </c>
      <c r="J74" s="32"/>
      <c r="K74" s="48" t="str">
        <f aca="false">IF(OR(E74="",F74=""),"",F74*(1+E74/30))</f>
        <v/>
      </c>
      <c r="L74" s="36" t="str">
        <f aca="false">IF(A74="","",INT((A74-StartDate)/7)+1)</f>
        <v/>
      </c>
      <c r="M74" s="36" t="str">
        <f aca="false">IF(A74="","",TEXT(A74,"mmm"))</f>
        <v/>
      </c>
      <c r="N74" s="48" t="str">
        <f aca="false">IFERROR(IF(ISNUMBER(SEARCH("squat",C74)),K74,""),"")</f>
        <v/>
      </c>
      <c r="O74" s="48" t="str">
        <f aca="false">IFERROR(IF(ISNUMBER(SEARCH("bench",C74)),K74,""),"")</f>
        <v/>
      </c>
      <c r="P74" s="48" t="str">
        <f aca="false">IFERROR(IF(ISNUMBER(SEARCH("deadlift",C74)),K74,""),"")</f>
        <v/>
      </c>
      <c r="V74" s="48" t="n">
        <f aca="false">MAX(V73,IF(N74="",0,N74))</f>
        <v>144.666666666667</v>
      </c>
      <c r="W74" s="48" t="n">
        <f aca="false">MAX(W73,IF(O74="",0,O74))</f>
        <v>99.1666666666667</v>
      </c>
      <c r="X74" s="48" t="n">
        <f aca="false">MAX(X73,IF(P74="",0,P74))</f>
        <v>175.666666666667</v>
      </c>
      <c r="Y74" s="48" t="n">
        <f aca="false">V74+W74+X74</f>
        <v>419.5</v>
      </c>
    </row>
    <row r="75" customFormat="false" ht="15" hidden="false" customHeight="false" outlineLevel="0" collapsed="false">
      <c r="A75" s="45"/>
      <c r="B75" s="31"/>
      <c r="C75" s="32"/>
      <c r="D75" s="31"/>
      <c r="E75" s="31"/>
      <c r="F75" s="29"/>
      <c r="G75" s="29" t="str">
        <f aca="false">IF(OR(D75="",E75="",F75=""),"",D75*E75*F75)</f>
        <v/>
      </c>
      <c r="H75" s="31"/>
      <c r="I75" s="46" t="str">
        <f aca="false">IF(OR(C75="",K75=""),"",IF(K75&gt;=_xlfn.MAXIFS($K$5:K74,$C$5:C74,C75),"Yes","No"))</f>
        <v/>
      </c>
      <c r="J75" s="32"/>
      <c r="K75" s="47" t="str">
        <f aca="false">IF(OR(E75="",F75=""),"",F75*(1+E75/30))</f>
        <v/>
      </c>
      <c r="L75" s="27" t="str">
        <f aca="false">IF(A75="","",INT((A75-StartDate)/7)+1)</f>
        <v/>
      </c>
      <c r="M75" s="27" t="str">
        <f aca="false">IF(A75="","",TEXT(A75,"mmm"))</f>
        <v/>
      </c>
      <c r="N75" s="47" t="str">
        <f aca="false">IFERROR(IF(ISNUMBER(SEARCH("squat",C75)),K75,""),"")</f>
        <v/>
      </c>
      <c r="O75" s="47" t="str">
        <f aca="false">IFERROR(IF(ISNUMBER(SEARCH("bench",C75)),K75,""),"")</f>
        <v/>
      </c>
      <c r="P75" s="47" t="str">
        <f aca="false">IFERROR(IF(ISNUMBER(SEARCH("deadlift",C75)),K75,""),"")</f>
        <v/>
      </c>
      <c r="V75" s="47" t="n">
        <f aca="false">MAX(V74,IF(N75="",0,N75))</f>
        <v>144.666666666667</v>
      </c>
      <c r="W75" s="47" t="n">
        <f aca="false">MAX(W74,IF(O75="",0,O75))</f>
        <v>99.1666666666667</v>
      </c>
      <c r="X75" s="47" t="n">
        <f aca="false">MAX(X74,IF(P75="",0,P75))</f>
        <v>175.666666666667</v>
      </c>
      <c r="Y75" s="47" t="n">
        <f aca="false">V75+W75+X75</f>
        <v>419.5</v>
      </c>
    </row>
    <row r="76" customFormat="false" ht="15" hidden="false" customHeight="false" outlineLevel="0" collapsed="false">
      <c r="A76" s="45"/>
      <c r="B76" s="31"/>
      <c r="C76" s="32"/>
      <c r="D76" s="31"/>
      <c r="E76" s="31"/>
      <c r="F76" s="29"/>
      <c r="G76" s="29" t="str">
        <f aca="false">IF(OR(D76="",E76="",F76=""),"",D76*E76*F76)</f>
        <v/>
      </c>
      <c r="H76" s="31"/>
      <c r="I76" s="36" t="str">
        <f aca="false">IF(OR(C76="",K76=""),"",IF(K76&gt;=_xlfn.MAXIFS($K$5:K75,$C$5:C75,C76),"Yes","No"))</f>
        <v/>
      </c>
      <c r="J76" s="32"/>
      <c r="K76" s="48" t="str">
        <f aca="false">IF(OR(E76="",F76=""),"",F76*(1+E76/30))</f>
        <v/>
      </c>
      <c r="L76" s="36" t="str">
        <f aca="false">IF(A76="","",INT((A76-StartDate)/7)+1)</f>
        <v/>
      </c>
      <c r="M76" s="36" t="str">
        <f aca="false">IF(A76="","",TEXT(A76,"mmm"))</f>
        <v/>
      </c>
      <c r="N76" s="48" t="str">
        <f aca="false">IFERROR(IF(ISNUMBER(SEARCH("squat",C76)),K76,""),"")</f>
        <v/>
      </c>
      <c r="O76" s="48" t="str">
        <f aca="false">IFERROR(IF(ISNUMBER(SEARCH("bench",C76)),K76,""),"")</f>
        <v/>
      </c>
      <c r="P76" s="48" t="str">
        <f aca="false">IFERROR(IF(ISNUMBER(SEARCH("deadlift",C76)),K76,""),"")</f>
        <v/>
      </c>
      <c r="V76" s="48" t="n">
        <f aca="false">MAX(V75,IF(N76="",0,N76))</f>
        <v>144.666666666667</v>
      </c>
      <c r="W76" s="48" t="n">
        <f aca="false">MAX(W75,IF(O76="",0,O76))</f>
        <v>99.1666666666667</v>
      </c>
      <c r="X76" s="48" t="n">
        <f aca="false">MAX(X75,IF(P76="",0,P76))</f>
        <v>175.666666666667</v>
      </c>
      <c r="Y76" s="48" t="n">
        <f aca="false">V76+W76+X76</f>
        <v>419.5</v>
      </c>
    </row>
    <row r="77" customFormat="false" ht="15" hidden="false" customHeight="false" outlineLevel="0" collapsed="false">
      <c r="A77" s="45"/>
      <c r="B77" s="31"/>
      <c r="C77" s="32"/>
      <c r="D77" s="31"/>
      <c r="E77" s="31"/>
      <c r="F77" s="29"/>
      <c r="G77" s="29" t="str">
        <f aca="false">IF(OR(D77="",E77="",F77=""),"",D77*E77*F77)</f>
        <v/>
      </c>
      <c r="H77" s="31"/>
      <c r="I77" s="46" t="str">
        <f aca="false">IF(OR(C77="",K77=""),"",IF(K77&gt;=_xlfn.MAXIFS($K$5:K76,$C$5:C76,C77),"Yes","No"))</f>
        <v/>
      </c>
      <c r="J77" s="32"/>
      <c r="K77" s="47" t="str">
        <f aca="false">IF(OR(E77="",F77=""),"",F77*(1+E77/30))</f>
        <v/>
      </c>
      <c r="L77" s="27" t="str">
        <f aca="false">IF(A77="","",INT((A77-StartDate)/7)+1)</f>
        <v/>
      </c>
      <c r="M77" s="27" t="str">
        <f aca="false">IF(A77="","",TEXT(A77,"mmm"))</f>
        <v/>
      </c>
      <c r="N77" s="47" t="str">
        <f aca="false">IFERROR(IF(ISNUMBER(SEARCH("squat",C77)),K77,""),"")</f>
        <v/>
      </c>
      <c r="O77" s="47" t="str">
        <f aca="false">IFERROR(IF(ISNUMBER(SEARCH("bench",C77)),K77,""),"")</f>
        <v/>
      </c>
      <c r="P77" s="47" t="str">
        <f aca="false">IFERROR(IF(ISNUMBER(SEARCH("deadlift",C77)),K77,""),"")</f>
        <v/>
      </c>
      <c r="V77" s="47" t="n">
        <f aca="false">MAX(V76,IF(N77="",0,N77))</f>
        <v>144.666666666667</v>
      </c>
      <c r="W77" s="47" t="n">
        <f aca="false">MAX(W76,IF(O77="",0,O77))</f>
        <v>99.1666666666667</v>
      </c>
      <c r="X77" s="47" t="n">
        <f aca="false">MAX(X76,IF(P77="",0,P77))</f>
        <v>175.666666666667</v>
      </c>
      <c r="Y77" s="47" t="n">
        <f aca="false">V77+W77+X77</f>
        <v>419.5</v>
      </c>
    </row>
    <row r="78" customFormat="false" ht="15" hidden="false" customHeight="false" outlineLevel="0" collapsed="false">
      <c r="A78" s="45"/>
      <c r="B78" s="31"/>
      <c r="C78" s="32"/>
      <c r="D78" s="31"/>
      <c r="E78" s="31"/>
      <c r="F78" s="29"/>
      <c r="G78" s="29" t="str">
        <f aca="false">IF(OR(D78="",E78="",F78=""),"",D78*E78*F78)</f>
        <v/>
      </c>
      <c r="H78" s="31"/>
      <c r="I78" s="36" t="str">
        <f aca="false">IF(OR(C78="",K78=""),"",IF(K78&gt;=_xlfn.MAXIFS($K$5:K77,$C$5:C77,C78),"Yes","No"))</f>
        <v/>
      </c>
      <c r="J78" s="32"/>
      <c r="K78" s="48" t="str">
        <f aca="false">IF(OR(E78="",F78=""),"",F78*(1+E78/30))</f>
        <v/>
      </c>
      <c r="L78" s="36" t="str">
        <f aca="false">IF(A78="","",INT((A78-StartDate)/7)+1)</f>
        <v/>
      </c>
      <c r="M78" s="36" t="str">
        <f aca="false">IF(A78="","",TEXT(A78,"mmm"))</f>
        <v/>
      </c>
      <c r="N78" s="48" t="str">
        <f aca="false">IFERROR(IF(ISNUMBER(SEARCH("squat",C78)),K78,""),"")</f>
        <v/>
      </c>
      <c r="O78" s="48" t="str">
        <f aca="false">IFERROR(IF(ISNUMBER(SEARCH("bench",C78)),K78,""),"")</f>
        <v/>
      </c>
      <c r="P78" s="48" t="str">
        <f aca="false">IFERROR(IF(ISNUMBER(SEARCH("deadlift",C78)),K78,""),"")</f>
        <v/>
      </c>
      <c r="V78" s="48" t="n">
        <f aca="false">MAX(V77,IF(N78="",0,N78))</f>
        <v>144.666666666667</v>
      </c>
      <c r="W78" s="48" t="n">
        <f aca="false">MAX(W77,IF(O78="",0,O78))</f>
        <v>99.1666666666667</v>
      </c>
      <c r="X78" s="48" t="n">
        <f aca="false">MAX(X77,IF(P78="",0,P78))</f>
        <v>175.666666666667</v>
      </c>
      <c r="Y78" s="48" t="n">
        <f aca="false">V78+W78+X78</f>
        <v>419.5</v>
      </c>
    </row>
    <row r="79" customFormat="false" ht="15" hidden="false" customHeight="false" outlineLevel="0" collapsed="false">
      <c r="A79" s="45"/>
      <c r="B79" s="31"/>
      <c r="C79" s="32"/>
      <c r="D79" s="31"/>
      <c r="E79" s="31"/>
      <c r="F79" s="29"/>
      <c r="G79" s="29" t="str">
        <f aca="false">IF(OR(D79="",E79="",F79=""),"",D79*E79*F79)</f>
        <v/>
      </c>
      <c r="H79" s="31"/>
      <c r="I79" s="46" t="str">
        <f aca="false">IF(OR(C79="",K79=""),"",IF(K79&gt;=_xlfn.MAXIFS($K$5:K78,$C$5:C78,C79),"Yes","No"))</f>
        <v/>
      </c>
      <c r="J79" s="32"/>
      <c r="K79" s="47" t="str">
        <f aca="false">IF(OR(E79="",F79=""),"",F79*(1+E79/30))</f>
        <v/>
      </c>
      <c r="L79" s="27" t="str">
        <f aca="false">IF(A79="","",INT((A79-StartDate)/7)+1)</f>
        <v/>
      </c>
      <c r="M79" s="27" t="str">
        <f aca="false">IF(A79="","",TEXT(A79,"mmm"))</f>
        <v/>
      </c>
      <c r="N79" s="47" t="str">
        <f aca="false">IFERROR(IF(ISNUMBER(SEARCH("squat",C79)),K79,""),"")</f>
        <v/>
      </c>
      <c r="O79" s="47" t="str">
        <f aca="false">IFERROR(IF(ISNUMBER(SEARCH("bench",C79)),K79,""),"")</f>
        <v/>
      </c>
      <c r="P79" s="47" t="str">
        <f aca="false">IFERROR(IF(ISNUMBER(SEARCH("deadlift",C79)),K79,""),"")</f>
        <v/>
      </c>
      <c r="V79" s="47" t="n">
        <f aca="false">MAX(V78,IF(N79="",0,N79))</f>
        <v>144.666666666667</v>
      </c>
      <c r="W79" s="47" t="n">
        <f aca="false">MAX(W78,IF(O79="",0,O79))</f>
        <v>99.1666666666667</v>
      </c>
      <c r="X79" s="47" t="n">
        <f aca="false">MAX(X78,IF(P79="",0,P79))</f>
        <v>175.666666666667</v>
      </c>
      <c r="Y79" s="47" t="n">
        <f aca="false">V79+W79+X79</f>
        <v>419.5</v>
      </c>
    </row>
    <row r="80" customFormat="false" ht="15" hidden="false" customHeight="false" outlineLevel="0" collapsed="false">
      <c r="A80" s="45"/>
      <c r="B80" s="31"/>
      <c r="C80" s="32"/>
      <c r="D80" s="31"/>
      <c r="E80" s="31"/>
      <c r="F80" s="29"/>
      <c r="G80" s="29" t="str">
        <f aca="false">IF(OR(D80="",E80="",F80=""),"",D80*E80*F80)</f>
        <v/>
      </c>
      <c r="H80" s="31"/>
      <c r="I80" s="36" t="str">
        <f aca="false">IF(OR(C80="",K80=""),"",IF(K80&gt;=_xlfn.MAXIFS($K$5:K79,$C$5:C79,C80),"Yes","No"))</f>
        <v/>
      </c>
      <c r="J80" s="32"/>
      <c r="K80" s="48" t="str">
        <f aca="false">IF(OR(E80="",F80=""),"",F80*(1+E80/30))</f>
        <v/>
      </c>
      <c r="L80" s="36" t="str">
        <f aca="false">IF(A80="","",INT((A80-StartDate)/7)+1)</f>
        <v/>
      </c>
      <c r="M80" s="36" t="str">
        <f aca="false">IF(A80="","",TEXT(A80,"mmm"))</f>
        <v/>
      </c>
      <c r="N80" s="48" t="str">
        <f aca="false">IFERROR(IF(ISNUMBER(SEARCH("squat",C80)),K80,""),"")</f>
        <v/>
      </c>
      <c r="O80" s="48" t="str">
        <f aca="false">IFERROR(IF(ISNUMBER(SEARCH("bench",C80)),K80,""),"")</f>
        <v/>
      </c>
      <c r="P80" s="48" t="str">
        <f aca="false">IFERROR(IF(ISNUMBER(SEARCH("deadlift",C80)),K80,""),"")</f>
        <v/>
      </c>
      <c r="V80" s="48" t="n">
        <f aca="false">MAX(V79,IF(N80="",0,N80))</f>
        <v>144.666666666667</v>
      </c>
      <c r="W80" s="48" t="n">
        <f aca="false">MAX(W79,IF(O80="",0,O80))</f>
        <v>99.1666666666667</v>
      </c>
      <c r="X80" s="48" t="n">
        <f aca="false">MAX(X79,IF(P80="",0,P80))</f>
        <v>175.666666666667</v>
      </c>
      <c r="Y80" s="48" t="n">
        <f aca="false">V80+W80+X80</f>
        <v>419.5</v>
      </c>
    </row>
    <row r="81" customFormat="false" ht="15" hidden="false" customHeight="false" outlineLevel="0" collapsed="false">
      <c r="A81" s="45"/>
      <c r="B81" s="31"/>
      <c r="C81" s="32"/>
      <c r="D81" s="31"/>
      <c r="E81" s="31"/>
      <c r="F81" s="29"/>
      <c r="G81" s="29" t="str">
        <f aca="false">IF(OR(D81="",E81="",F81=""),"",D81*E81*F81)</f>
        <v/>
      </c>
      <c r="H81" s="31"/>
      <c r="I81" s="46" t="str">
        <f aca="false">IF(OR(C81="",K81=""),"",IF(K81&gt;=_xlfn.MAXIFS($K$5:K80,$C$5:C80,C81),"Yes","No"))</f>
        <v/>
      </c>
      <c r="J81" s="32"/>
      <c r="K81" s="47" t="str">
        <f aca="false">IF(OR(E81="",F81=""),"",F81*(1+E81/30))</f>
        <v/>
      </c>
      <c r="L81" s="27" t="str">
        <f aca="false">IF(A81="","",INT((A81-StartDate)/7)+1)</f>
        <v/>
      </c>
      <c r="M81" s="27" t="str">
        <f aca="false">IF(A81="","",TEXT(A81,"mmm"))</f>
        <v/>
      </c>
      <c r="N81" s="47" t="str">
        <f aca="false">IFERROR(IF(ISNUMBER(SEARCH("squat",C81)),K81,""),"")</f>
        <v/>
      </c>
      <c r="O81" s="47" t="str">
        <f aca="false">IFERROR(IF(ISNUMBER(SEARCH("bench",C81)),K81,""),"")</f>
        <v/>
      </c>
      <c r="P81" s="47" t="str">
        <f aca="false">IFERROR(IF(ISNUMBER(SEARCH("deadlift",C81)),K81,""),"")</f>
        <v/>
      </c>
      <c r="V81" s="47" t="n">
        <f aca="false">MAX(V80,IF(N81="",0,N81))</f>
        <v>144.666666666667</v>
      </c>
      <c r="W81" s="47" t="n">
        <f aca="false">MAX(W80,IF(O81="",0,O81))</f>
        <v>99.1666666666667</v>
      </c>
      <c r="X81" s="47" t="n">
        <f aca="false">MAX(X80,IF(P81="",0,P81))</f>
        <v>175.666666666667</v>
      </c>
      <c r="Y81" s="47" t="n">
        <f aca="false">V81+W81+X81</f>
        <v>419.5</v>
      </c>
    </row>
    <row r="82" customFormat="false" ht="15" hidden="false" customHeight="false" outlineLevel="0" collapsed="false">
      <c r="A82" s="45"/>
      <c r="B82" s="31"/>
      <c r="C82" s="32"/>
      <c r="D82" s="31"/>
      <c r="E82" s="31"/>
      <c r="F82" s="29"/>
      <c r="G82" s="29" t="str">
        <f aca="false">IF(OR(D82="",E82="",F82=""),"",D82*E82*F82)</f>
        <v/>
      </c>
      <c r="H82" s="31"/>
      <c r="I82" s="36" t="str">
        <f aca="false">IF(OR(C82="",K82=""),"",IF(K82&gt;=_xlfn.MAXIFS($K$5:K81,$C$5:C81,C82),"Yes","No"))</f>
        <v/>
      </c>
      <c r="J82" s="32"/>
      <c r="K82" s="48" t="str">
        <f aca="false">IF(OR(E82="",F82=""),"",F82*(1+E82/30))</f>
        <v/>
      </c>
      <c r="L82" s="36" t="str">
        <f aca="false">IF(A82="","",INT((A82-StartDate)/7)+1)</f>
        <v/>
      </c>
      <c r="M82" s="36" t="str">
        <f aca="false">IF(A82="","",TEXT(A82,"mmm"))</f>
        <v/>
      </c>
      <c r="N82" s="48" t="str">
        <f aca="false">IFERROR(IF(ISNUMBER(SEARCH("squat",C82)),K82,""),"")</f>
        <v/>
      </c>
      <c r="O82" s="48" t="str">
        <f aca="false">IFERROR(IF(ISNUMBER(SEARCH("bench",C82)),K82,""),"")</f>
        <v/>
      </c>
      <c r="P82" s="48" t="str">
        <f aca="false">IFERROR(IF(ISNUMBER(SEARCH("deadlift",C82)),K82,""),"")</f>
        <v/>
      </c>
      <c r="V82" s="48" t="n">
        <f aca="false">MAX(V81,IF(N82="",0,N82))</f>
        <v>144.666666666667</v>
      </c>
      <c r="W82" s="48" t="n">
        <f aca="false">MAX(W81,IF(O82="",0,O82))</f>
        <v>99.1666666666667</v>
      </c>
      <c r="X82" s="48" t="n">
        <f aca="false">MAX(X81,IF(P82="",0,P82))</f>
        <v>175.666666666667</v>
      </c>
      <c r="Y82" s="48" t="n">
        <f aca="false">V82+W82+X82</f>
        <v>419.5</v>
      </c>
    </row>
    <row r="83" customFormat="false" ht="15" hidden="false" customHeight="false" outlineLevel="0" collapsed="false">
      <c r="A83" s="45"/>
      <c r="B83" s="31"/>
      <c r="C83" s="32"/>
      <c r="D83" s="31"/>
      <c r="E83" s="31"/>
      <c r="F83" s="29"/>
      <c r="G83" s="29" t="str">
        <f aca="false">IF(OR(D83="",E83="",F83=""),"",D83*E83*F83)</f>
        <v/>
      </c>
      <c r="H83" s="31"/>
      <c r="I83" s="46" t="str">
        <f aca="false">IF(OR(C83="",K83=""),"",IF(K83&gt;=_xlfn.MAXIFS($K$5:K82,$C$5:C82,C83),"Yes","No"))</f>
        <v/>
      </c>
      <c r="J83" s="32"/>
      <c r="K83" s="47" t="str">
        <f aca="false">IF(OR(E83="",F83=""),"",F83*(1+E83/30))</f>
        <v/>
      </c>
      <c r="L83" s="27" t="str">
        <f aca="false">IF(A83="","",INT((A83-StartDate)/7)+1)</f>
        <v/>
      </c>
      <c r="M83" s="27" t="str">
        <f aca="false">IF(A83="","",TEXT(A83,"mmm"))</f>
        <v/>
      </c>
      <c r="N83" s="47" t="str">
        <f aca="false">IFERROR(IF(ISNUMBER(SEARCH("squat",C83)),K83,""),"")</f>
        <v/>
      </c>
      <c r="O83" s="47" t="str">
        <f aca="false">IFERROR(IF(ISNUMBER(SEARCH("bench",C83)),K83,""),"")</f>
        <v/>
      </c>
      <c r="P83" s="47" t="str">
        <f aca="false">IFERROR(IF(ISNUMBER(SEARCH("deadlift",C83)),K83,""),"")</f>
        <v/>
      </c>
      <c r="V83" s="47" t="n">
        <f aca="false">MAX(V82,IF(N83="",0,N83))</f>
        <v>144.666666666667</v>
      </c>
      <c r="W83" s="47" t="n">
        <f aca="false">MAX(W82,IF(O83="",0,O83))</f>
        <v>99.1666666666667</v>
      </c>
      <c r="X83" s="47" t="n">
        <f aca="false">MAX(X82,IF(P83="",0,P83))</f>
        <v>175.666666666667</v>
      </c>
      <c r="Y83" s="47" t="n">
        <f aca="false">V83+W83+X83</f>
        <v>419.5</v>
      </c>
    </row>
    <row r="84" customFormat="false" ht="15" hidden="false" customHeight="false" outlineLevel="0" collapsed="false">
      <c r="A84" s="45"/>
      <c r="B84" s="31"/>
      <c r="C84" s="32"/>
      <c r="D84" s="31"/>
      <c r="E84" s="31"/>
      <c r="F84" s="29"/>
      <c r="G84" s="29" t="str">
        <f aca="false">IF(OR(D84="",E84="",F84=""),"",D84*E84*F84)</f>
        <v/>
      </c>
      <c r="H84" s="31"/>
      <c r="I84" s="36" t="str">
        <f aca="false">IF(OR(C84="",K84=""),"",IF(K84&gt;=_xlfn.MAXIFS($K$5:K83,$C$5:C83,C84),"Yes","No"))</f>
        <v/>
      </c>
      <c r="J84" s="32"/>
      <c r="K84" s="48" t="str">
        <f aca="false">IF(OR(E84="",F84=""),"",F84*(1+E84/30))</f>
        <v/>
      </c>
      <c r="L84" s="36" t="str">
        <f aca="false">IF(A84="","",INT((A84-StartDate)/7)+1)</f>
        <v/>
      </c>
      <c r="M84" s="36" t="str">
        <f aca="false">IF(A84="","",TEXT(A84,"mmm"))</f>
        <v/>
      </c>
      <c r="N84" s="48" t="str">
        <f aca="false">IFERROR(IF(ISNUMBER(SEARCH("squat",C84)),K84,""),"")</f>
        <v/>
      </c>
      <c r="O84" s="48" t="str">
        <f aca="false">IFERROR(IF(ISNUMBER(SEARCH("bench",C84)),K84,""),"")</f>
        <v/>
      </c>
      <c r="P84" s="48" t="str">
        <f aca="false">IFERROR(IF(ISNUMBER(SEARCH("deadlift",C84)),K84,""),"")</f>
        <v/>
      </c>
      <c r="V84" s="48" t="n">
        <f aca="false">MAX(V83,IF(N84="",0,N84))</f>
        <v>144.666666666667</v>
      </c>
      <c r="W84" s="48" t="n">
        <f aca="false">MAX(W83,IF(O84="",0,O84))</f>
        <v>99.1666666666667</v>
      </c>
      <c r="X84" s="48" t="n">
        <f aca="false">MAX(X83,IF(P84="",0,P84))</f>
        <v>175.666666666667</v>
      </c>
      <c r="Y84" s="48" t="n">
        <f aca="false">V84+W84+X84</f>
        <v>419.5</v>
      </c>
    </row>
    <row r="85" customFormat="false" ht="15" hidden="false" customHeight="false" outlineLevel="0" collapsed="false">
      <c r="A85" s="45"/>
      <c r="B85" s="31"/>
      <c r="C85" s="32"/>
      <c r="D85" s="31"/>
      <c r="E85" s="31"/>
      <c r="F85" s="29"/>
      <c r="G85" s="29" t="str">
        <f aca="false">IF(OR(D85="",E85="",F85=""),"",D85*E85*F85)</f>
        <v/>
      </c>
      <c r="H85" s="31"/>
      <c r="I85" s="46" t="str">
        <f aca="false">IF(OR(C85="",K85=""),"",IF(K85&gt;=_xlfn.MAXIFS($K$5:K84,$C$5:C84,C85),"Yes","No"))</f>
        <v/>
      </c>
      <c r="J85" s="32"/>
      <c r="K85" s="47" t="str">
        <f aca="false">IF(OR(E85="",F85=""),"",F85*(1+E85/30))</f>
        <v/>
      </c>
      <c r="L85" s="27" t="str">
        <f aca="false">IF(A85="","",INT((A85-StartDate)/7)+1)</f>
        <v/>
      </c>
      <c r="M85" s="27" t="str">
        <f aca="false">IF(A85="","",TEXT(A85,"mmm"))</f>
        <v/>
      </c>
      <c r="N85" s="47" t="str">
        <f aca="false">IFERROR(IF(ISNUMBER(SEARCH("squat",C85)),K85,""),"")</f>
        <v/>
      </c>
      <c r="O85" s="47" t="str">
        <f aca="false">IFERROR(IF(ISNUMBER(SEARCH("bench",C85)),K85,""),"")</f>
        <v/>
      </c>
      <c r="P85" s="47" t="str">
        <f aca="false">IFERROR(IF(ISNUMBER(SEARCH("deadlift",C85)),K85,""),"")</f>
        <v/>
      </c>
      <c r="V85" s="47" t="n">
        <f aca="false">MAX(V84,IF(N85="",0,N85))</f>
        <v>144.666666666667</v>
      </c>
      <c r="W85" s="47" t="n">
        <f aca="false">MAX(W84,IF(O85="",0,O85))</f>
        <v>99.1666666666667</v>
      </c>
      <c r="X85" s="47" t="n">
        <f aca="false">MAX(X84,IF(P85="",0,P85))</f>
        <v>175.666666666667</v>
      </c>
      <c r="Y85" s="47" t="n">
        <f aca="false">V85+W85+X85</f>
        <v>419.5</v>
      </c>
    </row>
    <row r="86" customFormat="false" ht="15" hidden="false" customHeight="false" outlineLevel="0" collapsed="false">
      <c r="A86" s="45"/>
      <c r="B86" s="31"/>
      <c r="C86" s="32"/>
      <c r="D86" s="31"/>
      <c r="E86" s="31"/>
      <c r="F86" s="29"/>
      <c r="G86" s="29" t="str">
        <f aca="false">IF(OR(D86="",E86="",F86=""),"",D86*E86*F86)</f>
        <v/>
      </c>
      <c r="H86" s="31"/>
      <c r="I86" s="36" t="str">
        <f aca="false">IF(OR(C86="",K86=""),"",IF(K86&gt;=_xlfn.MAXIFS($K$5:K85,$C$5:C85,C86),"Yes","No"))</f>
        <v/>
      </c>
      <c r="J86" s="32"/>
      <c r="K86" s="48" t="str">
        <f aca="false">IF(OR(E86="",F86=""),"",F86*(1+E86/30))</f>
        <v/>
      </c>
      <c r="L86" s="36" t="str">
        <f aca="false">IF(A86="","",INT((A86-StartDate)/7)+1)</f>
        <v/>
      </c>
      <c r="M86" s="36" t="str">
        <f aca="false">IF(A86="","",TEXT(A86,"mmm"))</f>
        <v/>
      </c>
      <c r="N86" s="48" t="str">
        <f aca="false">IFERROR(IF(ISNUMBER(SEARCH("squat",C86)),K86,""),"")</f>
        <v/>
      </c>
      <c r="O86" s="48" t="str">
        <f aca="false">IFERROR(IF(ISNUMBER(SEARCH("bench",C86)),K86,""),"")</f>
        <v/>
      </c>
      <c r="P86" s="48" t="str">
        <f aca="false">IFERROR(IF(ISNUMBER(SEARCH("deadlift",C86)),K86,""),"")</f>
        <v/>
      </c>
      <c r="V86" s="48" t="n">
        <f aca="false">MAX(V85,IF(N86="",0,N86))</f>
        <v>144.666666666667</v>
      </c>
      <c r="W86" s="48" t="n">
        <f aca="false">MAX(W85,IF(O86="",0,O86))</f>
        <v>99.1666666666667</v>
      </c>
      <c r="X86" s="48" t="n">
        <f aca="false">MAX(X85,IF(P86="",0,P86))</f>
        <v>175.666666666667</v>
      </c>
      <c r="Y86" s="48" t="n">
        <f aca="false">V86+W86+X86</f>
        <v>419.5</v>
      </c>
    </row>
    <row r="87" customFormat="false" ht="15" hidden="false" customHeight="false" outlineLevel="0" collapsed="false">
      <c r="A87" s="45"/>
      <c r="B87" s="31"/>
      <c r="C87" s="32"/>
      <c r="D87" s="31"/>
      <c r="E87" s="31"/>
      <c r="F87" s="29"/>
      <c r="G87" s="29" t="str">
        <f aca="false">IF(OR(D87="",E87="",F87=""),"",D87*E87*F87)</f>
        <v/>
      </c>
      <c r="H87" s="31"/>
      <c r="I87" s="46" t="str">
        <f aca="false">IF(OR(C87="",K87=""),"",IF(K87&gt;=_xlfn.MAXIFS($K$5:K86,$C$5:C86,C87),"Yes","No"))</f>
        <v/>
      </c>
      <c r="J87" s="32"/>
      <c r="K87" s="47" t="str">
        <f aca="false">IF(OR(E87="",F87=""),"",F87*(1+E87/30))</f>
        <v/>
      </c>
      <c r="L87" s="27" t="str">
        <f aca="false">IF(A87="","",INT((A87-StartDate)/7)+1)</f>
        <v/>
      </c>
      <c r="M87" s="27" t="str">
        <f aca="false">IF(A87="","",TEXT(A87,"mmm"))</f>
        <v/>
      </c>
      <c r="N87" s="47" t="str">
        <f aca="false">IFERROR(IF(ISNUMBER(SEARCH("squat",C87)),K87,""),"")</f>
        <v/>
      </c>
      <c r="O87" s="47" t="str">
        <f aca="false">IFERROR(IF(ISNUMBER(SEARCH("bench",C87)),K87,""),"")</f>
        <v/>
      </c>
      <c r="P87" s="47" t="str">
        <f aca="false">IFERROR(IF(ISNUMBER(SEARCH("deadlift",C87)),K87,""),"")</f>
        <v/>
      </c>
      <c r="V87" s="47" t="n">
        <f aca="false">MAX(V86,IF(N87="",0,N87))</f>
        <v>144.666666666667</v>
      </c>
      <c r="W87" s="47" t="n">
        <f aca="false">MAX(W86,IF(O87="",0,O87))</f>
        <v>99.1666666666667</v>
      </c>
      <c r="X87" s="47" t="n">
        <f aca="false">MAX(X86,IF(P87="",0,P87))</f>
        <v>175.666666666667</v>
      </c>
      <c r="Y87" s="47" t="n">
        <f aca="false">V87+W87+X87</f>
        <v>419.5</v>
      </c>
    </row>
    <row r="88" customFormat="false" ht="15" hidden="false" customHeight="false" outlineLevel="0" collapsed="false">
      <c r="A88" s="45"/>
      <c r="B88" s="31"/>
      <c r="C88" s="32"/>
      <c r="D88" s="31"/>
      <c r="E88" s="31"/>
      <c r="F88" s="29"/>
      <c r="G88" s="29" t="str">
        <f aca="false">IF(OR(D88="",E88="",F88=""),"",D88*E88*F88)</f>
        <v/>
      </c>
      <c r="H88" s="31"/>
      <c r="I88" s="36" t="str">
        <f aca="false">IF(OR(C88="",K88=""),"",IF(K88&gt;=_xlfn.MAXIFS($K$5:K87,$C$5:C87,C88),"Yes","No"))</f>
        <v/>
      </c>
      <c r="J88" s="32"/>
      <c r="K88" s="48" t="str">
        <f aca="false">IF(OR(E88="",F88=""),"",F88*(1+E88/30))</f>
        <v/>
      </c>
      <c r="L88" s="36" t="str">
        <f aca="false">IF(A88="","",INT((A88-StartDate)/7)+1)</f>
        <v/>
      </c>
      <c r="M88" s="36" t="str">
        <f aca="false">IF(A88="","",TEXT(A88,"mmm"))</f>
        <v/>
      </c>
      <c r="N88" s="48" t="str">
        <f aca="false">IFERROR(IF(ISNUMBER(SEARCH("squat",C88)),K88,""),"")</f>
        <v/>
      </c>
      <c r="O88" s="48" t="str">
        <f aca="false">IFERROR(IF(ISNUMBER(SEARCH("bench",C88)),K88,""),"")</f>
        <v/>
      </c>
      <c r="P88" s="48" t="str">
        <f aca="false">IFERROR(IF(ISNUMBER(SEARCH("deadlift",C88)),K88,""),"")</f>
        <v/>
      </c>
      <c r="V88" s="48" t="n">
        <f aca="false">MAX(V87,IF(N88="",0,N88))</f>
        <v>144.666666666667</v>
      </c>
      <c r="W88" s="48" t="n">
        <f aca="false">MAX(W87,IF(O88="",0,O88))</f>
        <v>99.1666666666667</v>
      </c>
      <c r="X88" s="48" t="n">
        <f aca="false">MAX(X87,IF(P88="",0,P88))</f>
        <v>175.666666666667</v>
      </c>
      <c r="Y88" s="48" t="n">
        <f aca="false">V88+W88+X88</f>
        <v>419.5</v>
      </c>
    </row>
    <row r="89" customFormat="false" ht="15" hidden="false" customHeight="false" outlineLevel="0" collapsed="false">
      <c r="A89" s="45"/>
      <c r="B89" s="31"/>
      <c r="C89" s="32"/>
      <c r="D89" s="31"/>
      <c r="E89" s="31"/>
      <c r="F89" s="29"/>
      <c r="G89" s="29" t="str">
        <f aca="false">IF(OR(D89="",E89="",F89=""),"",D89*E89*F89)</f>
        <v/>
      </c>
      <c r="H89" s="31"/>
      <c r="I89" s="46" t="str">
        <f aca="false">IF(OR(C89="",K89=""),"",IF(K89&gt;=_xlfn.MAXIFS($K$5:K88,$C$5:C88,C89),"Yes","No"))</f>
        <v/>
      </c>
      <c r="J89" s="32"/>
      <c r="K89" s="47" t="str">
        <f aca="false">IF(OR(E89="",F89=""),"",F89*(1+E89/30))</f>
        <v/>
      </c>
      <c r="L89" s="27" t="str">
        <f aca="false">IF(A89="","",INT((A89-StartDate)/7)+1)</f>
        <v/>
      </c>
      <c r="M89" s="27" t="str">
        <f aca="false">IF(A89="","",TEXT(A89,"mmm"))</f>
        <v/>
      </c>
      <c r="N89" s="47" t="str">
        <f aca="false">IFERROR(IF(ISNUMBER(SEARCH("squat",C89)),K89,""),"")</f>
        <v/>
      </c>
      <c r="O89" s="47" t="str">
        <f aca="false">IFERROR(IF(ISNUMBER(SEARCH("bench",C89)),K89,""),"")</f>
        <v/>
      </c>
      <c r="P89" s="47" t="str">
        <f aca="false">IFERROR(IF(ISNUMBER(SEARCH("deadlift",C89)),K89,""),"")</f>
        <v/>
      </c>
      <c r="V89" s="47" t="n">
        <f aca="false">MAX(V88,IF(N89="",0,N89))</f>
        <v>144.666666666667</v>
      </c>
      <c r="W89" s="47" t="n">
        <f aca="false">MAX(W88,IF(O89="",0,O89))</f>
        <v>99.1666666666667</v>
      </c>
      <c r="X89" s="47" t="n">
        <f aca="false">MAX(X88,IF(P89="",0,P89))</f>
        <v>175.666666666667</v>
      </c>
      <c r="Y89" s="47" t="n">
        <f aca="false">V89+W89+X89</f>
        <v>419.5</v>
      </c>
    </row>
    <row r="90" customFormat="false" ht="15" hidden="false" customHeight="false" outlineLevel="0" collapsed="false">
      <c r="A90" s="45"/>
      <c r="B90" s="31"/>
      <c r="C90" s="32"/>
      <c r="D90" s="31"/>
      <c r="E90" s="31"/>
      <c r="F90" s="29"/>
      <c r="G90" s="29" t="str">
        <f aca="false">IF(OR(D90="",E90="",F90=""),"",D90*E90*F90)</f>
        <v/>
      </c>
      <c r="H90" s="31"/>
      <c r="I90" s="36" t="str">
        <f aca="false">IF(OR(C90="",K90=""),"",IF(K90&gt;=_xlfn.MAXIFS($K$5:K89,$C$5:C89,C90),"Yes","No"))</f>
        <v/>
      </c>
      <c r="J90" s="32"/>
      <c r="K90" s="48" t="str">
        <f aca="false">IF(OR(E90="",F90=""),"",F90*(1+E90/30))</f>
        <v/>
      </c>
      <c r="L90" s="36" t="str">
        <f aca="false">IF(A90="","",INT((A90-StartDate)/7)+1)</f>
        <v/>
      </c>
      <c r="M90" s="36" t="str">
        <f aca="false">IF(A90="","",TEXT(A90,"mmm"))</f>
        <v/>
      </c>
      <c r="N90" s="48" t="str">
        <f aca="false">IFERROR(IF(ISNUMBER(SEARCH("squat",C90)),K90,""),"")</f>
        <v/>
      </c>
      <c r="O90" s="48" t="str">
        <f aca="false">IFERROR(IF(ISNUMBER(SEARCH("bench",C90)),K90,""),"")</f>
        <v/>
      </c>
      <c r="P90" s="48" t="str">
        <f aca="false">IFERROR(IF(ISNUMBER(SEARCH("deadlift",C90)),K90,""),"")</f>
        <v/>
      </c>
      <c r="V90" s="48" t="n">
        <f aca="false">MAX(V89,IF(N90="",0,N90))</f>
        <v>144.666666666667</v>
      </c>
      <c r="W90" s="48" t="n">
        <f aca="false">MAX(W89,IF(O90="",0,O90))</f>
        <v>99.1666666666667</v>
      </c>
      <c r="X90" s="48" t="n">
        <f aca="false">MAX(X89,IF(P90="",0,P90))</f>
        <v>175.666666666667</v>
      </c>
      <c r="Y90" s="48" t="n">
        <f aca="false">V90+W90+X90</f>
        <v>419.5</v>
      </c>
    </row>
    <row r="91" customFormat="false" ht="15" hidden="false" customHeight="false" outlineLevel="0" collapsed="false">
      <c r="A91" s="45"/>
      <c r="B91" s="31"/>
      <c r="C91" s="32"/>
      <c r="D91" s="31"/>
      <c r="E91" s="31"/>
      <c r="F91" s="29"/>
      <c r="G91" s="29" t="str">
        <f aca="false">IF(OR(D91="",E91="",F91=""),"",D91*E91*F91)</f>
        <v/>
      </c>
      <c r="H91" s="31"/>
      <c r="I91" s="46" t="str">
        <f aca="false">IF(OR(C91="",K91=""),"",IF(K91&gt;=_xlfn.MAXIFS($K$5:K90,$C$5:C90,C91),"Yes","No"))</f>
        <v/>
      </c>
      <c r="J91" s="32"/>
      <c r="K91" s="47" t="str">
        <f aca="false">IF(OR(E91="",F91=""),"",F91*(1+E91/30))</f>
        <v/>
      </c>
      <c r="L91" s="27" t="str">
        <f aca="false">IF(A91="","",INT((A91-StartDate)/7)+1)</f>
        <v/>
      </c>
      <c r="M91" s="27" t="str">
        <f aca="false">IF(A91="","",TEXT(A91,"mmm"))</f>
        <v/>
      </c>
      <c r="N91" s="47" t="str">
        <f aca="false">IFERROR(IF(ISNUMBER(SEARCH("squat",C91)),K91,""),"")</f>
        <v/>
      </c>
      <c r="O91" s="47" t="str">
        <f aca="false">IFERROR(IF(ISNUMBER(SEARCH("bench",C91)),K91,""),"")</f>
        <v/>
      </c>
      <c r="P91" s="47" t="str">
        <f aca="false">IFERROR(IF(ISNUMBER(SEARCH("deadlift",C91)),K91,""),"")</f>
        <v/>
      </c>
      <c r="V91" s="47" t="n">
        <f aca="false">MAX(V90,IF(N91="",0,N91))</f>
        <v>144.666666666667</v>
      </c>
      <c r="W91" s="47" t="n">
        <f aca="false">MAX(W90,IF(O91="",0,O91))</f>
        <v>99.1666666666667</v>
      </c>
      <c r="X91" s="47" t="n">
        <f aca="false">MAX(X90,IF(P91="",0,P91))</f>
        <v>175.666666666667</v>
      </c>
      <c r="Y91" s="47" t="n">
        <f aca="false">V91+W91+X91</f>
        <v>419.5</v>
      </c>
    </row>
    <row r="92" customFormat="false" ht="15" hidden="false" customHeight="false" outlineLevel="0" collapsed="false">
      <c r="A92" s="45"/>
      <c r="B92" s="31"/>
      <c r="C92" s="32"/>
      <c r="D92" s="31"/>
      <c r="E92" s="31"/>
      <c r="F92" s="29"/>
      <c r="G92" s="29" t="str">
        <f aca="false">IF(OR(D92="",E92="",F92=""),"",D92*E92*F92)</f>
        <v/>
      </c>
      <c r="H92" s="31"/>
      <c r="I92" s="36" t="str">
        <f aca="false">IF(OR(C92="",K92=""),"",IF(K92&gt;=_xlfn.MAXIFS($K$5:K91,$C$5:C91,C92),"Yes","No"))</f>
        <v/>
      </c>
      <c r="J92" s="32"/>
      <c r="K92" s="48" t="str">
        <f aca="false">IF(OR(E92="",F92=""),"",F92*(1+E92/30))</f>
        <v/>
      </c>
      <c r="L92" s="36" t="str">
        <f aca="false">IF(A92="","",INT((A92-StartDate)/7)+1)</f>
        <v/>
      </c>
      <c r="M92" s="36" t="str">
        <f aca="false">IF(A92="","",TEXT(A92,"mmm"))</f>
        <v/>
      </c>
      <c r="N92" s="48" t="str">
        <f aca="false">IFERROR(IF(ISNUMBER(SEARCH("squat",C92)),K92,""),"")</f>
        <v/>
      </c>
      <c r="O92" s="48" t="str">
        <f aca="false">IFERROR(IF(ISNUMBER(SEARCH("bench",C92)),K92,""),"")</f>
        <v/>
      </c>
      <c r="P92" s="48" t="str">
        <f aca="false">IFERROR(IF(ISNUMBER(SEARCH("deadlift",C92)),K92,""),"")</f>
        <v/>
      </c>
      <c r="V92" s="48" t="n">
        <f aca="false">MAX(V91,IF(N92="",0,N92))</f>
        <v>144.666666666667</v>
      </c>
      <c r="W92" s="48" t="n">
        <f aca="false">MAX(W91,IF(O92="",0,O92))</f>
        <v>99.1666666666667</v>
      </c>
      <c r="X92" s="48" t="n">
        <f aca="false">MAX(X91,IF(P92="",0,P92))</f>
        <v>175.666666666667</v>
      </c>
      <c r="Y92" s="48" t="n">
        <f aca="false">V92+W92+X92</f>
        <v>419.5</v>
      </c>
    </row>
    <row r="93" customFormat="false" ht="15" hidden="false" customHeight="false" outlineLevel="0" collapsed="false">
      <c r="A93" s="45"/>
      <c r="B93" s="31"/>
      <c r="C93" s="32"/>
      <c r="D93" s="31"/>
      <c r="E93" s="31"/>
      <c r="F93" s="29"/>
      <c r="G93" s="29" t="str">
        <f aca="false">IF(OR(D93="",E93="",F93=""),"",D93*E93*F93)</f>
        <v/>
      </c>
      <c r="H93" s="31"/>
      <c r="I93" s="46" t="str">
        <f aca="false">IF(OR(C93="",K93=""),"",IF(K93&gt;=_xlfn.MAXIFS($K$5:K92,$C$5:C92,C93),"Yes","No"))</f>
        <v/>
      </c>
      <c r="J93" s="32"/>
      <c r="K93" s="47" t="str">
        <f aca="false">IF(OR(E93="",F93=""),"",F93*(1+E93/30))</f>
        <v/>
      </c>
      <c r="L93" s="27" t="str">
        <f aca="false">IF(A93="","",INT((A93-StartDate)/7)+1)</f>
        <v/>
      </c>
      <c r="M93" s="27" t="str">
        <f aca="false">IF(A93="","",TEXT(A93,"mmm"))</f>
        <v/>
      </c>
      <c r="N93" s="47" t="str">
        <f aca="false">IFERROR(IF(ISNUMBER(SEARCH("squat",C93)),K93,""),"")</f>
        <v/>
      </c>
      <c r="O93" s="47" t="str">
        <f aca="false">IFERROR(IF(ISNUMBER(SEARCH("bench",C93)),K93,""),"")</f>
        <v/>
      </c>
      <c r="P93" s="47" t="str">
        <f aca="false">IFERROR(IF(ISNUMBER(SEARCH("deadlift",C93)),K93,""),"")</f>
        <v/>
      </c>
      <c r="V93" s="47" t="n">
        <f aca="false">MAX(V92,IF(N93="",0,N93))</f>
        <v>144.666666666667</v>
      </c>
      <c r="W93" s="47" t="n">
        <f aca="false">MAX(W92,IF(O93="",0,O93))</f>
        <v>99.1666666666667</v>
      </c>
      <c r="X93" s="47" t="n">
        <f aca="false">MAX(X92,IF(P93="",0,P93))</f>
        <v>175.666666666667</v>
      </c>
      <c r="Y93" s="47" t="n">
        <f aca="false">V93+W93+X93</f>
        <v>419.5</v>
      </c>
    </row>
    <row r="94" customFormat="false" ht="15" hidden="false" customHeight="false" outlineLevel="0" collapsed="false">
      <c r="A94" s="45"/>
      <c r="B94" s="31"/>
      <c r="C94" s="32"/>
      <c r="D94" s="31"/>
      <c r="E94" s="31"/>
      <c r="F94" s="29"/>
      <c r="G94" s="29" t="str">
        <f aca="false">IF(OR(D94="",E94="",F94=""),"",D94*E94*F94)</f>
        <v/>
      </c>
      <c r="H94" s="31"/>
      <c r="I94" s="36" t="str">
        <f aca="false">IF(OR(C94="",K94=""),"",IF(K94&gt;=_xlfn.MAXIFS($K$5:K93,$C$5:C93,C94),"Yes","No"))</f>
        <v/>
      </c>
      <c r="J94" s="32"/>
      <c r="K94" s="48" t="str">
        <f aca="false">IF(OR(E94="",F94=""),"",F94*(1+E94/30))</f>
        <v/>
      </c>
      <c r="L94" s="36" t="str">
        <f aca="false">IF(A94="","",INT((A94-StartDate)/7)+1)</f>
        <v/>
      </c>
      <c r="M94" s="36" t="str">
        <f aca="false">IF(A94="","",TEXT(A94,"mmm"))</f>
        <v/>
      </c>
      <c r="N94" s="48" t="str">
        <f aca="false">IFERROR(IF(ISNUMBER(SEARCH("squat",C94)),K94,""),"")</f>
        <v/>
      </c>
      <c r="O94" s="48" t="str">
        <f aca="false">IFERROR(IF(ISNUMBER(SEARCH("bench",C94)),K94,""),"")</f>
        <v/>
      </c>
      <c r="P94" s="48" t="str">
        <f aca="false">IFERROR(IF(ISNUMBER(SEARCH("deadlift",C94)),K94,""),"")</f>
        <v/>
      </c>
      <c r="V94" s="48" t="n">
        <f aca="false">MAX(V93,IF(N94="",0,N94))</f>
        <v>144.666666666667</v>
      </c>
      <c r="W94" s="48" t="n">
        <f aca="false">MAX(W93,IF(O94="",0,O94))</f>
        <v>99.1666666666667</v>
      </c>
      <c r="X94" s="48" t="n">
        <f aca="false">MAX(X93,IF(P94="",0,P94))</f>
        <v>175.666666666667</v>
      </c>
      <c r="Y94" s="48" t="n">
        <f aca="false">V94+W94+X94</f>
        <v>419.5</v>
      </c>
    </row>
    <row r="95" customFormat="false" ht="15" hidden="false" customHeight="false" outlineLevel="0" collapsed="false">
      <c r="A95" s="45"/>
      <c r="B95" s="31"/>
      <c r="C95" s="32"/>
      <c r="D95" s="31"/>
      <c r="E95" s="31"/>
      <c r="F95" s="29"/>
      <c r="G95" s="29" t="str">
        <f aca="false">IF(OR(D95="",E95="",F95=""),"",D95*E95*F95)</f>
        <v/>
      </c>
      <c r="H95" s="31"/>
      <c r="I95" s="46" t="str">
        <f aca="false">IF(OR(C95="",K95=""),"",IF(K95&gt;=_xlfn.MAXIFS($K$5:K94,$C$5:C94,C95),"Yes","No"))</f>
        <v/>
      </c>
      <c r="J95" s="32"/>
      <c r="K95" s="47" t="str">
        <f aca="false">IF(OR(E95="",F95=""),"",F95*(1+E95/30))</f>
        <v/>
      </c>
      <c r="L95" s="27" t="str">
        <f aca="false">IF(A95="","",INT((A95-StartDate)/7)+1)</f>
        <v/>
      </c>
      <c r="M95" s="27" t="str">
        <f aca="false">IF(A95="","",TEXT(A95,"mmm"))</f>
        <v/>
      </c>
      <c r="N95" s="47" t="str">
        <f aca="false">IFERROR(IF(ISNUMBER(SEARCH("squat",C95)),K95,""),"")</f>
        <v/>
      </c>
      <c r="O95" s="47" t="str">
        <f aca="false">IFERROR(IF(ISNUMBER(SEARCH("bench",C95)),K95,""),"")</f>
        <v/>
      </c>
      <c r="P95" s="47" t="str">
        <f aca="false">IFERROR(IF(ISNUMBER(SEARCH("deadlift",C95)),K95,""),"")</f>
        <v/>
      </c>
      <c r="V95" s="47" t="n">
        <f aca="false">MAX(V94,IF(N95="",0,N95))</f>
        <v>144.666666666667</v>
      </c>
      <c r="W95" s="47" t="n">
        <f aca="false">MAX(W94,IF(O95="",0,O95))</f>
        <v>99.1666666666667</v>
      </c>
      <c r="X95" s="47" t="n">
        <f aca="false">MAX(X94,IF(P95="",0,P95))</f>
        <v>175.666666666667</v>
      </c>
      <c r="Y95" s="47" t="n">
        <f aca="false">V95+W95+X95</f>
        <v>419.5</v>
      </c>
    </row>
    <row r="96" customFormat="false" ht="15" hidden="false" customHeight="false" outlineLevel="0" collapsed="false">
      <c r="A96" s="45"/>
      <c r="B96" s="31"/>
      <c r="C96" s="32"/>
      <c r="D96" s="31"/>
      <c r="E96" s="31"/>
      <c r="F96" s="29"/>
      <c r="G96" s="29" t="str">
        <f aca="false">IF(OR(D96="",E96="",F96=""),"",D96*E96*F96)</f>
        <v/>
      </c>
      <c r="H96" s="31"/>
      <c r="I96" s="36" t="str">
        <f aca="false">IF(OR(C96="",K96=""),"",IF(K96&gt;=_xlfn.MAXIFS($K$5:K95,$C$5:C95,C96),"Yes","No"))</f>
        <v/>
      </c>
      <c r="J96" s="32"/>
      <c r="K96" s="48" t="str">
        <f aca="false">IF(OR(E96="",F96=""),"",F96*(1+E96/30))</f>
        <v/>
      </c>
      <c r="L96" s="36" t="str">
        <f aca="false">IF(A96="","",INT((A96-StartDate)/7)+1)</f>
        <v/>
      </c>
      <c r="M96" s="36" t="str">
        <f aca="false">IF(A96="","",TEXT(A96,"mmm"))</f>
        <v/>
      </c>
      <c r="N96" s="48" t="str">
        <f aca="false">IFERROR(IF(ISNUMBER(SEARCH("squat",C96)),K96,""),"")</f>
        <v/>
      </c>
      <c r="O96" s="48" t="str">
        <f aca="false">IFERROR(IF(ISNUMBER(SEARCH("bench",C96)),K96,""),"")</f>
        <v/>
      </c>
      <c r="P96" s="48" t="str">
        <f aca="false">IFERROR(IF(ISNUMBER(SEARCH("deadlift",C96)),K96,""),"")</f>
        <v/>
      </c>
      <c r="V96" s="48" t="n">
        <f aca="false">MAX(V95,IF(N96="",0,N96))</f>
        <v>144.666666666667</v>
      </c>
      <c r="W96" s="48" t="n">
        <f aca="false">MAX(W95,IF(O96="",0,O96))</f>
        <v>99.1666666666667</v>
      </c>
      <c r="X96" s="48" t="n">
        <f aca="false">MAX(X95,IF(P96="",0,P96))</f>
        <v>175.666666666667</v>
      </c>
      <c r="Y96" s="48" t="n">
        <f aca="false">V96+W96+X96</f>
        <v>419.5</v>
      </c>
    </row>
    <row r="97" customFormat="false" ht="15" hidden="false" customHeight="false" outlineLevel="0" collapsed="false">
      <c r="A97" s="45"/>
      <c r="B97" s="31"/>
      <c r="C97" s="32"/>
      <c r="D97" s="31"/>
      <c r="E97" s="31"/>
      <c r="F97" s="29"/>
      <c r="G97" s="29" t="str">
        <f aca="false">IF(OR(D97="",E97="",F97=""),"",D97*E97*F97)</f>
        <v/>
      </c>
      <c r="H97" s="31"/>
      <c r="I97" s="46" t="str">
        <f aca="false">IF(OR(C97="",K97=""),"",IF(K97&gt;=_xlfn.MAXIFS($K$5:K96,$C$5:C96,C97),"Yes","No"))</f>
        <v/>
      </c>
      <c r="J97" s="32"/>
      <c r="K97" s="47" t="str">
        <f aca="false">IF(OR(E97="",F97=""),"",F97*(1+E97/30))</f>
        <v/>
      </c>
      <c r="L97" s="27" t="str">
        <f aca="false">IF(A97="","",INT((A97-StartDate)/7)+1)</f>
        <v/>
      </c>
      <c r="M97" s="27" t="str">
        <f aca="false">IF(A97="","",TEXT(A97,"mmm"))</f>
        <v/>
      </c>
      <c r="N97" s="47" t="str">
        <f aca="false">IFERROR(IF(ISNUMBER(SEARCH("squat",C97)),K97,""),"")</f>
        <v/>
      </c>
      <c r="O97" s="47" t="str">
        <f aca="false">IFERROR(IF(ISNUMBER(SEARCH("bench",C97)),K97,""),"")</f>
        <v/>
      </c>
      <c r="P97" s="47" t="str">
        <f aca="false">IFERROR(IF(ISNUMBER(SEARCH("deadlift",C97)),K97,""),"")</f>
        <v/>
      </c>
      <c r="V97" s="47" t="n">
        <f aca="false">MAX(V96,IF(N97="",0,N97))</f>
        <v>144.666666666667</v>
      </c>
      <c r="W97" s="47" t="n">
        <f aca="false">MAX(W96,IF(O97="",0,O97))</f>
        <v>99.1666666666667</v>
      </c>
      <c r="X97" s="47" t="n">
        <f aca="false">MAX(X96,IF(P97="",0,P97))</f>
        <v>175.666666666667</v>
      </c>
      <c r="Y97" s="47" t="n">
        <f aca="false">V97+W97+X97</f>
        <v>419.5</v>
      </c>
    </row>
    <row r="98" customFormat="false" ht="15" hidden="false" customHeight="false" outlineLevel="0" collapsed="false">
      <c r="A98" s="45"/>
      <c r="B98" s="31"/>
      <c r="C98" s="32"/>
      <c r="D98" s="31"/>
      <c r="E98" s="31"/>
      <c r="F98" s="29"/>
      <c r="G98" s="29" t="str">
        <f aca="false">IF(OR(D98="",E98="",F98=""),"",D98*E98*F98)</f>
        <v/>
      </c>
      <c r="H98" s="31"/>
      <c r="I98" s="36" t="str">
        <f aca="false">IF(OR(C98="",K98=""),"",IF(K98&gt;=_xlfn.MAXIFS($K$5:K97,$C$5:C97,C98),"Yes","No"))</f>
        <v/>
      </c>
      <c r="J98" s="32"/>
      <c r="K98" s="48" t="str">
        <f aca="false">IF(OR(E98="",F98=""),"",F98*(1+E98/30))</f>
        <v/>
      </c>
      <c r="L98" s="36" t="str">
        <f aca="false">IF(A98="","",INT((A98-StartDate)/7)+1)</f>
        <v/>
      </c>
      <c r="M98" s="36" t="str">
        <f aca="false">IF(A98="","",TEXT(A98,"mmm"))</f>
        <v/>
      </c>
      <c r="N98" s="48" t="str">
        <f aca="false">IFERROR(IF(ISNUMBER(SEARCH("squat",C98)),K98,""),"")</f>
        <v/>
      </c>
      <c r="O98" s="48" t="str">
        <f aca="false">IFERROR(IF(ISNUMBER(SEARCH("bench",C98)),K98,""),"")</f>
        <v/>
      </c>
      <c r="P98" s="48" t="str">
        <f aca="false">IFERROR(IF(ISNUMBER(SEARCH("deadlift",C98)),K98,""),"")</f>
        <v/>
      </c>
      <c r="V98" s="48" t="n">
        <f aca="false">MAX(V97,IF(N98="",0,N98))</f>
        <v>144.666666666667</v>
      </c>
      <c r="W98" s="48" t="n">
        <f aca="false">MAX(W97,IF(O98="",0,O98))</f>
        <v>99.1666666666667</v>
      </c>
      <c r="X98" s="48" t="n">
        <f aca="false">MAX(X97,IF(P98="",0,P98))</f>
        <v>175.666666666667</v>
      </c>
      <c r="Y98" s="48" t="n">
        <f aca="false">V98+W98+X98</f>
        <v>419.5</v>
      </c>
    </row>
    <row r="99" customFormat="false" ht="15" hidden="false" customHeight="false" outlineLevel="0" collapsed="false">
      <c r="A99" s="45"/>
      <c r="B99" s="31"/>
      <c r="C99" s="32"/>
      <c r="D99" s="31"/>
      <c r="E99" s="31"/>
      <c r="F99" s="29"/>
      <c r="G99" s="29" t="str">
        <f aca="false">IF(OR(D99="",E99="",F99=""),"",D99*E99*F99)</f>
        <v/>
      </c>
      <c r="H99" s="31"/>
      <c r="I99" s="46" t="str">
        <f aca="false">IF(OR(C99="",K99=""),"",IF(K99&gt;=_xlfn.MAXIFS($K$5:K98,$C$5:C98,C99),"Yes","No"))</f>
        <v/>
      </c>
      <c r="J99" s="32"/>
      <c r="K99" s="47" t="str">
        <f aca="false">IF(OR(E99="",F99=""),"",F99*(1+E99/30))</f>
        <v/>
      </c>
      <c r="L99" s="27" t="str">
        <f aca="false">IF(A99="","",INT((A99-StartDate)/7)+1)</f>
        <v/>
      </c>
      <c r="M99" s="27" t="str">
        <f aca="false">IF(A99="","",TEXT(A99,"mmm"))</f>
        <v/>
      </c>
      <c r="N99" s="47" t="str">
        <f aca="false">IFERROR(IF(ISNUMBER(SEARCH("squat",C99)),K99,""),"")</f>
        <v/>
      </c>
      <c r="O99" s="47" t="str">
        <f aca="false">IFERROR(IF(ISNUMBER(SEARCH("bench",C99)),K99,""),"")</f>
        <v/>
      </c>
      <c r="P99" s="47" t="str">
        <f aca="false">IFERROR(IF(ISNUMBER(SEARCH("deadlift",C99)),K99,""),"")</f>
        <v/>
      </c>
      <c r="V99" s="47" t="n">
        <f aca="false">MAX(V98,IF(N99="",0,N99))</f>
        <v>144.666666666667</v>
      </c>
      <c r="W99" s="47" t="n">
        <f aca="false">MAX(W98,IF(O99="",0,O99))</f>
        <v>99.1666666666667</v>
      </c>
      <c r="X99" s="47" t="n">
        <f aca="false">MAX(X98,IF(P99="",0,P99))</f>
        <v>175.666666666667</v>
      </c>
      <c r="Y99" s="47" t="n">
        <f aca="false">V99+W99+X99</f>
        <v>419.5</v>
      </c>
    </row>
    <row r="100" customFormat="false" ht="15" hidden="false" customHeight="false" outlineLevel="0" collapsed="false">
      <c r="A100" s="45"/>
      <c r="B100" s="31"/>
      <c r="C100" s="32"/>
      <c r="D100" s="31"/>
      <c r="E100" s="31"/>
      <c r="F100" s="29"/>
      <c r="G100" s="29" t="str">
        <f aca="false">IF(OR(D100="",E100="",F100=""),"",D100*E100*F100)</f>
        <v/>
      </c>
      <c r="H100" s="31"/>
      <c r="I100" s="36" t="str">
        <f aca="false">IF(OR(C100="",K100=""),"",IF(K100&gt;=_xlfn.MAXIFS($K$5:K99,$C$5:C99,C100),"Yes","No"))</f>
        <v/>
      </c>
      <c r="J100" s="32"/>
      <c r="K100" s="48" t="str">
        <f aca="false">IF(OR(E100="",F100=""),"",F100*(1+E100/30))</f>
        <v/>
      </c>
      <c r="L100" s="36" t="str">
        <f aca="false">IF(A100="","",INT((A100-StartDate)/7)+1)</f>
        <v/>
      </c>
      <c r="M100" s="36" t="str">
        <f aca="false">IF(A100="","",TEXT(A100,"mmm"))</f>
        <v/>
      </c>
      <c r="N100" s="48" t="str">
        <f aca="false">IFERROR(IF(ISNUMBER(SEARCH("squat",C100)),K100,""),"")</f>
        <v/>
      </c>
      <c r="O100" s="48" t="str">
        <f aca="false">IFERROR(IF(ISNUMBER(SEARCH("bench",C100)),K100,""),"")</f>
        <v/>
      </c>
      <c r="P100" s="48" t="str">
        <f aca="false">IFERROR(IF(ISNUMBER(SEARCH("deadlift",C100)),K100,""),"")</f>
        <v/>
      </c>
      <c r="V100" s="48" t="n">
        <f aca="false">MAX(V99,IF(N100="",0,N100))</f>
        <v>144.666666666667</v>
      </c>
      <c r="W100" s="48" t="n">
        <f aca="false">MAX(W99,IF(O100="",0,O100))</f>
        <v>99.1666666666667</v>
      </c>
      <c r="X100" s="48" t="n">
        <f aca="false">MAX(X99,IF(P100="",0,P100))</f>
        <v>175.666666666667</v>
      </c>
      <c r="Y100" s="48" t="n">
        <f aca="false">V100+W100+X100</f>
        <v>419.5</v>
      </c>
    </row>
    <row r="101" customFormat="false" ht="15" hidden="false" customHeight="false" outlineLevel="0" collapsed="false">
      <c r="A101" s="45"/>
      <c r="B101" s="31"/>
      <c r="C101" s="32"/>
      <c r="D101" s="31"/>
      <c r="E101" s="31"/>
      <c r="F101" s="29"/>
      <c r="G101" s="29" t="str">
        <f aca="false">IF(OR(D101="",E101="",F101=""),"",D101*E101*F101)</f>
        <v/>
      </c>
      <c r="H101" s="31"/>
      <c r="I101" s="46" t="str">
        <f aca="false">IF(OR(C101="",K101=""),"",IF(K101&gt;=_xlfn.MAXIFS($K$5:K100,$C$5:C100,C101),"Yes","No"))</f>
        <v/>
      </c>
      <c r="J101" s="32"/>
      <c r="K101" s="47" t="str">
        <f aca="false">IF(OR(E101="",F101=""),"",F101*(1+E101/30))</f>
        <v/>
      </c>
      <c r="L101" s="27" t="str">
        <f aca="false">IF(A101="","",INT((A101-StartDate)/7)+1)</f>
        <v/>
      </c>
      <c r="M101" s="27" t="str">
        <f aca="false">IF(A101="","",TEXT(A101,"mmm"))</f>
        <v/>
      </c>
      <c r="N101" s="47" t="str">
        <f aca="false">IFERROR(IF(ISNUMBER(SEARCH("squat",C101)),K101,""),"")</f>
        <v/>
      </c>
      <c r="O101" s="47" t="str">
        <f aca="false">IFERROR(IF(ISNUMBER(SEARCH("bench",C101)),K101,""),"")</f>
        <v/>
      </c>
      <c r="P101" s="47" t="str">
        <f aca="false">IFERROR(IF(ISNUMBER(SEARCH("deadlift",C101)),K101,""),"")</f>
        <v/>
      </c>
      <c r="V101" s="47" t="n">
        <f aca="false">MAX(V100,IF(N101="",0,N101))</f>
        <v>144.666666666667</v>
      </c>
      <c r="W101" s="47" t="n">
        <f aca="false">MAX(W100,IF(O101="",0,O101))</f>
        <v>99.1666666666667</v>
      </c>
      <c r="X101" s="47" t="n">
        <f aca="false">MAX(X100,IF(P101="",0,P101))</f>
        <v>175.666666666667</v>
      </c>
      <c r="Y101" s="47" t="n">
        <f aca="false">V101+W101+X101</f>
        <v>419.5</v>
      </c>
    </row>
    <row r="102" customFormat="false" ht="15" hidden="false" customHeight="false" outlineLevel="0" collapsed="false">
      <c r="A102" s="45"/>
      <c r="B102" s="31"/>
      <c r="C102" s="32"/>
      <c r="D102" s="31"/>
      <c r="E102" s="31"/>
      <c r="F102" s="29"/>
      <c r="G102" s="29" t="str">
        <f aca="false">IF(OR(D102="",E102="",F102=""),"",D102*E102*F102)</f>
        <v/>
      </c>
      <c r="H102" s="31"/>
      <c r="I102" s="36" t="str">
        <f aca="false">IF(OR(C102="",K102=""),"",IF(K102&gt;=_xlfn.MAXIFS($K$5:K101,$C$5:C101,C102),"Yes","No"))</f>
        <v/>
      </c>
      <c r="J102" s="32"/>
      <c r="K102" s="48" t="str">
        <f aca="false">IF(OR(E102="",F102=""),"",F102*(1+E102/30))</f>
        <v/>
      </c>
      <c r="L102" s="36" t="str">
        <f aca="false">IF(A102="","",INT((A102-StartDate)/7)+1)</f>
        <v/>
      </c>
      <c r="M102" s="36" t="str">
        <f aca="false">IF(A102="","",TEXT(A102,"mmm"))</f>
        <v/>
      </c>
      <c r="N102" s="48" t="str">
        <f aca="false">IFERROR(IF(ISNUMBER(SEARCH("squat",C102)),K102,""),"")</f>
        <v/>
      </c>
      <c r="O102" s="48" t="str">
        <f aca="false">IFERROR(IF(ISNUMBER(SEARCH("bench",C102)),K102,""),"")</f>
        <v/>
      </c>
      <c r="P102" s="48" t="str">
        <f aca="false">IFERROR(IF(ISNUMBER(SEARCH("deadlift",C102)),K102,""),"")</f>
        <v/>
      </c>
      <c r="V102" s="48" t="n">
        <f aca="false">MAX(V101,IF(N102="",0,N102))</f>
        <v>144.666666666667</v>
      </c>
      <c r="W102" s="48" t="n">
        <f aca="false">MAX(W101,IF(O102="",0,O102))</f>
        <v>99.1666666666667</v>
      </c>
      <c r="X102" s="48" t="n">
        <f aca="false">MAX(X101,IF(P102="",0,P102))</f>
        <v>175.666666666667</v>
      </c>
      <c r="Y102" s="48" t="n">
        <f aca="false">V102+W102+X102</f>
        <v>419.5</v>
      </c>
    </row>
    <row r="103" customFormat="false" ht="15" hidden="false" customHeight="false" outlineLevel="0" collapsed="false">
      <c r="A103" s="45"/>
      <c r="B103" s="31"/>
      <c r="C103" s="32"/>
      <c r="D103" s="31"/>
      <c r="E103" s="31"/>
      <c r="F103" s="29"/>
      <c r="G103" s="29" t="str">
        <f aca="false">IF(OR(D103="",E103="",F103=""),"",D103*E103*F103)</f>
        <v/>
      </c>
      <c r="H103" s="31"/>
      <c r="I103" s="46" t="str">
        <f aca="false">IF(OR(C103="",K103=""),"",IF(K103&gt;=_xlfn.MAXIFS($K$5:K102,$C$5:C102,C103),"Yes","No"))</f>
        <v/>
      </c>
      <c r="J103" s="32"/>
      <c r="K103" s="47" t="str">
        <f aca="false">IF(OR(E103="",F103=""),"",F103*(1+E103/30))</f>
        <v/>
      </c>
      <c r="L103" s="27" t="str">
        <f aca="false">IF(A103="","",INT((A103-StartDate)/7)+1)</f>
        <v/>
      </c>
      <c r="M103" s="27" t="str">
        <f aca="false">IF(A103="","",TEXT(A103,"mmm"))</f>
        <v/>
      </c>
      <c r="N103" s="47" t="str">
        <f aca="false">IFERROR(IF(ISNUMBER(SEARCH("squat",C103)),K103,""),"")</f>
        <v/>
      </c>
      <c r="O103" s="47" t="str">
        <f aca="false">IFERROR(IF(ISNUMBER(SEARCH("bench",C103)),K103,""),"")</f>
        <v/>
      </c>
      <c r="P103" s="47" t="str">
        <f aca="false">IFERROR(IF(ISNUMBER(SEARCH("deadlift",C103)),K103,""),"")</f>
        <v/>
      </c>
      <c r="V103" s="47" t="n">
        <f aca="false">MAX(V102,IF(N103="",0,N103))</f>
        <v>144.666666666667</v>
      </c>
      <c r="W103" s="47" t="n">
        <f aca="false">MAX(W102,IF(O103="",0,O103))</f>
        <v>99.1666666666667</v>
      </c>
      <c r="X103" s="47" t="n">
        <f aca="false">MAX(X102,IF(P103="",0,P103))</f>
        <v>175.666666666667</v>
      </c>
      <c r="Y103" s="47" t="n">
        <f aca="false">V103+W103+X103</f>
        <v>419.5</v>
      </c>
    </row>
    <row r="104" customFormat="false" ht="15" hidden="false" customHeight="false" outlineLevel="0" collapsed="false">
      <c r="A104" s="45"/>
      <c r="B104" s="31"/>
      <c r="C104" s="32"/>
      <c r="D104" s="31"/>
      <c r="E104" s="31"/>
      <c r="F104" s="29"/>
      <c r="G104" s="29" t="str">
        <f aca="false">IF(OR(D104="",E104="",F104=""),"",D104*E104*F104)</f>
        <v/>
      </c>
      <c r="H104" s="31"/>
      <c r="I104" s="36" t="str">
        <f aca="false">IF(OR(C104="",K104=""),"",IF(K104&gt;=_xlfn.MAXIFS($K$5:K103,$C$5:C103,C104),"Yes","No"))</f>
        <v/>
      </c>
      <c r="J104" s="32"/>
      <c r="K104" s="48" t="str">
        <f aca="false">IF(OR(E104="",F104=""),"",F104*(1+E104/30))</f>
        <v/>
      </c>
      <c r="L104" s="36" t="str">
        <f aca="false">IF(A104="","",INT((A104-StartDate)/7)+1)</f>
        <v/>
      </c>
      <c r="M104" s="36" t="str">
        <f aca="false">IF(A104="","",TEXT(A104,"mmm"))</f>
        <v/>
      </c>
      <c r="N104" s="48" t="str">
        <f aca="false">IFERROR(IF(ISNUMBER(SEARCH("squat",C104)),K104,""),"")</f>
        <v/>
      </c>
      <c r="O104" s="48" t="str">
        <f aca="false">IFERROR(IF(ISNUMBER(SEARCH("bench",C104)),K104,""),"")</f>
        <v/>
      </c>
      <c r="P104" s="48" t="str">
        <f aca="false">IFERROR(IF(ISNUMBER(SEARCH("deadlift",C104)),K104,""),"")</f>
        <v/>
      </c>
      <c r="V104" s="48" t="n">
        <f aca="false">MAX(V103,IF(N104="",0,N104))</f>
        <v>144.666666666667</v>
      </c>
      <c r="W104" s="48" t="n">
        <f aca="false">MAX(W103,IF(O104="",0,O104))</f>
        <v>99.1666666666667</v>
      </c>
      <c r="X104" s="48" t="n">
        <f aca="false">MAX(X103,IF(P104="",0,P104))</f>
        <v>175.666666666667</v>
      </c>
      <c r="Y104" s="48" t="n">
        <f aca="false">V104+W104+X104</f>
        <v>419.5</v>
      </c>
    </row>
    <row r="105" customFormat="false" ht="15" hidden="false" customHeight="false" outlineLevel="0" collapsed="false">
      <c r="A105" s="45"/>
      <c r="B105" s="31"/>
      <c r="C105" s="32"/>
      <c r="D105" s="31"/>
      <c r="E105" s="31"/>
      <c r="F105" s="29"/>
      <c r="G105" s="29" t="str">
        <f aca="false">IF(OR(D105="",E105="",F105=""),"",D105*E105*F105)</f>
        <v/>
      </c>
      <c r="H105" s="31"/>
      <c r="I105" s="46" t="str">
        <f aca="false">IF(OR(C105="",K105=""),"",IF(K105&gt;=_xlfn.MAXIFS($K$5:K104,$C$5:C104,C105),"Yes","No"))</f>
        <v/>
      </c>
      <c r="J105" s="32"/>
      <c r="K105" s="47" t="str">
        <f aca="false">IF(OR(E105="",F105=""),"",F105*(1+E105/30))</f>
        <v/>
      </c>
      <c r="L105" s="27" t="str">
        <f aca="false">IF(A105="","",INT((A105-StartDate)/7)+1)</f>
        <v/>
      </c>
      <c r="M105" s="27" t="str">
        <f aca="false">IF(A105="","",TEXT(A105,"mmm"))</f>
        <v/>
      </c>
      <c r="N105" s="47" t="str">
        <f aca="false">IFERROR(IF(ISNUMBER(SEARCH("squat",C105)),K105,""),"")</f>
        <v/>
      </c>
      <c r="O105" s="47" t="str">
        <f aca="false">IFERROR(IF(ISNUMBER(SEARCH("bench",C105)),K105,""),"")</f>
        <v/>
      </c>
      <c r="P105" s="47" t="str">
        <f aca="false">IFERROR(IF(ISNUMBER(SEARCH("deadlift",C105)),K105,""),"")</f>
        <v/>
      </c>
      <c r="V105" s="47" t="n">
        <f aca="false">MAX(V104,IF(N105="",0,N105))</f>
        <v>144.666666666667</v>
      </c>
      <c r="W105" s="47" t="n">
        <f aca="false">MAX(W104,IF(O105="",0,O105))</f>
        <v>99.1666666666667</v>
      </c>
      <c r="X105" s="47" t="n">
        <f aca="false">MAX(X104,IF(P105="",0,P105))</f>
        <v>175.666666666667</v>
      </c>
      <c r="Y105" s="47" t="n">
        <f aca="false">V105+W105+X105</f>
        <v>419.5</v>
      </c>
    </row>
    <row r="106" customFormat="false" ht="15" hidden="false" customHeight="false" outlineLevel="0" collapsed="false">
      <c r="A106" s="45"/>
      <c r="B106" s="31"/>
      <c r="C106" s="32"/>
      <c r="D106" s="31"/>
      <c r="E106" s="31"/>
      <c r="F106" s="29"/>
      <c r="G106" s="29" t="str">
        <f aca="false">IF(OR(D106="",E106="",F106=""),"",D106*E106*F106)</f>
        <v/>
      </c>
      <c r="H106" s="31"/>
      <c r="I106" s="36" t="str">
        <f aca="false">IF(OR(C106="",K106=""),"",IF(K106&gt;=_xlfn.MAXIFS($K$5:K105,$C$5:C105,C106),"Yes","No"))</f>
        <v/>
      </c>
      <c r="J106" s="32"/>
      <c r="K106" s="48" t="str">
        <f aca="false">IF(OR(E106="",F106=""),"",F106*(1+E106/30))</f>
        <v/>
      </c>
      <c r="L106" s="36" t="str">
        <f aca="false">IF(A106="","",INT((A106-StartDate)/7)+1)</f>
        <v/>
      </c>
      <c r="M106" s="36" t="str">
        <f aca="false">IF(A106="","",TEXT(A106,"mmm"))</f>
        <v/>
      </c>
      <c r="N106" s="48" t="str">
        <f aca="false">IFERROR(IF(ISNUMBER(SEARCH("squat",C106)),K106,""),"")</f>
        <v/>
      </c>
      <c r="O106" s="48" t="str">
        <f aca="false">IFERROR(IF(ISNUMBER(SEARCH("bench",C106)),K106,""),"")</f>
        <v/>
      </c>
      <c r="P106" s="48" t="str">
        <f aca="false">IFERROR(IF(ISNUMBER(SEARCH("deadlift",C106)),K106,""),"")</f>
        <v/>
      </c>
      <c r="V106" s="48" t="n">
        <f aca="false">MAX(V105,IF(N106="",0,N106))</f>
        <v>144.666666666667</v>
      </c>
      <c r="W106" s="48" t="n">
        <f aca="false">MAX(W105,IF(O106="",0,O106))</f>
        <v>99.1666666666667</v>
      </c>
      <c r="X106" s="48" t="n">
        <f aca="false">MAX(X105,IF(P106="",0,P106))</f>
        <v>175.666666666667</v>
      </c>
      <c r="Y106" s="48" t="n">
        <f aca="false">V106+W106+X106</f>
        <v>419.5</v>
      </c>
    </row>
    <row r="107" customFormat="false" ht="15" hidden="false" customHeight="false" outlineLevel="0" collapsed="false">
      <c r="A107" s="45"/>
      <c r="B107" s="31"/>
      <c r="C107" s="32"/>
      <c r="D107" s="31"/>
      <c r="E107" s="31"/>
      <c r="F107" s="29"/>
      <c r="G107" s="29" t="str">
        <f aca="false">IF(OR(D107="",E107="",F107=""),"",D107*E107*F107)</f>
        <v/>
      </c>
      <c r="H107" s="31"/>
      <c r="I107" s="46" t="str">
        <f aca="false">IF(OR(C107="",K107=""),"",IF(K107&gt;=_xlfn.MAXIFS($K$5:K106,$C$5:C106,C107),"Yes","No"))</f>
        <v/>
      </c>
      <c r="J107" s="32"/>
      <c r="K107" s="47" t="str">
        <f aca="false">IF(OR(E107="",F107=""),"",F107*(1+E107/30))</f>
        <v/>
      </c>
      <c r="L107" s="27" t="str">
        <f aca="false">IF(A107="","",INT((A107-StartDate)/7)+1)</f>
        <v/>
      </c>
      <c r="M107" s="27" t="str">
        <f aca="false">IF(A107="","",TEXT(A107,"mmm"))</f>
        <v/>
      </c>
      <c r="N107" s="47" t="str">
        <f aca="false">IFERROR(IF(ISNUMBER(SEARCH("squat",C107)),K107,""),"")</f>
        <v/>
      </c>
      <c r="O107" s="47" t="str">
        <f aca="false">IFERROR(IF(ISNUMBER(SEARCH("bench",C107)),K107,""),"")</f>
        <v/>
      </c>
      <c r="P107" s="47" t="str">
        <f aca="false">IFERROR(IF(ISNUMBER(SEARCH("deadlift",C107)),K107,""),"")</f>
        <v/>
      </c>
      <c r="V107" s="47" t="n">
        <f aca="false">MAX(V106,IF(N107="",0,N107))</f>
        <v>144.666666666667</v>
      </c>
      <c r="W107" s="47" t="n">
        <f aca="false">MAX(W106,IF(O107="",0,O107))</f>
        <v>99.1666666666667</v>
      </c>
      <c r="X107" s="47" t="n">
        <f aca="false">MAX(X106,IF(P107="",0,P107))</f>
        <v>175.666666666667</v>
      </c>
      <c r="Y107" s="47" t="n">
        <f aca="false">V107+W107+X107</f>
        <v>419.5</v>
      </c>
    </row>
    <row r="108" customFormat="false" ht="15" hidden="false" customHeight="false" outlineLevel="0" collapsed="false">
      <c r="A108" s="45"/>
      <c r="B108" s="31"/>
      <c r="C108" s="32"/>
      <c r="D108" s="31"/>
      <c r="E108" s="31"/>
      <c r="F108" s="29"/>
      <c r="G108" s="29" t="str">
        <f aca="false">IF(OR(D108="",E108="",F108=""),"",D108*E108*F108)</f>
        <v/>
      </c>
      <c r="H108" s="31"/>
      <c r="I108" s="36" t="str">
        <f aca="false">IF(OR(C108="",K108=""),"",IF(K108&gt;=_xlfn.MAXIFS($K$5:K107,$C$5:C107,C108),"Yes","No"))</f>
        <v/>
      </c>
      <c r="J108" s="32"/>
      <c r="K108" s="48" t="str">
        <f aca="false">IF(OR(E108="",F108=""),"",F108*(1+E108/30))</f>
        <v/>
      </c>
      <c r="L108" s="36" t="str">
        <f aca="false">IF(A108="","",INT((A108-StartDate)/7)+1)</f>
        <v/>
      </c>
      <c r="M108" s="36" t="str">
        <f aca="false">IF(A108="","",TEXT(A108,"mmm"))</f>
        <v/>
      </c>
      <c r="N108" s="48" t="str">
        <f aca="false">IFERROR(IF(ISNUMBER(SEARCH("squat",C108)),K108,""),"")</f>
        <v/>
      </c>
      <c r="O108" s="48" t="str">
        <f aca="false">IFERROR(IF(ISNUMBER(SEARCH("bench",C108)),K108,""),"")</f>
        <v/>
      </c>
      <c r="P108" s="48" t="str">
        <f aca="false">IFERROR(IF(ISNUMBER(SEARCH("deadlift",C108)),K108,""),"")</f>
        <v/>
      </c>
      <c r="V108" s="48" t="n">
        <f aca="false">MAX(V107,IF(N108="",0,N108))</f>
        <v>144.666666666667</v>
      </c>
      <c r="W108" s="48" t="n">
        <f aca="false">MAX(W107,IF(O108="",0,O108))</f>
        <v>99.1666666666667</v>
      </c>
      <c r="X108" s="48" t="n">
        <f aca="false">MAX(X107,IF(P108="",0,P108))</f>
        <v>175.666666666667</v>
      </c>
      <c r="Y108" s="48" t="n">
        <f aca="false">V108+W108+X108</f>
        <v>419.5</v>
      </c>
    </row>
    <row r="109" customFormat="false" ht="15" hidden="false" customHeight="false" outlineLevel="0" collapsed="false">
      <c r="A109" s="45"/>
      <c r="B109" s="31"/>
      <c r="C109" s="32"/>
      <c r="D109" s="31"/>
      <c r="E109" s="31"/>
      <c r="F109" s="29"/>
      <c r="G109" s="29" t="str">
        <f aca="false">IF(OR(D109="",E109="",F109=""),"",D109*E109*F109)</f>
        <v/>
      </c>
      <c r="H109" s="31"/>
      <c r="I109" s="46" t="str">
        <f aca="false">IF(OR(C109="",K109=""),"",IF(K109&gt;=_xlfn.MAXIFS($K$5:K108,$C$5:C108,C109),"Yes","No"))</f>
        <v/>
      </c>
      <c r="J109" s="32"/>
      <c r="K109" s="47" t="str">
        <f aca="false">IF(OR(E109="",F109=""),"",F109*(1+E109/30))</f>
        <v/>
      </c>
      <c r="L109" s="27" t="str">
        <f aca="false">IF(A109="","",INT((A109-StartDate)/7)+1)</f>
        <v/>
      </c>
      <c r="M109" s="27" t="str">
        <f aca="false">IF(A109="","",TEXT(A109,"mmm"))</f>
        <v/>
      </c>
      <c r="N109" s="47" t="str">
        <f aca="false">IFERROR(IF(ISNUMBER(SEARCH("squat",C109)),K109,""),"")</f>
        <v/>
      </c>
      <c r="O109" s="47" t="str">
        <f aca="false">IFERROR(IF(ISNUMBER(SEARCH("bench",C109)),K109,""),"")</f>
        <v/>
      </c>
      <c r="P109" s="47" t="str">
        <f aca="false">IFERROR(IF(ISNUMBER(SEARCH("deadlift",C109)),K109,""),"")</f>
        <v/>
      </c>
      <c r="V109" s="47" t="n">
        <f aca="false">MAX(V108,IF(N109="",0,N109))</f>
        <v>144.666666666667</v>
      </c>
      <c r="W109" s="47" t="n">
        <f aca="false">MAX(W108,IF(O109="",0,O109))</f>
        <v>99.1666666666667</v>
      </c>
      <c r="X109" s="47" t="n">
        <f aca="false">MAX(X108,IF(P109="",0,P109))</f>
        <v>175.666666666667</v>
      </c>
      <c r="Y109" s="47" t="n">
        <f aca="false">V109+W109+X109</f>
        <v>419.5</v>
      </c>
    </row>
    <row r="110" customFormat="false" ht="15" hidden="false" customHeight="false" outlineLevel="0" collapsed="false">
      <c r="A110" s="45"/>
      <c r="B110" s="31"/>
      <c r="C110" s="32"/>
      <c r="D110" s="31"/>
      <c r="E110" s="31"/>
      <c r="F110" s="29"/>
      <c r="G110" s="29" t="str">
        <f aca="false">IF(OR(D110="",E110="",F110=""),"",D110*E110*F110)</f>
        <v/>
      </c>
      <c r="H110" s="31"/>
      <c r="I110" s="36" t="str">
        <f aca="false">IF(OR(C110="",K110=""),"",IF(K110&gt;=_xlfn.MAXIFS($K$5:K109,$C$5:C109,C110),"Yes","No"))</f>
        <v/>
      </c>
      <c r="J110" s="32"/>
      <c r="K110" s="48" t="str">
        <f aca="false">IF(OR(E110="",F110=""),"",F110*(1+E110/30))</f>
        <v/>
      </c>
      <c r="L110" s="36" t="str">
        <f aca="false">IF(A110="","",INT((A110-StartDate)/7)+1)</f>
        <v/>
      </c>
      <c r="M110" s="36" t="str">
        <f aca="false">IF(A110="","",TEXT(A110,"mmm"))</f>
        <v/>
      </c>
      <c r="N110" s="48" t="str">
        <f aca="false">IFERROR(IF(ISNUMBER(SEARCH("squat",C110)),K110,""),"")</f>
        <v/>
      </c>
      <c r="O110" s="48" t="str">
        <f aca="false">IFERROR(IF(ISNUMBER(SEARCH("bench",C110)),K110,""),"")</f>
        <v/>
      </c>
      <c r="P110" s="48" t="str">
        <f aca="false">IFERROR(IF(ISNUMBER(SEARCH("deadlift",C110)),K110,""),"")</f>
        <v/>
      </c>
      <c r="V110" s="48" t="n">
        <f aca="false">MAX(V109,IF(N110="",0,N110))</f>
        <v>144.666666666667</v>
      </c>
      <c r="W110" s="48" t="n">
        <f aca="false">MAX(W109,IF(O110="",0,O110))</f>
        <v>99.1666666666667</v>
      </c>
      <c r="X110" s="48" t="n">
        <f aca="false">MAX(X109,IF(P110="",0,P110))</f>
        <v>175.666666666667</v>
      </c>
      <c r="Y110" s="48" t="n">
        <f aca="false">V110+W110+X110</f>
        <v>419.5</v>
      </c>
    </row>
    <row r="111" customFormat="false" ht="15" hidden="false" customHeight="false" outlineLevel="0" collapsed="false">
      <c r="A111" s="45"/>
      <c r="B111" s="31"/>
      <c r="C111" s="32"/>
      <c r="D111" s="31"/>
      <c r="E111" s="31"/>
      <c r="F111" s="29"/>
      <c r="G111" s="29" t="str">
        <f aca="false">IF(OR(D111="",E111="",F111=""),"",D111*E111*F111)</f>
        <v/>
      </c>
      <c r="H111" s="31"/>
      <c r="I111" s="46" t="str">
        <f aca="false">IF(OR(C111="",K111=""),"",IF(K111&gt;=_xlfn.MAXIFS($K$5:K110,$C$5:C110,C111),"Yes","No"))</f>
        <v/>
      </c>
      <c r="J111" s="32"/>
      <c r="K111" s="47" t="str">
        <f aca="false">IF(OR(E111="",F111=""),"",F111*(1+E111/30))</f>
        <v/>
      </c>
      <c r="L111" s="27" t="str">
        <f aca="false">IF(A111="","",INT((A111-StartDate)/7)+1)</f>
        <v/>
      </c>
      <c r="M111" s="27" t="str">
        <f aca="false">IF(A111="","",TEXT(A111,"mmm"))</f>
        <v/>
      </c>
      <c r="N111" s="47" t="str">
        <f aca="false">IFERROR(IF(ISNUMBER(SEARCH("squat",C111)),K111,""),"")</f>
        <v/>
      </c>
      <c r="O111" s="47" t="str">
        <f aca="false">IFERROR(IF(ISNUMBER(SEARCH("bench",C111)),K111,""),"")</f>
        <v/>
      </c>
      <c r="P111" s="47" t="str">
        <f aca="false">IFERROR(IF(ISNUMBER(SEARCH("deadlift",C111)),K111,""),"")</f>
        <v/>
      </c>
      <c r="V111" s="47" t="n">
        <f aca="false">MAX(V110,IF(N111="",0,N111))</f>
        <v>144.666666666667</v>
      </c>
      <c r="W111" s="47" t="n">
        <f aca="false">MAX(W110,IF(O111="",0,O111))</f>
        <v>99.1666666666667</v>
      </c>
      <c r="X111" s="47" t="n">
        <f aca="false">MAX(X110,IF(P111="",0,P111))</f>
        <v>175.666666666667</v>
      </c>
      <c r="Y111" s="47" t="n">
        <f aca="false">V111+W111+X111</f>
        <v>419.5</v>
      </c>
    </row>
    <row r="112" customFormat="false" ht="15" hidden="false" customHeight="false" outlineLevel="0" collapsed="false">
      <c r="A112" s="45"/>
      <c r="B112" s="31"/>
      <c r="C112" s="32"/>
      <c r="D112" s="31"/>
      <c r="E112" s="31"/>
      <c r="F112" s="29"/>
      <c r="G112" s="29" t="str">
        <f aca="false">IF(OR(D112="",E112="",F112=""),"",D112*E112*F112)</f>
        <v/>
      </c>
      <c r="H112" s="31"/>
      <c r="I112" s="36" t="str">
        <f aca="false">IF(OR(C112="",K112=""),"",IF(K112&gt;=_xlfn.MAXIFS($K$5:K111,$C$5:C111,C112),"Yes","No"))</f>
        <v/>
      </c>
      <c r="J112" s="32"/>
      <c r="K112" s="48" t="str">
        <f aca="false">IF(OR(E112="",F112=""),"",F112*(1+E112/30))</f>
        <v/>
      </c>
      <c r="L112" s="36" t="str">
        <f aca="false">IF(A112="","",INT((A112-StartDate)/7)+1)</f>
        <v/>
      </c>
      <c r="M112" s="36" t="str">
        <f aca="false">IF(A112="","",TEXT(A112,"mmm"))</f>
        <v/>
      </c>
      <c r="N112" s="48" t="str">
        <f aca="false">IFERROR(IF(ISNUMBER(SEARCH("squat",C112)),K112,""),"")</f>
        <v/>
      </c>
      <c r="O112" s="48" t="str">
        <f aca="false">IFERROR(IF(ISNUMBER(SEARCH("bench",C112)),K112,""),"")</f>
        <v/>
      </c>
      <c r="P112" s="48" t="str">
        <f aca="false">IFERROR(IF(ISNUMBER(SEARCH("deadlift",C112)),K112,""),"")</f>
        <v/>
      </c>
      <c r="V112" s="48" t="n">
        <f aca="false">MAX(V111,IF(N112="",0,N112))</f>
        <v>144.666666666667</v>
      </c>
      <c r="W112" s="48" t="n">
        <f aca="false">MAX(W111,IF(O112="",0,O112))</f>
        <v>99.1666666666667</v>
      </c>
      <c r="X112" s="48" t="n">
        <f aca="false">MAX(X111,IF(P112="",0,P112))</f>
        <v>175.666666666667</v>
      </c>
      <c r="Y112" s="48" t="n">
        <f aca="false">V112+W112+X112</f>
        <v>419.5</v>
      </c>
    </row>
    <row r="113" customFormat="false" ht="15" hidden="false" customHeight="false" outlineLevel="0" collapsed="false">
      <c r="A113" s="45"/>
      <c r="B113" s="31"/>
      <c r="C113" s="32"/>
      <c r="D113" s="31"/>
      <c r="E113" s="31"/>
      <c r="F113" s="29"/>
      <c r="G113" s="29" t="str">
        <f aca="false">IF(OR(D113="",E113="",F113=""),"",D113*E113*F113)</f>
        <v/>
      </c>
      <c r="H113" s="31"/>
      <c r="I113" s="46" t="str">
        <f aca="false">IF(OR(C113="",K113=""),"",IF(K113&gt;=_xlfn.MAXIFS($K$5:K112,$C$5:C112,C113),"Yes","No"))</f>
        <v/>
      </c>
      <c r="J113" s="32"/>
      <c r="K113" s="47" t="str">
        <f aca="false">IF(OR(E113="",F113=""),"",F113*(1+E113/30))</f>
        <v/>
      </c>
      <c r="L113" s="27" t="str">
        <f aca="false">IF(A113="","",INT((A113-StartDate)/7)+1)</f>
        <v/>
      </c>
      <c r="M113" s="27" t="str">
        <f aca="false">IF(A113="","",TEXT(A113,"mmm"))</f>
        <v/>
      </c>
      <c r="N113" s="47" t="str">
        <f aca="false">IFERROR(IF(ISNUMBER(SEARCH("squat",C113)),K113,""),"")</f>
        <v/>
      </c>
      <c r="O113" s="47" t="str">
        <f aca="false">IFERROR(IF(ISNUMBER(SEARCH("bench",C113)),K113,""),"")</f>
        <v/>
      </c>
      <c r="P113" s="47" t="str">
        <f aca="false">IFERROR(IF(ISNUMBER(SEARCH("deadlift",C113)),K113,""),"")</f>
        <v/>
      </c>
      <c r="V113" s="47" t="n">
        <f aca="false">MAX(V112,IF(N113="",0,N113))</f>
        <v>144.666666666667</v>
      </c>
      <c r="W113" s="47" t="n">
        <f aca="false">MAX(W112,IF(O113="",0,O113))</f>
        <v>99.1666666666667</v>
      </c>
      <c r="X113" s="47" t="n">
        <f aca="false">MAX(X112,IF(P113="",0,P113))</f>
        <v>175.666666666667</v>
      </c>
      <c r="Y113" s="47" t="n">
        <f aca="false">V113+W113+X113</f>
        <v>419.5</v>
      </c>
    </row>
    <row r="114" customFormat="false" ht="15" hidden="false" customHeight="false" outlineLevel="0" collapsed="false">
      <c r="A114" s="45"/>
      <c r="B114" s="31"/>
      <c r="C114" s="32"/>
      <c r="D114" s="31"/>
      <c r="E114" s="31"/>
      <c r="F114" s="29"/>
      <c r="G114" s="29" t="str">
        <f aca="false">IF(OR(D114="",E114="",F114=""),"",D114*E114*F114)</f>
        <v/>
      </c>
      <c r="H114" s="31"/>
      <c r="I114" s="36" t="str">
        <f aca="false">IF(OR(C114="",K114=""),"",IF(K114&gt;=_xlfn.MAXIFS($K$5:K113,$C$5:C113,C114),"Yes","No"))</f>
        <v/>
      </c>
      <c r="J114" s="32"/>
      <c r="K114" s="48" t="str">
        <f aca="false">IF(OR(E114="",F114=""),"",F114*(1+E114/30))</f>
        <v/>
      </c>
      <c r="L114" s="36" t="str">
        <f aca="false">IF(A114="","",INT((A114-StartDate)/7)+1)</f>
        <v/>
      </c>
      <c r="M114" s="36" t="str">
        <f aca="false">IF(A114="","",TEXT(A114,"mmm"))</f>
        <v/>
      </c>
      <c r="N114" s="48" t="str">
        <f aca="false">IFERROR(IF(ISNUMBER(SEARCH("squat",C114)),K114,""),"")</f>
        <v/>
      </c>
      <c r="O114" s="48" t="str">
        <f aca="false">IFERROR(IF(ISNUMBER(SEARCH("bench",C114)),K114,""),"")</f>
        <v/>
      </c>
      <c r="P114" s="48" t="str">
        <f aca="false">IFERROR(IF(ISNUMBER(SEARCH("deadlift",C114)),K114,""),"")</f>
        <v/>
      </c>
      <c r="V114" s="48" t="n">
        <f aca="false">MAX(V113,IF(N114="",0,N114))</f>
        <v>144.666666666667</v>
      </c>
      <c r="W114" s="48" t="n">
        <f aca="false">MAX(W113,IF(O114="",0,O114))</f>
        <v>99.1666666666667</v>
      </c>
      <c r="X114" s="48" t="n">
        <f aca="false">MAX(X113,IF(P114="",0,P114))</f>
        <v>175.666666666667</v>
      </c>
      <c r="Y114" s="48" t="n">
        <f aca="false">V114+W114+X114</f>
        <v>419.5</v>
      </c>
    </row>
    <row r="115" customFormat="false" ht="15" hidden="false" customHeight="false" outlineLevel="0" collapsed="false">
      <c r="A115" s="45"/>
      <c r="B115" s="31"/>
      <c r="C115" s="32"/>
      <c r="D115" s="31"/>
      <c r="E115" s="31"/>
      <c r="F115" s="29"/>
      <c r="G115" s="29" t="str">
        <f aca="false">IF(OR(D115="",E115="",F115=""),"",D115*E115*F115)</f>
        <v/>
      </c>
      <c r="H115" s="31"/>
      <c r="I115" s="46" t="str">
        <f aca="false">IF(OR(C115="",K115=""),"",IF(K115&gt;=_xlfn.MAXIFS($K$5:K114,$C$5:C114,C115),"Yes","No"))</f>
        <v/>
      </c>
      <c r="J115" s="32"/>
      <c r="K115" s="47" t="str">
        <f aca="false">IF(OR(E115="",F115=""),"",F115*(1+E115/30))</f>
        <v/>
      </c>
      <c r="L115" s="27" t="str">
        <f aca="false">IF(A115="","",INT((A115-StartDate)/7)+1)</f>
        <v/>
      </c>
      <c r="M115" s="27" t="str">
        <f aca="false">IF(A115="","",TEXT(A115,"mmm"))</f>
        <v/>
      </c>
      <c r="N115" s="47" t="str">
        <f aca="false">IFERROR(IF(ISNUMBER(SEARCH("squat",C115)),K115,""),"")</f>
        <v/>
      </c>
      <c r="O115" s="47" t="str">
        <f aca="false">IFERROR(IF(ISNUMBER(SEARCH("bench",C115)),K115,""),"")</f>
        <v/>
      </c>
      <c r="P115" s="47" t="str">
        <f aca="false">IFERROR(IF(ISNUMBER(SEARCH("deadlift",C115)),K115,""),"")</f>
        <v/>
      </c>
      <c r="V115" s="47" t="n">
        <f aca="false">MAX(V114,IF(N115="",0,N115))</f>
        <v>144.666666666667</v>
      </c>
      <c r="W115" s="47" t="n">
        <f aca="false">MAX(W114,IF(O115="",0,O115))</f>
        <v>99.1666666666667</v>
      </c>
      <c r="X115" s="47" t="n">
        <f aca="false">MAX(X114,IF(P115="",0,P115))</f>
        <v>175.666666666667</v>
      </c>
      <c r="Y115" s="47" t="n">
        <f aca="false">V115+W115+X115</f>
        <v>419.5</v>
      </c>
    </row>
    <row r="116" customFormat="false" ht="15" hidden="false" customHeight="false" outlineLevel="0" collapsed="false">
      <c r="A116" s="45"/>
      <c r="B116" s="31"/>
      <c r="C116" s="32"/>
      <c r="D116" s="31"/>
      <c r="E116" s="31"/>
      <c r="F116" s="29"/>
      <c r="G116" s="29" t="str">
        <f aca="false">IF(OR(D116="",E116="",F116=""),"",D116*E116*F116)</f>
        <v/>
      </c>
      <c r="H116" s="31"/>
      <c r="I116" s="36" t="str">
        <f aca="false">IF(OR(C116="",K116=""),"",IF(K116&gt;=_xlfn.MAXIFS($K$5:K115,$C$5:C115,C116),"Yes","No"))</f>
        <v/>
      </c>
      <c r="J116" s="32"/>
      <c r="K116" s="48" t="str">
        <f aca="false">IF(OR(E116="",F116=""),"",F116*(1+E116/30))</f>
        <v/>
      </c>
      <c r="L116" s="36" t="str">
        <f aca="false">IF(A116="","",INT((A116-StartDate)/7)+1)</f>
        <v/>
      </c>
      <c r="M116" s="36" t="str">
        <f aca="false">IF(A116="","",TEXT(A116,"mmm"))</f>
        <v/>
      </c>
      <c r="N116" s="48" t="str">
        <f aca="false">IFERROR(IF(ISNUMBER(SEARCH("squat",C116)),K116,""),"")</f>
        <v/>
      </c>
      <c r="O116" s="48" t="str">
        <f aca="false">IFERROR(IF(ISNUMBER(SEARCH("bench",C116)),K116,""),"")</f>
        <v/>
      </c>
      <c r="P116" s="48" t="str">
        <f aca="false">IFERROR(IF(ISNUMBER(SEARCH("deadlift",C116)),K116,""),"")</f>
        <v/>
      </c>
      <c r="V116" s="48" t="n">
        <f aca="false">MAX(V115,IF(N116="",0,N116))</f>
        <v>144.666666666667</v>
      </c>
      <c r="W116" s="48" t="n">
        <f aca="false">MAX(W115,IF(O116="",0,O116))</f>
        <v>99.1666666666667</v>
      </c>
      <c r="X116" s="48" t="n">
        <f aca="false">MAX(X115,IF(P116="",0,P116))</f>
        <v>175.666666666667</v>
      </c>
      <c r="Y116" s="48" t="n">
        <f aca="false">V116+W116+X116</f>
        <v>419.5</v>
      </c>
    </row>
    <row r="117" customFormat="false" ht="15" hidden="false" customHeight="false" outlineLevel="0" collapsed="false">
      <c r="A117" s="45"/>
      <c r="B117" s="31"/>
      <c r="C117" s="32"/>
      <c r="D117" s="31"/>
      <c r="E117" s="31"/>
      <c r="F117" s="29"/>
      <c r="G117" s="29" t="str">
        <f aca="false">IF(OR(D117="",E117="",F117=""),"",D117*E117*F117)</f>
        <v/>
      </c>
      <c r="H117" s="31"/>
      <c r="I117" s="46" t="str">
        <f aca="false">IF(OR(C117="",K117=""),"",IF(K117&gt;=_xlfn.MAXIFS($K$5:K116,$C$5:C116,C117),"Yes","No"))</f>
        <v/>
      </c>
      <c r="J117" s="32"/>
      <c r="K117" s="47" t="str">
        <f aca="false">IF(OR(E117="",F117=""),"",F117*(1+E117/30))</f>
        <v/>
      </c>
      <c r="L117" s="27" t="str">
        <f aca="false">IF(A117="","",INT((A117-StartDate)/7)+1)</f>
        <v/>
      </c>
      <c r="M117" s="27" t="str">
        <f aca="false">IF(A117="","",TEXT(A117,"mmm"))</f>
        <v/>
      </c>
      <c r="N117" s="47" t="str">
        <f aca="false">IFERROR(IF(ISNUMBER(SEARCH("squat",C117)),K117,""),"")</f>
        <v/>
      </c>
      <c r="O117" s="47" t="str">
        <f aca="false">IFERROR(IF(ISNUMBER(SEARCH("bench",C117)),K117,""),"")</f>
        <v/>
      </c>
      <c r="P117" s="47" t="str">
        <f aca="false">IFERROR(IF(ISNUMBER(SEARCH("deadlift",C117)),K117,""),"")</f>
        <v/>
      </c>
      <c r="V117" s="47" t="n">
        <f aca="false">MAX(V116,IF(N117="",0,N117))</f>
        <v>144.666666666667</v>
      </c>
      <c r="W117" s="47" t="n">
        <f aca="false">MAX(W116,IF(O117="",0,O117))</f>
        <v>99.1666666666667</v>
      </c>
      <c r="X117" s="47" t="n">
        <f aca="false">MAX(X116,IF(P117="",0,P117))</f>
        <v>175.666666666667</v>
      </c>
      <c r="Y117" s="47" t="n">
        <f aca="false">V117+W117+X117</f>
        <v>419.5</v>
      </c>
    </row>
    <row r="118" customFormat="false" ht="15" hidden="false" customHeight="false" outlineLevel="0" collapsed="false">
      <c r="A118" s="45"/>
      <c r="B118" s="31"/>
      <c r="C118" s="32"/>
      <c r="D118" s="31"/>
      <c r="E118" s="31"/>
      <c r="F118" s="29"/>
      <c r="G118" s="29" t="str">
        <f aca="false">IF(OR(D118="",E118="",F118=""),"",D118*E118*F118)</f>
        <v/>
      </c>
      <c r="H118" s="31"/>
      <c r="I118" s="36" t="str">
        <f aca="false">IF(OR(C118="",K118=""),"",IF(K118&gt;=_xlfn.MAXIFS($K$5:K117,$C$5:C117,C118),"Yes","No"))</f>
        <v/>
      </c>
      <c r="J118" s="32"/>
      <c r="K118" s="48" t="str">
        <f aca="false">IF(OR(E118="",F118=""),"",F118*(1+E118/30))</f>
        <v/>
      </c>
      <c r="L118" s="36" t="str">
        <f aca="false">IF(A118="","",INT((A118-StartDate)/7)+1)</f>
        <v/>
      </c>
      <c r="M118" s="36" t="str">
        <f aca="false">IF(A118="","",TEXT(A118,"mmm"))</f>
        <v/>
      </c>
      <c r="N118" s="48" t="str">
        <f aca="false">IFERROR(IF(ISNUMBER(SEARCH("squat",C118)),K118,""),"")</f>
        <v/>
      </c>
      <c r="O118" s="48" t="str">
        <f aca="false">IFERROR(IF(ISNUMBER(SEARCH("bench",C118)),K118,""),"")</f>
        <v/>
      </c>
      <c r="P118" s="48" t="str">
        <f aca="false">IFERROR(IF(ISNUMBER(SEARCH("deadlift",C118)),K118,""),"")</f>
        <v/>
      </c>
      <c r="V118" s="48" t="n">
        <f aca="false">MAX(V117,IF(N118="",0,N118))</f>
        <v>144.666666666667</v>
      </c>
      <c r="W118" s="48" t="n">
        <f aca="false">MAX(W117,IF(O118="",0,O118))</f>
        <v>99.1666666666667</v>
      </c>
      <c r="X118" s="48" t="n">
        <f aca="false">MAX(X117,IF(P118="",0,P118))</f>
        <v>175.666666666667</v>
      </c>
      <c r="Y118" s="48" t="n">
        <f aca="false">V118+W118+X118</f>
        <v>419.5</v>
      </c>
    </row>
    <row r="119" customFormat="false" ht="15" hidden="false" customHeight="false" outlineLevel="0" collapsed="false">
      <c r="A119" s="45"/>
      <c r="B119" s="31"/>
      <c r="C119" s="32"/>
      <c r="D119" s="31"/>
      <c r="E119" s="31"/>
      <c r="F119" s="29"/>
      <c r="G119" s="29" t="str">
        <f aca="false">IF(OR(D119="",E119="",F119=""),"",D119*E119*F119)</f>
        <v/>
      </c>
      <c r="H119" s="31"/>
      <c r="I119" s="46" t="str">
        <f aca="false">IF(OR(C119="",K119=""),"",IF(K119&gt;=_xlfn.MAXIFS($K$5:K118,$C$5:C118,C119),"Yes","No"))</f>
        <v/>
      </c>
      <c r="J119" s="32"/>
      <c r="K119" s="47" t="str">
        <f aca="false">IF(OR(E119="",F119=""),"",F119*(1+E119/30))</f>
        <v/>
      </c>
      <c r="L119" s="27" t="str">
        <f aca="false">IF(A119="","",INT((A119-StartDate)/7)+1)</f>
        <v/>
      </c>
      <c r="M119" s="27" t="str">
        <f aca="false">IF(A119="","",TEXT(A119,"mmm"))</f>
        <v/>
      </c>
      <c r="N119" s="47" t="str">
        <f aca="false">IFERROR(IF(ISNUMBER(SEARCH("squat",C119)),K119,""),"")</f>
        <v/>
      </c>
      <c r="O119" s="47" t="str">
        <f aca="false">IFERROR(IF(ISNUMBER(SEARCH("bench",C119)),K119,""),"")</f>
        <v/>
      </c>
      <c r="P119" s="47" t="str">
        <f aca="false">IFERROR(IF(ISNUMBER(SEARCH("deadlift",C119)),K119,""),"")</f>
        <v/>
      </c>
      <c r="V119" s="47" t="n">
        <f aca="false">MAX(V118,IF(N119="",0,N119))</f>
        <v>144.666666666667</v>
      </c>
      <c r="W119" s="47" t="n">
        <f aca="false">MAX(W118,IF(O119="",0,O119))</f>
        <v>99.1666666666667</v>
      </c>
      <c r="X119" s="47" t="n">
        <f aca="false">MAX(X118,IF(P119="",0,P119))</f>
        <v>175.666666666667</v>
      </c>
      <c r="Y119" s="47" t="n">
        <f aca="false">V119+W119+X119</f>
        <v>419.5</v>
      </c>
    </row>
    <row r="120" customFormat="false" ht="15" hidden="false" customHeight="false" outlineLevel="0" collapsed="false">
      <c r="A120" s="45"/>
      <c r="B120" s="31"/>
      <c r="C120" s="32"/>
      <c r="D120" s="31"/>
      <c r="E120" s="31"/>
      <c r="F120" s="29"/>
      <c r="G120" s="29" t="str">
        <f aca="false">IF(OR(D120="",E120="",F120=""),"",D120*E120*F120)</f>
        <v/>
      </c>
      <c r="H120" s="31"/>
      <c r="I120" s="36" t="str">
        <f aca="false">IF(OR(C120="",K120=""),"",IF(K120&gt;=_xlfn.MAXIFS($K$5:K119,$C$5:C119,C120),"Yes","No"))</f>
        <v/>
      </c>
      <c r="J120" s="32"/>
      <c r="K120" s="48" t="str">
        <f aca="false">IF(OR(E120="",F120=""),"",F120*(1+E120/30))</f>
        <v/>
      </c>
      <c r="L120" s="36" t="str">
        <f aca="false">IF(A120="","",INT((A120-StartDate)/7)+1)</f>
        <v/>
      </c>
      <c r="M120" s="36" t="str">
        <f aca="false">IF(A120="","",TEXT(A120,"mmm"))</f>
        <v/>
      </c>
      <c r="N120" s="48" t="str">
        <f aca="false">IFERROR(IF(ISNUMBER(SEARCH("squat",C120)),K120,""),"")</f>
        <v/>
      </c>
      <c r="O120" s="48" t="str">
        <f aca="false">IFERROR(IF(ISNUMBER(SEARCH("bench",C120)),K120,""),"")</f>
        <v/>
      </c>
      <c r="P120" s="48" t="str">
        <f aca="false">IFERROR(IF(ISNUMBER(SEARCH("deadlift",C120)),K120,""),"")</f>
        <v/>
      </c>
      <c r="V120" s="48" t="n">
        <f aca="false">MAX(V119,IF(N120="",0,N120))</f>
        <v>144.666666666667</v>
      </c>
      <c r="W120" s="48" t="n">
        <f aca="false">MAX(W119,IF(O120="",0,O120))</f>
        <v>99.1666666666667</v>
      </c>
      <c r="X120" s="48" t="n">
        <f aca="false">MAX(X119,IF(P120="",0,P120))</f>
        <v>175.666666666667</v>
      </c>
      <c r="Y120" s="48" t="n">
        <f aca="false">V120+W120+X120</f>
        <v>419.5</v>
      </c>
    </row>
    <row r="121" customFormat="false" ht="15" hidden="false" customHeight="false" outlineLevel="0" collapsed="false">
      <c r="A121" s="45"/>
      <c r="B121" s="31"/>
      <c r="C121" s="32"/>
      <c r="D121" s="31"/>
      <c r="E121" s="31"/>
      <c r="F121" s="29"/>
      <c r="G121" s="29" t="str">
        <f aca="false">IF(OR(D121="",E121="",F121=""),"",D121*E121*F121)</f>
        <v/>
      </c>
      <c r="H121" s="31"/>
      <c r="I121" s="46" t="str">
        <f aca="false">IF(OR(C121="",K121=""),"",IF(K121&gt;=_xlfn.MAXIFS($K$5:K120,$C$5:C120,C121),"Yes","No"))</f>
        <v/>
      </c>
      <c r="J121" s="32"/>
      <c r="K121" s="47" t="str">
        <f aca="false">IF(OR(E121="",F121=""),"",F121*(1+E121/30))</f>
        <v/>
      </c>
      <c r="L121" s="27" t="str">
        <f aca="false">IF(A121="","",INT((A121-StartDate)/7)+1)</f>
        <v/>
      </c>
      <c r="M121" s="27" t="str">
        <f aca="false">IF(A121="","",TEXT(A121,"mmm"))</f>
        <v/>
      </c>
      <c r="N121" s="47" t="str">
        <f aca="false">IFERROR(IF(ISNUMBER(SEARCH("squat",C121)),K121,""),"")</f>
        <v/>
      </c>
      <c r="O121" s="47" t="str">
        <f aca="false">IFERROR(IF(ISNUMBER(SEARCH("bench",C121)),K121,""),"")</f>
        <v/>
      </c>
      <c r="P121" s="47" t="str">
        <f aca="false">IFERROR(IF(ISNUMBER(SEARCH("deadlift",C121)),K121,""),"")</f>
        <v/>
      </c>
      <c r="V121" s="47" t="n">
        <f aca="false">MAX(V120,IF(N121="",0,N121))</f>
        <v>144.666666666667</v>
      </c>
      <c r="W121" s="47" t="n">
        <f aca="false">MAX(W120,IF(O121="",0,O121))</f>
        <v>99.1666666666667</v>
      </c>
      <c r="X121" s="47" t="n">
        <f aca="false">MAX(X120,IF(P121="",0,P121))</f>
        <v>175.666666666667</v>
      </c>
      <c r="Y121" s="47" t="n">
        <f aca="false">V121+W121+X121</f>
        <v>419.5</v>
      </c>
    </row>
    <row r="122" customFormat="false" ht="15" hidden="false" customHeight="false" outlineLevel="0" collapsed="false">
      <c r="A122" s="45"/>
      <c r="B122" s="31"/>
      <c r="C122" s="32"/>
      <c r="D122" s="31"/>
      <c r="E122" s="31"/>
      <c r="F122" s="29"/>
      <c r="G122" s="29" t="str">
        <f aca="false">IF(OR(D122="",E122="",F122=""),"",D122*E122*F122)</f>
        <v/>
      </c>
      <c r="H122" s="31"/>
      <c r="I122" s="36" t="str">
        <f aca="false">IF(OR(C122="",K122=""),"",IF(K122&gt;=_xlfn.MAXIFS($K$5:K121,$C$5:C121,C122),"Yes","No"))</f>
        <v/>
      </c>
      <c r="J122" s="32"/>
      <c r="K122" s="48" t="str">
        <f aca="false">IF(OR(E122="",F122=""),"",F122*(1+E122/30))</f>
        <v/>
      </c>
      <c r="L122" s="36" t="str">
        <f aca="false">IF(A122="","",INT((A122-StartDate)/7)+1)</f>
        <v/>
      </c>
      <c r="M122" s="36" t="str">
        <f aca="false">IF(A122="","",TEXT(A122,"mmm"))</f>
        <v/>
      </c>
      <c r="N122" s="48" t="str">
        <f aca="false">IFERROR(IF(ISNUMBER(SEARCH("squat",C122)),K122,""),"")</f>
        <v/>
      </c>
      <c r="O122" s="48" t="str">
        <f aca="false">IFERROR(IF(ISNUMBER(SEARCH("bench",C122)),K122,""),"")</f>
        <v/>
      </c>
      <c r="P122" s="48" t="str">
        <f aca="false">IFERROR(IF(ISNUMBER(SEARCH("deadlift",C122)),K122,""),"")</f>
        <v/>
      </c>
      <c r="V122" s="48" t="n">
        <f aca="false">MAX(V121,IF(N122="",0,N122))</f>
        <v>144.666666666667</v>
      </c>
      <c r="W122" s="48" t="n">
        <f aca="false">MAX(W121,IF(O122="",0,O122))</f>
        <v>99.1666666666667</v>
      </c>
      <c r="X122" s="48" t="n">
        <f aca="false">MAX(X121,IF(P122="",0,P122))</f>
        <v>175.666666666667</v>
      </c>
      <c r="Y122" s="48" t="n">
        <f aca="false">V122+W122+X122</f>
        <v>419.5</v>
      </c>
    </row>
    <row r="123" customFormat="false" ht="15" hidden="false" customHeight="false" outlineLevel="0" collapsed="false">
      <c r="A123" s="45"/>
      <c r="B123" s="31"/>
      <c r="C123" s="32"/>
      <c r="D123" s="31"/>
      <c r="E123" s="31"/>
      <c r="F123" s="29"/>
      <c r="G123" s="29" t="str">
        <f aca="false">IF(OR(D123="",E123="",F123=""),"",D123*E123*F123)</f>
        <v/>
      </c>
      <c r="H123" s="31"/>
      <c r="I123" s="46" t="str">
        <f aca="false">IF(OR(C123="",K123=""),"",IF(K123&gt;=_xlfn.MAXIFS($K$5:K122,$C$5:C122,C123),"Yes","No"))</f>
        <v/>
      </c>
      <c r="J123" s="32"/>
      <c r="K123" s="47" t="str">
        <f aca="false">IF(OR(E123="",F123=""),"",F123*(1+E123/30))</f>
        <v/>
      </c>
      <c r="L123" s="27" t="str">
        <f aca="false">IF(A123="","",INT((A123-StartDate)/7)+1)</f>
        <v/>
      </c>
      <c r="M123" s="27" t="str">
        <f aca="false">IF(A123="","",TEXT(A123,"mmm"))</f>
        <v/>
      </c>
      <c r="N123" s="47" t="str">
        <f aca="false">IFERROR(IF(ISNUMBER(SEARCH("squat",C123)),K123,""),"")</f>
        <v/>
      </c>
      <c r="O123" s="47" t="str">
        <f aca="false">IFERROR(IF(ISNUMBER(SEARCH("bench",C123)),K123,""),"")</f>
        <v/>
      </c>
      <c r="P123" s="47" t="str">
        <f aca="false">IFERROR(IF(ISNUMBER(SEARCH("deadlift",C123)),K123,""),"")</f>
        <v/>
      </c>
      <c r="V123" s="47" t="n">
        <f aca="false">MAX(V122,IF(N123="",0,N123))</f>
        <v>144.666666666667</v>
      </c>
      <c r="W123" s="47" t="n">
        <f aca="false">MAX(W122,IF(O123="",0,O123))</f>
        <v>99.1666666666667</v>
      </c>
      <c r="X123" s="47" t="n">
        <f aca="false">MAX(X122,IF(P123="",0,P123))</f>
        <v>175.666666666667</v>
      </c>
      <c r="Y123" s="47" t="n">
        <f aca="false">V123+W123+X123</f>
        <v>419.5</v>
      </c>
    </row>
    <row r="124" customFormat="false" ht="15" hidden="false" customHeight="false" outlineLevel="0" collapsed="false">
      <c r="A124" s="45"/>
      <c r="B124" s="31"/>
      <c r="C124" s="32"/>
      <c r="D124" s="31"/>
      <c r="E124" s="31"/>
      <c r="F124" s="29"/>
      <c r="G124" s="29" t="str">
        <f aca="false">IF(OR(D124="",E124="",F124=""),"",D124*E124*F124)</f>
        <v/>
      </c>
      <c r="H124" s="31"/>
      <c r="I124" s="36" t="str">
        <f aca="false">IF(OR(C124="",K124=""),"",IF(K124&gt;=_xlfn.MAXIFS($K$5:K123,$C$5:C123,C124),"Yes","No"))</f>
        <v/>
      </c>
      <c r="J124" s="32"/>
      <c r="K124" s="48" t="str">
        <f aca="false">IF(OR(E124="",F124=""),"",F124*(1+E124/30))</f>
        <v/>
      </c>
      <c r="L124" s="36" t="str">
        <f aca="false">IF(A124="","",INT((A124-StartDate)/7)+1)</f>
        <v/>
      </c>
      <c r="M124" s="36" t="str">
        <f aca="false">IF(A124="","",TEXT(A124,"mmm"))</f>
        <v/>
      </c>
      <c r="N124" s="48" t="str">
        <f aca="false">IFERROR(IF(ISNUMBER(SEARCH("squat",C124)),K124,""),"")</f>
        <v/>
      </c>
      <c r="O124" s="48" t="str">
        <f aca="false">IFERROR(IF(ISNUMBER(SEARCH("bench",C124)),K124,""),"")</f>
        <v/>
      </c>
      <c r="P124" s="48" t="str">
        <f aca="false">IFERROR(IF(ISNUMBER(SEARCH("deadlift",C124)),K124,""),"")</f>
        <v/>
      </c>
      <c r="V124" s="48" t="n">
        <f aca="false">MAX(V123,IF(N124="",0,N124))</f>
        <v>144.666666666667</v>
      </c>
      <c r="W124" s="48" t="n">
        <f aca="false">MAX(W123,IF(O124="",0,O124))</f>
        <v>99.1666666666667</v>
      </c>
      <c r="X124" s="48" t="n">
        <f aca="false">MAX(X123,IF(P124="",0,P124))</f>
        <v>175.666666666667</v>
      </c>
      <c r="Y124" s="48" t="n">
        <f aca="false">V124+W124+X124</f>
        <v>419.5</v>
      </c>
    </row>
    <row r="125" customFormat="false" ht="15" hidden="false" customHeight="false" outlineLevel="0" collapsed="false">
      <c r="A125" s="45"/>
      <c r="B125" s="31"/>
      <c r="C125" s="32"/>
      <c r="D125" s="31"/>
      <c r="E125" s="31"/>
      <c r="F125" s="29"/>
      <c r="G125" s="29" t="str">
        <f aca="false">IF(OR(D125="",E125="",F125=""),"",D125*E125*F125)</f>
        <v/>
      </c>
      <c r="H125" s="31"/>
      <c r="I125" s="46" t="str">
        <f aca="false">IF(OR(C125="",K125=""),"",IF(K125&gt;=_xlfn.MAXIFS($K$5:K124,$C$5:C124,C125),"Yes","No"))</f>
        <v/>
      </c>
      <c r="J125" s="32"/>
      <c r="K125" s="47" t="str">
        <f aca="false">IF(OR(E125="",F125=""),"",F125*(1+E125/30))</f>
        <v/>
      </c>
      <c r="L125" s="27" t="str">
        <f aca="false">IF(A125="","",INT((A125-StartDate)/7)+1)</f>
        <v/>
      </c>
      <c r="M125" s="27" t="str">
        <f aca="false">IF(A125="","",TEXT(A125,"mmm"))</f>
        <v/>
      </c>
      <c r="N125" s="47" t="str">
        <f aca="false">IFERROR(IF(ISNUMBER(SEARCH("squat",C125)),K125,""),"")</f>
        <v/>
      </c>
      <c r="O125" s="47" t="str">
        <f aca="false">IFERROR(IF(ISNUMBER(SEARCH("bench",C125)),K125,""),"")</f>
        <v/>
      </c>
      <c r="P125" s="47" t="str">
        <f aca="false">IFERROR(IF(ISNUMBER(SEARCH("deadlift",C125)),K125,""),"")</f>
        <v/>
      </c>
      <c r="V125" s="47" t="n">
        <f aca="false">MAX(V124,IF(N125="",0,N125))</f>
        <v>144.666666666667</v>
      </c>
      <c r="W125" s="47" t="n">
        <f aca="false">MAX(W124,IF(O125="",0,O125))</f>
        <v>99.1666666666667</v>
      </c>
      <c r="X125" s="47" t="n">
        <f aca="false">MAX(X124,IF(P125="",0,P125))</f>
        <v>175.666666666667</v>
      </c>
      <c r="Y125" s="47" t="n">
        <f aca="false">V125+W125+X125</f>
        <v>419.5</v>
      </c>
    </row>
    <row r="126" customFormat="false" ht="15" hidden="false" customHeight="false" outlineLevel="0" collapsed="false">
      <c r="A126" s="45"/>
      <c r="B126" s="31"/>
      <c r="C126" s="32"/>
      <c r="D126" s="31"/>
      <c r="E126" s="31"/>
      <c r="F126" s="29"/>
      <c r="G126" s="29" t="str">
        <f aca="false">IF(OR(D126="",E126="",F126=""),"",D126*E126*F126)</f>
        <v/>
      </c>
      <c r="H126" s="31"/>
      <c r="I126" s="36" t="str">
        <f aca="false">IF(OR(C126="",K126=""),"",IF(K126&gt;=_xlfn.MAXIFS($K$5:K125,$C$5:C125,C126),"Yes","No"))</f>
        <v/>
      </c>
      <c r="J126" s="32"/>
      <c r="K126" s="48" t="str">
        <f aca="false">IF(OR(E126="",F126=""),"",F126*(1+E126/30))</f>
        <v/>
      </c>
      <c r="L126" s="36" t="str">
        <f aca="false">IF(A126="","",INT((A126-StartDate)/7)+1)</f>
        <v/>
      </c>
      <c r="M126" s="36" t="str">
        <f aca="false">IF(A126="","",TEXT(A126,"mmm"))</f>
        <v/>
      </c>
      <c r="N126" s="48" t="str">
        <f aca="false">IFERROR(IF(ISNUMBER(SEARCH("squat",C126)),K126,""),"")</f>
        <v/>
      </c>
      <c r="O126" s="48" t="str">
        <f aca="false">IFERROR(IF(ISNUMBER(SEARCH("bench",C126)),K126,""),"")</f>
        <v/>
      </c>
      <c r="P126" s="48" t="str">
        <f aca="false">IFERROR(IF(ISNUMBER(SEARCH("deadlift",C126)),K126,""),"")</f>
        <v/>
      </c>
      <c r="V126" s="48" t="n">
        <f aca="false">MAX(V125,IF(N126="",0,N126))</f>
        <v>144.666666666667</v>
      </c>
      <c r="W126" s="48" t="n">
        <f aca="false">MAX(W125,IF(O126="",0,O126))</f>
        <v>99.1666666666667</v>
      </c>
      <c r="X126" s="48" t="n">
        <f aca="false">MAX(X125,IF(P126="",0,P126))</f>
        <v>175.666666666667</v>
      </c>
      <c r="Y126" s="48" t="n">
        <f aca="false">V126+W126+X126</f>
        <v>419.5</v>
      </c>
    </row>
    <row r="127" customFormat="false" ht="15" hidden="false" customHeight="false" outlineLevel="0" collapsed="false">
      <c r="A127" s="45"/>
      <c r="B127" s="31"/>
      <c r="C127" s="32"/>
      <c r="D127" s="31"/>
      <c r="E127" s="31"/>
      <c r="F127" s="29"/>
      <c r="G127" s="29" t="str">
        <f aca="false">IF(OR(D127="",E127="",F127=""),"",D127*E127*F127)</f>
        <v/>
      </c>
      <c r="H127" s="31"/>
      <c r="I127" s="46" t="str">
        <f aca="false">IF(OR(C127="",K127=""),"",IF(K127&gt;=_xlfn.MAXIFS($K$5:K126,$C$5:C126,C127),"Yes","No"))</f>
        <v/>
      </c>
      <c r="J127" s="32"/>
      <c r="K127" s="47" t="str">
        <f aca="false">IF(OR(E127="",F127=""),"",F127*(1+E127/30))</f>
        <v/>
      </c>
      <c r="L127" s="27" t="str">
        <f aca="false">IF(A127="","",INT((A127-StartDate)/7)+1)</f>
        <v/>
      </c>
      <c r="M127" s="27" t="str">
        <f aca="false">IF(A127="","",TEXT(A127,"mmm"))</f>
        <v/>
      </c>
      <c r="N127" s="47" t="str">
        <f aca="false">IFERROR(IF(ISNUMBER(SEARCH("squat",C127)),K127,""),"")</f>
        <v/>
      </c>
      <c r="O127" s="47" t="str">
        <f aca="false">IFERROR(IF(ISNUMBER(SEARCH("bench",C127)),K127,""),"")</f>
        <v/>
      </c>
      <c r="P127" s="47" t="str">
        <f aca="false">IFERROR(IF(ISNUMBER(SEARCH("deadlift",C127)),K127,""),"")</f>
        <v/>
      </c>
      <c r="V127" s="47" t="n">
        <f aca="false">MAX(V126,IF(N127="",0,N127))</f>
        <v>144.666666666667</v>
      </c>
      <c r="W127" s="47" t="n">
        <f aca="false">MAX(W126,IF(O127="",0,O127))</f>
        <v>99.1666666666667</v>
      </c>
      <c r="X127" s="47" t="n">
        <f aca="false">MAX(X126,IF(P127="",0,P127))</f>
        <v>175.666666666667</v>
      </c>
      <c r="Y127" s="47" t="n">
        <f aca="false">V127+W127+X127</f>
        <v>419.5</v>
      </c>
    </row>
    <row r="128" customFormat="false" ht="15" hidden="false" customHeight="false" outlineLevel="0" collapsed="false">
      <c r="A128" s="45"/>
      <c r="B128" s="31"/>
      <c r="C128" s="32"/>
      <c r="D128" s="31"/>
      <c r="E128" s="31"/>
      <c r="F128" s="29"/>
      <c r="G128" s="29" t="str">
        <f aca="false">IF(OR(D128="",E128="",F128=""),"",D128*E128*F128)</f>
        <v/>
      </c>
      <c r="H128" s="31"/>
      <c r="I128" s="36" t="str">
        <f aca="false">IF(OR(C128="",K128=""),"",IF(K128&gt;=_xlfn.MAXIFS($K$5:K127,$C$5:C127,C128),"Yes","No"))</f>
        <v/>
      </c>
      <c r="J128" s="32"/>
      <c r="K128" s="48" t="str">
        <f aca="false">IF(OR(E128="",F128=""),"",F128*(1+E128/30))</f>
        <v/>
      </c>
      <c r="L128" s="36" t="str">
        <f aca="false">IF(A128="","",INT((A128-StartDate)/7)+1)</f>
        <v/>
      </c>
      <c r="M128" s="36" t="str">
        <f aca="false">IF(A128="","",TEXT(A128,"mmm"))</f>
        <v/>
      </c>
      <c r="N128" s="48" t="str">
        <f aca="false">IFERROR(IF(ISNUMBER(SEARCH("squat",C128)),K128,""),"")</f>
        <v/>
      </c>
      <c r="O128" s="48" t="str">
        <f aca="false">IFERROR(IF(ISNUMBER(SEARCH("bench",C128)),K128,""),"")</f>
        <v/>
      </c>
      <c r="P128" s="48" t="str">
        <f aca="false">IFERROR(IF(ISNUMBER(SEARCH("deadlift",C128)),K128,""),"")</f>
        <v/>
      </c>
      <c r="V128" s="48" t="n">
        <f aca="false">MAX(V127,IF(N128="",0,N128))</f>
        <v>144.666666666667</v>
      </c>
      <c r="W128" s="48" t="n">
        <f aca="false">MAX(W127,IF(O128="",0,O128))</f>
        <v>99.1666666666667</v>
      </c>
      <c r="X128" s="48" t="n">
        <f aca="false">MAX(X127,IF(P128="",0,P128))</f>
        <v>175.666666666667</v>
      </c>
      <c r="Y128" s="48" t="n">
        <f aca="false">V128+W128+X128</f>
        <v>419.5</v>
      </c>
    </row>
    <row r="129" customFormat="false" ht="15" hidden="false" customHeight="false" outlineLevel="0" collapsed="false">
      <c r="A129" s="45"/>
      <c r="B129" s="31"/>
      <c r="C129" s="32"/>
      <c r="D129" s="31"/>
      <c r="E129" s="31"/>
      <c r="F129" s="29"/>
      <c r="G129" s="29" t="str">
        <f aca="false">IF(OR(D129="",E129="",F129=""),"",D129*E129*F129)</f>
        <v/>
      </c>
      <c r="H129" s="31"/>
      <c r="I129" s="46" t="str">
        <f aca="false">IF(OR(C129="",K129=""),"",IF(K129&gt;=_xlfn.MAXIFS($K$5:K128,$C$5:C128,C129),"Yes","No"))</f>
        <v/>
      </c>
      <c r="J129" s="32"/>
      <c r="K129" s="47" t="str">
        <f aca="false">IF(OR(E129="",F129=""),"",F129*(1+E129/30))</f>
        <v/>
      </c>
      <c r="L129" s="27" t="str">
        <f aca="false">IF(A129="","",INT((A129-StartDate)/7)+1)</f>
        <v/>
      </c>
      <c r="M129" s="27" t="str">
        <f aca="false">IF(A129="","",TEXT(A129,"mmm"))</f>
        <v/>
      </c>
      <c r="N129" s="47" t="str">
        <f aca="false">IFERROR(IF(ISNUMBER(SEARCH("squat",C129)),K129,""),"")</f>
        <v/>
      </c>
      <c r="O129" s="47" t="str">
        <f aca="false">IFERROR(IF(ISNUMBER(SEARCH("bench",C129)),K129,""),"")</f>
        <v/>
      </c>
      <c r="P129" s="47" t="str">
        <f aca="false">IFERROR(IF(ISNUMBER(SEARCH("deadlift",C129)),K129,""),"")</f>
        <v/>
      </c>
      <c r="V129" s="47" t="n">
        <f aca="false">MAX(V128,IF(N129="",0,N129))</f>
        <v>144.666666666667</v>
      </c>
      <c r="W129" s="47" t="n">
        <f aca="false">MAX(W128,IF(O129="",0,O129))</f>
        <v>99.1666666666667</v>
      </c>
      <c r="X129" s="47" t="n">
        <f aca="false">MAX(X128,IF(P129="",0,P129))</f>
        <v>175.666666666667</v>
      </c>
      <c r="Y129" s="47" t="n">
        <f aca="false">V129+W129+X129</f>
        <v>419.5</v>
      </c>
    </row>
    <row r="130" customFormat="false" ht="15" hidden="false" customHeight="false" outlineLevel="0" collapsed="false">
      <c r="A130" s="45"/>
      <c r="B130" s="31"/>
      <c r="C130" s="32"/>
      <c r="D130" s="31"/>
      <c r="E130" s="31"/>
      <c r="F130" s="29"/>
      <c r="G130" s="29" t="str">
        <f aca="false">IF(OR(D130="",E130="",F130=""),"",D130*E130*F130)</f>
        <v/>
      </c>
      <c r="H130" s="31"/>
      <c r="I130" s="36" t="str">
        <f aca="false">IF(OR(C130="",K130=""),"",IF(K130&gt;=_xlfn.MAXIFS($K$5:K129,$C$5:C129,C130),"Yes","No"))</f>
        <v/>
      </c>
      <c r="J130" s="32"/>
      <c r="K130" s="48" t="str">
        <f aca="false">IF(OR(E130="",F130=""),"",F130*(1+E130/30))</f>
        <v/>
      </c>
      <c r="L130" s="36" t="str">
        <f aca="false">IF(A130="","",INT((A130-StartDate)/7)+1)</f>
        <v/>
      </c>
      <c r="M130" s="36" t="str">
        <f aca="false">IF(A130="","",TEXT(A130,"mmm"))</f>
        <v/>
      </c>
      <c r="N130" s="48" t="str">
        <f aca="false">IFERROR(IF(ISNUMBER(SEARCH("squat",C130)),K130,""),"")</f>
        <v/>
      </c>
      <c r="O130" s="48" t="str">
        <f aca="false">IFERROR(IF(ISNUMBER(SEARCH("bench",C130)),K130,""),"")</f>
        <v/>
      </c>
      <c r="P130" s="48" t="str">
        <f aca="false">IFERROR(IF(ISNUMBER(SEARCH("deadlift",C130)),K130,""),"")</f>
        <v/>
      </c>
      <c r="V130" s="48" t="n">
        <f aca="false">MAX(V129,IF(N130="",0,N130))</f>
        <v>144.666666666667</v>
      </c>
      <c r="W130" s="48" t="n">
        <f aca="false">MAX(W129,IF(O130="",0,O130))</f>
        <v>99.1666666666667</v>
      </c>
      <c r="X130" s="48" t="n">
        <f aca="false">MAX(X129,IF(P130="",0,P130))</f>
        <v>175.666666666667</v>
      </c>
      <c r="Y130" s="48" t="n">
        <f aca="false">V130+W130+X130</f>
        <v>419.5</v>
      </c>
    </row>
    <row r="131" customFormat="false" ht="15" hidden="false" customHeight="false" outlineLevel="0" collapsed="false">
      <c r="A131" s="45"/>
      <c r="B131" s="31"/>
      <c r="C131" s="32"/>
      <c r="D131" s="31"/>
      <c r="E131" s="31"/>
      <c r="F131" s="29"/>
      <c r="G131" s="29" t="str">
        <f aca="false">IF(OR(D131="",E131="",F131=""),"",D131*E131*F131)</f>
        <v/>
      </c>
      <c r="H131" s="31"/>
      <c r="I131" s="46" t="str">
        <f aca="false">IF(OR(C131="",K131=""),"",IF(K131&gt;=_xlfn.MAXIFS($K$5:K130,$C$5:C130,C131),"Yes","No"))</f>
        <v/>
      </c>
      <c r="J131" s="32"/>
      <c r="K131" s="47" t="str">
        <f aca="false">IF(OR(E131="",F131=""),"",F131*(1+E131/30))</f>
        <v/>
      </c>
      <c r="L131" s="27" t="str">
        <f aca="false">IF(A131="","",INT((A131-StartDate)/7)+1)</f>
        <v/>
      </c>
      <c r="M131" s="27" t="str">
        <f aca="false">IF(A131="","",TEXT(A131,"mmm"))</f>
        <v/>
      </c>
      <c r="N131" s="47" t="str">
        <f aca="false">IFERROR(IF(ISNUMBER(SEARCH("squat",C131)),K131,""),"")</f>
        <v/>
      </c>
      <c r="O131" s="47" t="str">
        <f aca="false">IFERROR(IF(ISNUMBER(SEARCH("bench",C131)),K131,""),"")</f>
        <v/>
      </c>
      <c r="P131" s="47" t="str">
        <f aca="false">IFERROR(IF(ISNUMBER(SEARCH("deadlift",C131)),K131,""),"")</f>
        <v/>
      </c>
      <c r="V131" s="47" t="n">
        <f aca="false">MAX(V130,IF(N131="",0,N131))</f>
        <v>144.666666666667</v>
      </c>
      <c r="W131" s="47" t="n">
        <f aca="false">MAX(W130,IF(O131="",0,O131))</f>
        <v>99.1666666666667</v>
      </c>
      <c r="X131" s="47" t="n">
        <f aca="false">MAX(X130,IF(P131="",0,P131))</f>
        <v>175.666666666667</v>
      </c>
      <c r="Y131" s="47" t="n">
        <f aca="false">V131+W131+X131</f>
        <v>419.5</v>
      </c>
    </row>
    <row r="132" customFormat="false" ht="15" hidden="false" customHeight="false" outlineLevel="0" collapsed="false">
      <c r="A132" s="45"/>
      <c r="B132" s="31"/>
      <c r="C132" s="32"/>
      <c r="D132" s="31"/>
      <c r="E132" s="31"/>
      <c r="F132" s="29"/>
      <c r="G132" s="29" t="str">
        <f aca="false">IF(OR(D132="",E132="",F132=""),"",D132*E132*F132)</f>
        <v/>
      </c>
      <c r="H132" s="31"/>
      <c r="I132" s="36" t="str">
        <f aca="false">IF(OR(C132="",K132=""),"",IF(K132&gt;=_xlfn.MAXIFS($K$5:K131,$C$5:C131,C132),"Yes","No"))</f>
        <v/>
      </c>
      <c r="J132" s="32"/>
      <c r="K132" s="48" t="str">
        <f aca="false">IF(OR(E132="",F132=""),"",F132*(1+E132/30))</f>
        <v/>
      </c>
      <c r="L132" s="36" t="str">
        <f aca="false">IF(A132="","",INT((A132-StartDate)/7)+1)</f>
        <v/>
      </c>
      <c r="M132" s="36" t="str">
        <f aca="false">IF(A132="","",TEXT(A132,"mmm"))</f>
        <v/>
      </c>
      <c r="N132" s="48" t="str">
        <f aca="false">IFERROR(IF(ISNUMBER(SEARCH("squat",C132)),K132,""),"")</f>
        <v/>
      </c>
      <c r="O132" s="48" t="str">
        <f aca="false">IFERROR(IF(ISNUMBER(SEARCH("bench",C132)),K132,""),"")</f>
        <v/>
      </c>
      <c r="P132" s="48" t="str">
        <f aca="false">IFERROR(IF(ISNUMBER(SEARCH("deadlift",C132)),K132,""),"")</f>
        <v/>
      </c>
      <c r="V132" s="48" t="n">
        <f aca="false">MAX(V131,IF(N132="",0,N132))</f>
        <v>144.666666666667</v>
      </c>
      <c r="W132" s="48" t="n">
        <f aca="false">MAX(W131,IF(O132="",0,O132))</f>
        <v>99.1666666666667</v>
      </c>
      <c r="X132" s="48" t="n">
        <f aca="false">MAX(X131,IF(P132="",0,P132))</f>
        <v>175.666666666667</v>
      </c>
      <c r="Y132" s="48" t="n">
        <f aca="false">V132+W132+X132</f>
        <v>419.5</v>
      </c>
    </row>
    <row r="133" customFormat="false" ht="15" hidden="false" customHeight="false" outlineLevel="0" collapsed="false">
      <c r="A133" s="45"/>
      <c r="B133" s="31"/>
      <c r="C133" s="32"/>
      <c r="D133" s="31"/>
      <c r="E133" s="31"/>
      <c r="F133" s="29"/>
      <c r="G133" s="29" t="str">
        <f aca="false">IF(OR(D133="",E133="",F133=""),"",D133*E133*F133)</f>
        <v/>
      </c>
      <c r="H133" s="31"/>
      <c r="I133" s="46" t="str">
        <f aca="false">IF(OR(C133="",K133=""),"",IF(K133&gt;=_xlfn.MAXIFS($K$5:K132,$C$5:C132,C133),"Yes","No"))</f>
        <v/>
      </c>
      <c r="J133" s="32"/>
      <c r="K133" s="47" t="str">
        <f aca="false">IF(OR(E133="",F133=""),"",F133*(1+E133/30))</f>
        <v/>
      </c>
      <c r="L133" s="27" t="str">
        <f aca="false">IF(A133="","",INT((A133-StartDate)/7)+1)</f>
        <v/>
      </c>
      <c r="M133" s="27" t="str">
        <f aca="false">IF(A133="","",TEXT(A133,"mmm"))</f>
        <v/>
      </c>
      <c r="N133" s="47" t="str">
        <f aca="false">IFERROR(IF(ISNUMBER(SEARCH("squat",C133)),K133,""),"")</f>
        <v/>
      </c>
      <c r="O133" s="47" t="str">
        <f aca="false">IFERROR(IF(ISNUMBER(SEARCH("bench",C133)),K133,""),"")</f>
        <v/>
      </c>
      <c r="P133" s="47" t="str">
        <f aca="false">IFERROR(IF(ISNUMBER(SEARCH("deadlift",C133)),K133,""),"")</f>
        <v/>
      </c>
      <c r="V133" s="47" t="n">
        <f aca="false">MAX(V132,IF(N133="",0,N133))</f>
        <v>144.666666666667</v>
      </c>
      <c r="W133" s="47" t="n">
        <f aca="false">MAX(W132,IF(O133="",0,O133))</f>
        <v>99.1666666666667</v>
      </c>
      <c r="X133" s="47" t="n">
        <f aca="false">MAX(X132,IF(P133="",0,P133))</f>
        <v>175.666666666667</v>
      </c>
      <c r="Y133" s="47" t="n">
        <f aca="false">V133+W133+X133</f>
        <v>419.5</v>
      </c>
    </row>
    <row r="134" customFormat="false" ht="15" hidden="false" customHeight="false" outlineLevel="0" collapsed="false">
      <c r="A134" s="45"/>
      <c r="B134" s="31"/>
      <c r="C134" s="32"/>
      <c r="D134" s="31"/>
      <c r="E134" s="31"/>
      <c r="F134" s="29"/>
      <c r="G134" s="29" t="str">
        <f aca="false">IF(OR(D134="",E134="",F134=""),"",D134*E134*F134)</f>
        <v/>
      </c>
      <c r="H134" s="31"/>
      <c r="I134" s="36" t="str">
        <f aca="false">IF(OR(C134="",K134=""),"",IF(K134&gt;=_xlfn.MAXIFS($K$5:K133,$C$5:C133,C134),"Yes","No"))</f>
        <v/>
      </c>
      <c r="J134" s="32"/>
      <c r="K134" s="48" t="str">
        <f aca="false">IF(OR(E134="",F134=""),"",F134*(1+E134/30))</f>
        <v/>
      </c>
      <c r="L134" s="36" t="str">
        <f aca="false">IF(A134="","",INT((A134-StartDate)/7)+1)</f>
        <v/>
      </c>
      <c r="M134" s="36" t="str">
        <f aca="false">IF(A134="","",TEXT(A134,"mmm"))</f>
        <v/>
      </c>
      <c r="N134" s="48" t="str">
        <f aca="false">IFERROR(IF(ISNUMBER(SEARCH("squat",C134)),K134,""),"")</f>
        <v/>
      </c>
      <c r="O134" s="48" t="str">
        <f aca="false">IFERROR(IF(ISNUMBER(SEARCH("bench",C134)),K134,""),"")</f>
        <v/>
      </c>
      <c r="P134" s="48" t="str">
        <f aca="false">IFERROR(IF(ISNUMBER(SEARCH("deadlift",C134)),K134,""),"")</f>
        <v/>
      </c>
      <c r="V134" s="48" t="n">
        <f aca="false">MAX(V133,IF(N134="",0,N134))</f>
        <v>144.666666666667</v>
      </c>
      <c r="W134" s="48" t="n">
        <f aca="false">MAX(W133,IF(O134="",0,O134))</f>
        <v>99.1666666666667</v>
      </c>
      <c r="X134" s="48" t="n">
        <f aca="false">MAX(X133,IF(P134="",0,P134))</f>
        <v>175.666666666667</v>
      </c>
      <c r="Y134" s="48" t="n">
        <f aca="false">V134+W134+X134</f>
        <v>419.5</v>
      </c>
    </row>
    <row r="135" customFormat="false" ht="15" hidden="false" customHeight="false" outlineLevel="0" collapsed="false">
      <c r="A135" s="45"/>
      <c r="B135" s="31"/>
      <c r="C135" s="32"/>
      <c r="D135" s="31"/>
      <c r="E135" s="31"/>
      <c r="F135" s="29"/>
      <c r="G135" s="29" t="str">
        <f aca="false">IF(OR(D135="",E135="",F135=""),"",D135*E135*F135)</f>
        <v/>
      </c>
      <c r="H135" s="31"/>
      <c r="I135" s="46" t="str">
        <f aca="false">IF(OR(C135="",K135=""),"",IF(K135&gt;=_xlfn.MAXIFS($K$5:K134,$C$5:C134,C135),"Yes","No"))</f>
        <v/>
      </c>
      <c r="J135" s="32"/>
      <c r="K135" s="47" t="str">
        <f aca="false">IF(OR(E135="",F135=""),"",F135*(1+E135/30))</f>
        <v/>
      </c>
      <c r="L135" s="27" t="str">
        <f aca="false">IF(A135="","",INT((A135-StartDate)/7)+1)</f>
        <v/>
      </c>
      <c r="M135" s="27" t="str">
        <f aca="false">IF(A135="","",TEXT(A135,"mmm"))</f>
        <v/>
      </c>
      <c r="N135" s="47" t="str">
        <f aca="false">IFERROR(IF(ISNUMBER(SEARCH("squat",C135)),K135,""),"")</f>
        <v/>
      </c>
      <c r="O135" s="47" t="str">
        <f aca="false">IFERROR(IF(ISNUMBER(SEARCH("bench",C135)),K135,""),"")</f>
        <v/>
      </c>
      <c r="P135" s="47" t="str">
        <f aca="false">IFERROR(IF(ISNUMBER(SEARCH("deadlift",C135)),K135,""),"")</f>
        <v/>
      </c>
      <c r="V135" s="47" t="n">
        <f aca="false">MAX(V134,IF(N135="",0,N135))</f>
        <v>144.666666666667</v>
      </c>
      <c r="W135" s="47" t="n">
        <f aca="false">MAX(W134,IF(O135="",0,O135))</f>
        <v>99.1666666666667</v>
      </c>
      <c r="X135" s="47" t="n">
        <f aca="false">MAX(X134,IF(P135="",0,P135))</f>
        <v>175.666666666667</v>
      </c>
      <c r="Y135" s="47" t="n">
        <f aca="false">V135+W135+X135</f>
        <v>419.5</v>
      </c>
    </row>
    <row r="136" customFormat="false" ht="15" hidden="false" customHeight="false" outlineLevel="0" collapsed="false">
      <c r="A136" s="45"/>
      <c r="B136" s="31"/>
      <c r="C136" s="32"/>
      <c r="D136" s="31"/>
      <c r="E136" s="31"/>
      <c r="F136" s="29"/>
      <c r="G136" s="29" t="str">
        <f aca="false">IF(OR(D136="",E136="",F136=""),"",D136*E136*F136)</f>
        <v/>
      </c>
      <c r="H136" s="31"/>
      <c r="I136" s="36" t="str">
        <f aca="false">IF(OR(C136="",K136=""),"",IF(K136&gt;=_xlfn.MAXIFS($K$5:K135,$C$5:C135,C136),"Yes","No"))</f>
        <v/>
      </c>
      <c r="J136" s="32"/>
      <c r="K136" s="48" t="str">
        <f aca="false">IF(OR(E136="",F136=""),"",F136*(1+E136/30))</f>
        <v/>
      </c>
      <c r="L136" s="36" t="str">
        <f aca="false">IF(A136="","",INT((A136-StartDate)/7)+1)</f>
        <v/>
      </c>
      <c r="M136" s="36" t="str">
        <f aca="false">IF(A136="","",TEXT(A136,"mmm"))</f>
        <v/>
      </c>
      <c r="N136" s="48" t="str">
        <f aca="false">IFERROR(IF(ISNUMBER(SEARCH("squat",C136)),K136,""),"")</f>
        <v/>
      </c>
      <c r="O136" s="48" t="str">
        <f aca="false">IFERROR(IF(ISNUMBER(SEARCH("bench",C136)),K136,""),"")</f>
        <v/>
      </c>
      <c r="P136" s="48" t="str">
        <f aca="false">IFERROR(IF(ISNUMBER(SEARCH("deadlift",C136)),K136,""),"")</f>
        <v/>
      </c>
      <c r="V136" s="48" t="n">
        <f aca="false">MAX(V135,IF(N136="",0,N136))</f>
        <v>144.666666666667</v>
      </c>
      <c r="W136" s="48" t="n">
        <f aca="false">MAX(W135,IF(O136="",0,O136))</f>
        <v>99.1666666666667</v>
      </c>
      <c r="X136" s="48" t="n">
        <f aca="false">MAX(X135,IF(P136="",0,P136))</f>
        <v>175.666666666667</v>
      </c>
      <c r="Y136" s="48" t="n">
        <f aca="false">V136+W136+X136</f>
        <v>419.5</v>
      </c>
    </row>
    <row r="137" customFormat="false" ht="15" hidden="false" customHeight="false" outlineLevel="0" collapsed="false">
      <c r="A137" s="45"/>
      <c r="B137" s="31"/>
      <c r="C137" s="32"/>
      <c r="D137" s="31"/>
      <c r="E137" s="31"/>
      <c r="F137" s="29"/>
      <c r="G137" s="29" t="str">
        <f aca="false">IF(OR(D137="",E137="",F137=""),"",D137*E137*F137)</f>
        <v/>
      </c>
      <c r="H137" s="31"/>
      <c r="I137" s="46" t="str">
        <f aca="false">IF(OR(C137="",K137=""),"",IF(K137&gt;=_xlfn.MAXIFS($K$5:K136,$C$5:C136,C137),"Yes","No"))</f>
        <v/>
      </c>
      <c r="J137" s="32"/>
      <c r="K137" s="47" t="str">
        <f aca="false">IF(OR(E137="",F137=""),"",F137*(1+E137/30))</f>
        <v/>
      </c>
      <c r="L137" s="27" t="str">
        <f aca="false">IF(A137="","",INT((A137-StartDate)/7)+1)</f>
        <v/>
      </c>
      <c r="M137" s="27" t="str">
        <f aca="false">IF(A137="","",TEXT(A137,"mmm"))</f>
        <v/>
      </c>
      <c r="N137" s="47" t="str">
        <f aca="false">IFERROR(IF(ISNUMBER(SEARCH("squat",C137)),K137,""),"")</f>
        <v/>
      </c>
      <c r="O137" s="47" t="str">
        <f aca="false">IFERROR(IF(ISNUMBER(SEARCH("bench",C137)),K137,""),"")</f>
        <v/>
      </c>
      <c r="P137" s="47" t="str">
        <f aca="false">IFERROR(IF(ISNUMBER(SEARCH("deadlift",C137)),K137,""),"")</f>
        <v/>
      </c>
      <c r="V137" s="47" t="n">
        <f aca="false">MAX(V136,IF(N137="",0,N137))</f>
        <v>144.666666666667</v>
      </c>
      <c r="W137" s="47" t="n">
        <f aca="false">MAX(W136,IF(O137="",0,O137))</f>
        <v>99.1666666666667</v>
      </c>
      <c r="X137" s="47" t="n">
        <f aca="false">MAX(X136,IF(P137="",0,P137))</f>
        <v>175.666666666667</v>
      </c>
      <c r="Y137" s="47" t="n">
        <f aca="false">V137+W137+X137</f>
        <v>419.5</v>
      </c>
    </row>
    <row r="138" customFormat="false" ht="15" hidden="false" customHeight="false" outlineLevel="0" collapsed="false">
      <c r="A138" s="45"/>
      <c r="B138" s="31"/>
      <c r="C138" s="32"/>
      <c r="D138" s="31"/>
      <c r="E138" s="31"/>
      <c r="F138" s="29"/>
      <c r="G138" s="29" t="str">
        <f aca="false">IF(OR(D138="",E138="",F138=""),"",D138*E138*F138)</f>
        <v/>
      </c>
      <c r="H138" s="31"/>
      <c r="I138" s="36" t="str">
        <f aca="false">IF(OR(C138="",K138=""),"",IF(K138&gt;=_xlfn.MAXIFS($K$5:K137,$C$5:C137,C138),"Yes","No"))</f>
        <v/>
      </c>
      <c r="J138" s="32"/>
      <c r="K138" s="48" t="str">
        <f aca="false">IF(OR(E138="",F138=""),"",F138*(1+E138/30))</f>
        <v/>
      </c>
      <c r="L138" s="36" t="str">
        <f aca="false">IF(A138="","",INT((A138-StartDate)/7)+1)</f>
        <v/>
      </c>
      <c r="M138" s="36" t="str">
        <f aca="false">IF(A138="","",TEXT(A138,"mmm"))</f>
        <v/>
      </c>
      <c r="N138" s="48" t="str">
        <f aca="false">IFERROR(IF(ISNUMBER(SEARCH("squat",C138)),K138,""),"")</f>
        <v/>
      </c>
      <c r="O138" s="48" t="str">
        <f aca="false">IFERROR(IF(ISNUMBER(SEARCH("bench",C138)),K138,""),"")</f>
        <v/>
      </c>
      <c r="P138" s="48" t="str">
        <f aca="false">IFERROR(IF(ISNUMBER(SEARCH("deadlift",C138)),K138,""),"")</f>
        <v/>
      </c>
      <c r="V138" s="48" t="n">
        <f aca="false">MAX(V137,IF(N138="",0,N138))</f>
        <v>144.666666666667</v>
      </c>
      <c r="W138" s="48" t="n">
        <f aca="false">MAX(W137,IF(O138="",0,O138))</f>
        <v>99.1666666666667</v>
      </c>
      <c r="X138" s="48" t="n">
        <f aca="false">MAX(X137,IF(P138="",0,P138))</f>
        <v>175.666666666667</v>
      </c>
      <c r="Y138" s="48" t="n">
        <f aca="false">V138+W138+X138</f>
        <v>419.5</v>
      </c>
    </row>
    <row r="139" customFormat="false" ht="15" hidden="false" customHeight="false" outlineLevel="0" collapsed="false">
      <c r="A139" s="45"/>
      <c r="B139" s="31"/>
      <c r="C139" s="32"/>
      <c r="D139" s="31"/>
      <c r="E139" s="31"/>
      <c r="F139" s="29"/>
      <c r="G139" s="29" t="str">
        <f aca="false">IF(OR(D139="",E139="",F139=""),"",D139*E139*F139)</f>
        <v/>
      </c>
      <c r="H139" s="31"/>
      <c r="I139" s="46" t="str">
        <f aca="false">IF(OR(C139="",K139=""),"",IF(K139&gt;=_xlfn.MAXIFS($K$5:K138,$C$5:C138,C139),"Yes","No"))</f>
        <v/>
      </c>
      <c r="J139" s="32"/>
      <c r="K139" s="47" t="str">
        <f aca="false">IF(OR(E139="",F139=""),"",F139*(1+E139/30))</f>
        <v/>
      </c>
      <c r="L139" s="27" t="str">
        <f aca="false">IF(A139="","",INT((A139-StartDate)/7)+1)</f>
        <v/>
      </c>
      <c r="M139" s="27" t="str">
        <f aca="false">IF(A139="","",TEXT(A139,"mmm"))</f>
        <v/>
      </c>
      <c r="N139" s="47" t="str">
        <f aca="false">IFERROR(IF(ISNUMBER(SEARCH("squat",C139)),K139,""),"")</f>
        <v/>
      </c>
      <c r="O139" s="47" t="str">
        <f aca="false">IFERROR(IF(ISNUMBER(SEARCH("bench",C139)),K139,""),"")</f>
        <v/>
      </c>
      <c r="P139" s="47" t="str">
        <f aca="false">IFERROR(IF(ISNUMBER(SEARCH("deadlift",C139)),K139,""),"")</f>
        <v/>
      </c>
      <c r="V139" s="47" t="n">
        <f aca="false">MAX(V138,IF(N139="",0,N139))</f>
        <v>144.666666666667</v>
      </c>
      <c r="W139" s="47" t="n">
        <f aca="false">MAX(W138,IF(O139="",0,O139))</f>
        <v>99.1666666666667</v>
      </c>
      <c r="X139" s="47" t="n">
        <f aca="false">MAX(X138,IF(P139="",0,P139))</f>
        <v>175.666666666667</v>
      </c>
      <c r="Y139" s="47" t="n">
        <f aca="false">V139+W139+X139</f>
        <v>419.5</v>
      </c>
    </row>
    <row r="140" customFormat="false" ht="15" hidden="false" customHeight="false" outlineLevel="0" collapsed="false">
      <c r="A140" s="45"/>
      <c r="B140" s="31"/>
      <c r="C140" s="32"/>
      <c r="D140" s="31"/>
      <c r="E140" s="31"/>
      <c r="F140" s="29"/>
      <c r="G140" s="29" t="str">
        <f aca="false">IF(OR(D140="",E140="",F140=""),"",D140*E140*F140)</f>
        <v/>
      </c>
      <c r="H140" s="31"/>
      <c r="I140" s="36" t="str">
        <f aca="false">IF(OR(C140="",K140=""),"",IF(K140&gt;=_xlfn.MAXIFS($K$5:K139,$C$5:C139,C140),"Yes","No"))</f>
        <v/>
      </c>
      <c r="J140" s="32"/>
      <c r="K140" s="48" t="str">
        <f aca="false">IF(OR(E140="",F140=""),"",F140*(1+E140/30))</f>
        <v/>
      </c>
      <c r="L140" s="36" t="str">
        <f aca="false">IF(A140="","",INT((A140-StartDate)/7)+1)</f>
        <v/>
      </c>
      <c r="M140" s="36" t="str">
        <f aca="false">IF(A140="","",TEXT(A140,"mmm"))</f>
        <v/>
      </c>
      <c r="N140" s="48" t="str">
        <f aca="false">IFERROR(IF(ISNUMBER(SEARCH("squat",C140)),K140,""),"")</f>
        <v/>
      </c>
      <c r="O140" s="48" t="str">
        <f aca="false">IFERROR(IF(ISNUMBER(SEARCH("bench",C140)),K140,""),"")</f>
        <v/>
      </c>
      <c r="P140" s="48" t="str">
        <f aca="false">IFERROR(IF(ISNUMBER(SEARCH("deadlift",C140)),K140,""),"")</f>
        <v/>
      </c>
      <c r="V140" s="48" t="n">
        <f aca="false">MAX(V139,IF(N140="",0,N140))</f>
        <v>144.666666666667</v>
      </c>
      <c r="W140" s="48" t="n">
        <f aca="false">MAX(W139,IF(O140="",0,O140))</f>
        <v>99.1666666666667</v>
      </c>
      <c r="X140" s="48" t="n">
        <f aca="false">MAX(X139,IF(P140="",0,P140))</f>
        <v>175.666666666667</v>
      </c>
      <c r="Y140" s="48" t="n">
        <f aca="false">V140+W140+X140</f>
        <v>419.5</v>
      </c>
    </row>
    <row r="141" customFormat="false" ht="15" hidden="false" customHeight="false" outlineLevel="0" collapsed="false">
      <c r="A141" s="45"/>
      <c r="B141" s="31"/>
      <c r="C141" s="32"/>
      <c r="D141" s="31"/>
      <c r="E141" s="31"/>
      <c r="F141" s="29"/>
      <c r="G141" s="29" t="str">
        <f aca="false">IF(OR(D141="",E141="",F141=""),"",D141*E141*F141)</f>
        <v/>
      </c>
      <c r="H141" s="31"/>
      <c r="I141" s="46" t="str">
        <f aca="false">IF(OR(C141="",K141=""),"",IF(K141&gt;=_xlfn.MAXIFS($K$5:K140,$C$5:C140,C141),"Yes","No"))</f>
        <v/>
      </c>
      <c r="J141" s="32"/>
      <c r="K141" s="47" t="str">
        <f aca="false">IF(OR(E141="",F141=""),"",F141*(1+E141/30))</f>
        <v/>
      </c>
      <c r="L141" s="27" t="str">
        <f aca="false">IF(A141="","",INT((A141-StartDate)/7)+1)</f>
        <v/>
      </c>
      <c r="M141" s="27" t="str">
        <f aca="false">IF(A141="","",TEXT(A141,"mmm"))</f>
        <v/>
      </c>
      <c r="N141" s="47" t="str">
        <f aca="false">IFERROR(IF(ISNUMBER(SEARCH("squat",C141)),K141,""),"")</f>
        <v/>
      </c>
      <c r="O141" s="47" t="str">
        <f aca="false">IFERROR(IF(ISNUMBER(SEARCH("bench",C141)),K141,""),"")</f>
        <v/>
      </c>
      <c r="P141" s="47" t="str">
        <f aca="false">IFERROR(IF(ISNUMBER(SEARCH("deadlift",C141)),K141,""),"")</f>
        <v/>
      </c>
      <c r="V141" s="47" t="n">
        <f aca="false">MAX(V140,IF(N141="",0,N141))</f>
        <v>144.666666666667</v>
      </c>
      <c r="W141" s="47" t="n">
        <f aca="false">MAX(W140,IF(O141="",0,O141))</f>
        <v>99.1666666666667</v>
      </c>
      <c r="X141" s="47" t="n">
        <f aca="false">MAX(X140,IF(P141="",0,P141))</f>
        <v>175.666666666667</v>
      </c>
      <c r="Y141" s="47" t="n">
        <f aca="false">V141+W141+X141</f>
        <v>419.5</v>
      </c>
    </row>
    <row r="142" customFormat="false" ht="15" hidden="false" customHeight="false" outlineLevel="0" collapsed="false">
      <c r="A142" s="45"/>
      <c r="B142" s="31"/>
      <c r="C142" s="32"/>
      <c r="D142" s="31"/>
      <c r="E142" s="31"/>
      <c r="F142" s="29"/>
      <c r="G142" s="29" t="str">
        <f aca="false">IF(OR(D142="",E142="",F142=""),"",D142*E142*F142)</f>
        <v/>
      </c>
      <c r="H142" s="31"/>
      <c r="I142" s="36" t="str">
        <f aca="false">IF(OR(C142="",K142=""),"",IF(K142&gt;=_xlfn.MAXIFS($K$5:K141,$C$5:C141,C142),"Yes","No"))</f>
        <v/>
      </c>
      <c r="J142" s="32"/>
      <c r="K142" s="48" t="str">
        <f aca="false">IF(OR(E142="",F142=""),"",F142*(1+E142/30))</f>
        <v/>
      </c>
      <c r="L142" s="36" t="str">
        <f aca="false">IF(A142="","",INT((A142-StartDate)/7)+1)</f>
        <v/>
      </c>
      <c r="M142" s="36" t="str">
        <f aca="false">IF(A142="","",TEXT(A142,"mmm"))</f>
        <v/>
      </c>
      <c r="N142" s="48" t="str">
        <f aca="false">IFERROR(IF(ISNUMBER(SEARCH("squat",C142)),K142,""),"")</f>
        <v/>
      </c>
      <c r="O142" s="48" t="str">
        <f aca="false">IFERROR(IF(ISNUMBER(SEARCH("bench",C142)),K142,""),"")</f>
        <v/>
      </c>
      <c r="P142" s="48" t="str">
        <f aca="false">IFERROR(IF(ISNUMBER(SEARCH("deadlift",C142)),K142,""),"")</f>
        <v/>
      </c>
      <c r="V142" s="48" t="n">
        <f aca="false">MAX(V141,IF(N142="",0,N142))</f>
        <v>144.666666666667</v>
      </c>
      <c r="W142" s="48" t="n">
        <f aca="false">MAX(W141,IF(O142="",0,O142))</f>
        <v>99.1666666666667</v>
      </c>
      <c r="X142" s="48" t="n">
        <f aca="false">MAX(X141,IF(P142="",0,P142))</f>
        <v>175.666666666667</v>
      </c>
      <c r="Y142" s="48" t="n">
        <f aca="false">V142+W142+X142</f>
        <v>419.5</v>
      </c>
    </row>
    <row r="143" customFormat="false" ht="15" hidden="false" customHeight="false" outlineLevel="0" collapsed="false">
      <c r="A143" s="45"/>
      <c r="B143" s="31"/>
      <c r="C143" s="32"/>
      <c r="D143" s="31"/>
      <c r="E143" s="31"/>
      <c r="F143" s="29"/>
      <c r="G143" s="29" t="str">
        <f aca="false">IF(OR(D143="",E143="",F143=""),"",D143*E143*F143)</f>
        <v/>
      </c>
      <c r="H143" s="31"/>
      <c r="I143" s="46" t="str">
        <f aca="false">IF(OR(C143="",K143=""),"",IF(K143&gt;=_xlfn.MAXIFS($K$5:K142,$C$5:C142,C143),"Yes","No"))</f>
        <v/>
      </c>
      <c r="J143" s="32"/>
      <c r="K143" s="47" t="str">
        <f aca="false">IF(OR(E143="",F143=""),"",F143*(1+E143/30))</f>
        <v/>
      </c>
      <c r="L143" s="27" t="str">
        <f aca="false">IF(A143="","",INT((A143-StartDate)/7)+1)</f>
        <v/>
      </c>
      <c r="M143" s="27" t="str">
        <f aca="false">IF(A143="","",TEXT(A143,"mmm"))</f>
        <v/>
      </c>
      <c r="N143" s="47" t="str">
        <f aca="false">IFERROR(IF(ISNUMBER(SEARCH("squat",C143)),K143,""),"")</f>
        <v/>
      </c>
      <c r="O143" s="47" t="str">
        <f aca="false">IFERROR(IF(ISNUMBER(SEARCH("bench",C143)),K143,""),"")</f>
        <v/>
      </c>
      <c r="P143" s="47" t="str">
        <f aca="false">IFERROR(IF(ISNUMBER(SEARCH("deadlift",C143)),K143,""),"")</f>
        <v/>
      </c>
      <c r="V143" s="47" t="n">
        <f aca="false">MAX(V142,IF(N143="",0,N143))</f>
        <v>144.666666666667</v>
      </c>
      <c r="W143" s="47" t="n">
        <f aca="false">MAX(W142,IF(O143="",0,O143))</f>
        <v>99.1666666666667</v>
      </c>
      <c r="X143" s="47" t="n">
        <f aca="false">MAX(X142,IF(P143="",0,P143))</f>
        <v>175.666666666667</v>
      </c>
      <c r="Y143" s="47" t="n">
        <f aca="false">V143+W143+X143</f>
        <v>419.5</v>
      </c>
    </row>
    <row r="144" customFormat="false" ht="15" hidden="false" customHeight="false" outlineLevel="0" collapsed="false">
      <c r="A144" s="45"/>
      <c r="B144" s="31"/>
      <c r="C144" s="32"/>
      <c r="D144" s="31"/>
      <c r="E144" s="31"/>
      <c r="F144" s="29"/>
      <c r="G144" s="29" t="str">
        <f aca="false">IF(OR(D144="",E144="",F144=""),"",D144*E144*F144)</f>
        <v/>
      </c>
      <c r="H144" s="31"/>
      <c r="I144" s="36" t="str">
        <f aca="false">IF(OR(C144="",K144=""),"",IF(K144&gt;=_xlfn.MAXIFS($K$5:K143,$C$5:C143,C144),"Yes","No"))</f>
        <v/>
      </c>
      <c r="J144" s="32"/>
      <c r="K144" s="48" t="str">
        <f aca="false">IF(OR(E144="",F144=""),"",F144*(1+E144/30))</f>
        <v/>
      </c>
      <c r="L144" s="36" t="str">
        <f aca="false">IF(A144="","",INT((A144-StartDate)/7)+1)</f>
        <v/>
      </c>
      <c r="M144" s="36" t="str">
        <f aca="false">IF(A144="","",TEXT(A144,"mmm"))</f>
        <v/>
      </c>
      <c r="N144" s="48" t="str">
        <f aca="false">IFERROR(IF(ISNUMBER(SEARCH("squat",C144)),K144,""),"")</f>
        <v/>
      </c>
      <c r="O144" s="48" t="str">
        <f aca="false">IFERROR(IF(ISNUMBER(SEARCH("bench",C144)),K144,""),"")</f>
        <v/>
      </c>
      <c r="P144" s="48" t="str">
        <f aca="false">IFERROR(IF(ISNUMBER(SEARCH("deadlift",C144)),K144,""),"")</f>
        <v/>
      </c>
      <c r="V144" s="48" t="n">
        <f aca="false">MAX(V143,IF(N144="",0,N144))</f>
        <v>144.666666666667</v>
      </c>
      <c r="W144" s="48" t="n">
        <f aca="false">MAX(W143,IF(O144="",0,O144))</f>
        <v>99.1666666666667</v>
      </c>
      <c r="X144" s="48" t="n">
        <f aca="false">MAX(X143,IF(P144="",0,P144))</f>
        <v>175.666666666667</v>
      </c>
      <c r="Y144" s="48" t="n">
        <f aca="false">V144+W144+X144</f>
        <v>419.5</v>
      </c>
    </row>
    <row r="145" customFormat="false" ht="15" hidden="false" customHeight="false" outlineLevel="0" collapsed="false">
      <c r="A145" s="45"/>
      <c r="B145" s="31"/>
      <c r="C145" s="32"/>
      <c r="D145" s="31"/>
      <c r="E145" s="31"/>
      <c r="F145" s="29"/>
      <c r="G145" s="29" t="str">
        <f aca="false">IF(OR(D145="",E145="",F145=""),"",D145*E145*F145)</f>
        <v/>
      </c>
      <c r="H145" s="31"/>
      <c r="I145" s="46" t="str">
        <f aca="false">IF(OR(C145="",K145=""),"",IF(K145&gt;=_xlfn.MAXIFS($K$5:K144,$C$5:C144,C145),"Yes","No"))</f>
        <v/>
      </c>
      <c r="J145" s="32"/>
      <c r="K145" s="47" t="str">
        <f aca="false">IF(OR(E145="",F145=""),"",F145*(1+E145/30))</f>
        <v/>
      </c>
      <c r="L145" s="27" t="str">
        <f aca="false">IF(A145="","",INT((A145-StartDate)/7)+1)</f>
        <v/>
      </c>
      <c r="M145" s="27" t="str">
        <f aca="false">IF(A145="","",TEXT(A145,"mmm"))</f>
        <v/>
      </c>
      <c r="N145" s="47" t="str">
        <f aca="false">IFERROR(IF(ISNUMBER(SEARCH("squat",C145)),K145,""),"")</f>
        <v/>
      </c>
      <c r="O145" s="47" t="str">
        <f aca="false">IFERROR(IF(ISNUMBER(SEARCH("bench",C145)),K145,""),"")</f>
        <v/>
      </c>
      <c r="P145" s="47" t="str">
        <f aca="false">IFERROR(IF(ISNUMBER(SEARCH("deadlift",C145)),K145,""),"")</f>
        <v/>
      </c>
      <c r="V145" s="47" t="n">
        <f aca="false">MAX(V144,IF(N145="",0,N145))</f>
        <v>144.666666666667</v>
      </c>
      <c r="W145" s="47" t="n">
        <f aca="false">MAX(W144,IF(O145="",0,O145))</f>
        <v>99.1666666666667</v>
      </c>
      <c r="X145" s="47" t="n">
        <f aca="false">MAX(X144,IF(P145="",0,P145))</f>
        <v>175.666666666667</v>
      </c>
      <c r="Y145" s="47" t="n">
        <f aca="false">V145+W145+X145</f>
        <v>419.5</v>
      </c>
    </row>
    <row r="146" customFormat="false" ht="15" hidden="false" customHeight="false" outlineLevel="0" collapsed="false">
      <c r="A146" s="45"/>
      <c r="B146" s="31"/>
      <c r="C146" s="32"/>
      <c r="D146" s="31"/>
      <c r="E146" s="31"/>
      <c r="F146" s="29"/>
      <c r="G146" s="29" t="str">
        <f aca="false">IF(OR(D146="",E146="",F146=""),"",D146*E146*F146)</f>
        <v/>
      </c>
      <c r="H146" s="31"/>
      <c r="I146" s="36" t="str">
        <f aca="false">IF(OR(C146="",K146=""),"",IF(K146&gt;=_xlfn.MAXIFS($K$5:K145,$C$5:C145,C146),"Yes","No"))</f>
        <v/>
      </c>
      <c r="J146" s="32"/>
      <c r="K146" s="48" t="str">
        <f aca="false">IF(OR(E146="",F146=""),"",F146*(1+E146/30))</f>
        <v/>
      </c>
      <c r="L146" s="36" t="str">
        <f aca="false">IF(A146="","",INT((A146-StartDate)/7)+1)</f>
        <v/>
      </c>
      <c r="M146" s="36" t="str">
        <f aca="false">IF(A146="","",TEXT(A146,"mmm"))</f>
        <v/>
      </c>
      <c r="N146" s="48" t="str">
        <f aca="false">IFERROR(IF(ISNUMBER(SEARCH("squat",C146)),K146,""),"")</f>
        <v/>
      </c>
      <c r="O146" s="48" t="str">
        <f aca="false">IFERROR(IF(ISNUMBER(SEARCH("bench",C146)),K146,""),"")</f>
        <v/>
      </c>
      <c r="P146" s="48" t="str">
        <f aca="false">IFERROR(IF(ISNUMBER(SEARCH("deadlift",C146)),K146,""),"")</f>
        <v/>
      </c>
      <c r="V146" s="48" t="n">
        <f aca="false">MAX(V145,IF(N146="",0,N146))</f>
        <v>144.666666666667</v>
      </c>
      <c r="W146" s="48" t="n">
        <f aca="false">MAX(W145,IF(O146="",0,O146))</f>
        <v>99.1666666666667</v>
      </c>
      <c r="X146" s="48" t="n">
        <f aca="false">MAX(X145,IF(P146="",0,P146))</f>
        <v>175.666666666667</v>
      </c>
      <c r="Y146" s="48" t="n">
        <f aca="false">V146+W146+X146</f>
        <v>419.5</v>
      </c>
    </row>
    <row r="147" customFormat="false" ht="15" hidden="false" customHeight="false" outlineLevel="0" collapsed="false">
      <c r="A147" s="45"/>
      <c r="B147" s="31"/>
      <c r="C147" s="32"/>
      <c r="D147" s="31"/>
      <c r="E147" s="31"/>
      <c r="F147" s="29"/>
      <c r="G147" s="29" t="str">
        <f aca="false">IF(OR(D147="",E147="",F147=""),"",D147*E147*F147)</f>
        <v/>
      </c>
      <c r="H147" s="31"/>
      <c r="I147" s="46" t="str">
        <f aca="false">IF(OR(C147="",K147=""),"",IF(K147&gt;=_xlfn.MAXIFS($K$5:K146,$C$5:C146,C147),"Yes","No"))</f>
        <v/>
      </c>
      <c r="J147" s="32"/>
      <c r="K147" s="47" t="str">
        <f aca="false">IF(OR(E147="",F147=""),"",F147*(1+E147/30))</f>
        <v/>
      </c>
      <c r="L147" s="27" t="str">
        <f aca="false">IF(A147="","",INT((A147-StartDate)/7)+1)</f>
        <v/>
      </c>
      <c r="M147" s="27" t="str">
        <f aca="false">IF(A147="","",TEXT(A147,"mmm"))</f>
        <v/>
      </c>
      <c r="N147" s="47" t="str">
        <f aca="false">IFERROR(IF(ISNUMBER(SEARCH("squat",C147)),K147,""),"")</f>
        <v/>
      </c>
      <c r="O147" s="47" t="str">
        <f aca="false">IFERROR(IF(ISNUMBER(SEARCH("bench",C147)),K147,""),"")</f>
        <v/>
      </c>
      <c r="P147" s="47" t="str">
        <f aca="false">IFERROR(IF(ISNUMBER(SEARCH("deadlift",C147)),K147,""),"")</f>
        <v/>
      </c>
      <c r="V147" s="47" t="n">
        <f aca="false">MAX(V146,IF(N147="",0,N147))</f>
        <v>144.666666666667</v>
      </c>
      <c r="W147" s="47" t="n">
        <f aca="false">MAX(W146,IF(O147="",0,O147))</f>
        <v>99.1666666666667</v>
      </c>
      <c r="X147" s="47" t="n">
        <f aca="false">MAX(X146,IF(P147="",0,P147))</f>
        <v>175.666666666667</v>
      </c>
      <c r="Y147" s="47" t="n">
        <f aca="false">V147+W147+X147</f>
        <v>419.5</v>
      </c>
    </row>
    <row r="148" customFormat="false" ht="15" hidden="false" customHeight="false" outlineLevel="0" collapsed="false">
      <c r="A148" s="45"/>
      <c r="B148" s="31"/>
      <c r="C148" s="32"/>
      <c r="D148" s="31"/>
      <c r="E148" s="31"/>
      <c r="F148" s="29"/>
      <c r="G148" s="29" t="str">
        <f aca="false">IF(OR(D148="",E148="",F148=""),"",D148*E148*F148)</f>
        <v/>
      </c>
      <c r="H148" s="31"/>
      <c r="I148" s="36" t="str">
        <f aca="false">IF(OR(C148="",K148=""),"",IF(K148&gt;=_xlfn.MAXIFS($K$5:K147,$C$5:C147,C148),"Yes","No"))</f>
        <v/>
      </c>
      <c r="J148" s="32"/>
      <c r="K148" s="48" t="str">
        <f aca="false">IF(OR(E148="",F148=""),"",F148*(1+E148/30))</f>
        <v/>
      </c>
      <c r="L148" s="36" t="str">
        <f aca="false">IF(A148="","",INT((A148-StartDate)/7)+1)</f>
        <v/>
      </c>
      <c r="M148" s="36" t="str">
        <f aca="false">IF(A148="","",TEXT(A148,"mmm"))</f>
        <v/>
      </c>
      <c r="N148" s="48" t="str">
        <f aca="false">IFERROR(IF(ISNUMBER(SEARCH("squat",C148)),K148,""),"")</f>
        <v/>
      </c>
      <c r="O148" s="48" t="str">
        <f aca="false">IFERROR(IF(ISNUMBER(SEARCH("bench",C148)),K148,""),"")</f>
        <v/>
      </c>
      <c r="P148" s="48" t="str">
        <f aca="false">IFERROR(IF(ISNUMBER(SEARCH("deadlift",C148)),K148,""),"")</f>
        <v/>
      </c>
      <c r="V148" s="48" t="n">
        <f aca="false">MAX(V147,IF(N148="",0,N148))</f>
        <v>144.666666666667</v>
      </c>
      <c r="W148" s="48" t="n">
        <f aca="false">MAX(W147,IF(O148="",0,O148))</f>
        <v>99.1666666666667</v>
      </c>
      <c r="X148" s="48" t="n">
        <f aca="false">MAX(X147,IF(P148="",0,P148))</f>
        <v>175.666666666667</v>
      </c>
      <c r="Y148" s="48" t="n">
        <f aca="false">V148+W148+X148</f>
        <v>419.5</v>
      </c>
    </row>
    <row r="149" customFormat="false" ht="15" hidden="false" customHeight="false" outlineLevel="0" collapsed="false">
      <c r="A149" s="45"/>
      <c r="B149" s="31"/>
      <c r="C149" s="32"/>
      <c r="D149" s="31"/>
      <c r="E149" s="31"/>
      <c r="F149" s="29"/>
      <c r="G149" s="29" t="str">
        <f aca="false">IF(OR(D149="",E149="",F149=""),"",D149*E149*F149)</f>
        <v/>
      </c>
      <c r="H149" s="31"/>
      <c r="I149" s="46" t="str">
        <f aca="false">IF(OR(C149="",K149=""),"",IF(K149&gt;=_xlfn.MAXIFS($K$5:K148,$C$5:C148,C149),"Yes","No"))</f>
        <v/>
      </c>
      <c r="J149" s="32"/>
      <c r="K149" s="47" t="str">
        <f aca="false">IF(OR(E149="",F149=""),"",F149*(1+E149/30))</f>
        <v/>
      </c>
      <c r="L149" s="27" t="str">
        <f aca="false">IF(A149="","",INT((A149-StartDate)/7)+1)</f>
        <v/>
      </c>
      <c r="M149" s="27" t="str">
        <f aca="false">IF(A149="","",TEXT(A149,"mmm"))</f>
        <v/>
      </c>
      <c r="N149" s="47" t="str">
        <f aca="false">IFERROR(IF(ISNUMBER(SEARCH("squat",C149)),K149,""),"")</f>
        <v/>
      </c>
      <c r="O149" s="47" t="str">
        <f aca="false">IFERROR(IF(ISNUMBER(SEARCH("bench",C149)),K149,""),"")</f>
        <v/>
      </c>
      <c r="P149" s="47" t="str">
        <f aca="false">IFERROR(IF(ISNUMBER(SEARCH("deadlift",C149)),K149,""),"")</f>
        <v/>
      </c>
      <c r="V149" s="47" t="n">
        <f aca="false">MAX(V148,IF(N149="",0,N149))</f>
        <v>144.666666666667</v>
      </c>
      <c r="W149" s="47" t="n">
        <f aca="false">MAX(W148,IF(O149="",0,O149))</f>
        <v>99.1666666666667</v>
      </c>
      <c r="X149" s="47" t="n">
        <f aca="false">MAX(X148,IF(P149="",0,P149))</f>
        <v>175.666666666667</v>
      </c>
      <c r="Y149" s="47" t="n">
        <f aca="false">V149+W149+X149</f>
        <v>419.5</v>
      </c>
    </row>
    <row r="150" customFormat="false" ht="15" hidden="false" customHeight="false" outlineLevel="0" collapsed="false">
      <c r="A150" s="45"/>
      <c r="B150" s="31"/>
      <c r="C150" s="32"/>
      <c r="D150" s="31"/>
      <c r="E150" s="31"/>
      <c r="F150" s="29"/>
      <c r="G150" s="29" t="str">
        <f aca="false">IF(OR(D150="",E150="",F150=""),"",D150*E150*F150)</f>
        <v/>
      </c>
      <c r="H150" s="31"/>
      <c r="I150" s="36" t="str">
        <f aca="false">IF(OR(C150="",K150=""),"",IF(K150&gt;=_xlfn.MAXIFS($K$5:K149,$C$5:C149,C150),"Yes","No"))</f>
        <v/>
      </c>
      <c r="J150" s="32"/>
      <c r="K150" s="48" t="str">
        <f aca="false">IF(OR(E150="",F150=""),"",F150*(1+E150/30))</f>
        <v/>
      </c>
      <c r="L150" s="36" t="str">
        <f aca="false">IF(A150="","",INT((A150-StartDate)/7)+1)</f>
        <v/>
      </c>
      <c r="M150" s="36" t="str">
        <f aca="false">IF(A150="","",TEXT(A150,"mmm"))</f>
        <v/>
      </c>
      <c r="N150" s="48" t="str">
        <f aca="false">IFERROR(IF(ISNUMBER(SEARCH("squat",C150)),K150,""),"")</f>
        <v/>
      </c>
      <c r="O150" s="48" t="str">
        <f aca="false">IFERROR(IF(ISNUMBER(SEARCH("bench",C150)),K150,""),"")</f>
        <v/>
      </c>
      <c r="P150" s="48" t="str">
        <f aca="false">IFERROR(IF(ISNUMBER(SEARCH("deadlift",C150)),K150,""),"")</f>
        <v/>
      </c>
      <c r="V150" s="48" t="n">
        <f aca="false">MAX(V149,IF(N150="",0,N150))</f>
        <v>144.666666666667</v>
      </c>
      <c r="W150" s="48" t="n">
        <f aca="false">MAX(W149,IF(O150="",0,O150))</f>
        <v>99.1666666666667</v>
      </c>
      <c r="X150" s="48" t="n">
        <f aca="false">MAX(X149,IF(P150="",0,P150))</f>
        <v>175.666666666667</v>
      </c>
      <c r="Y150" s="48" t="n">
        <f aca="false">V150+W150+X150</f>
        <v>419.5</v>
      </c>
    </row>
    <row r="151" customFormat="false" ht="15" hidden="false" customHeight="false" outlineLevel="0" collapsed="false">
      <c r="A151" s="45"/>
      <c r="B151" s="31"/>
      <c r="C151" s="32"/>
      <c r="D151" s="31"/>
      <c r="E151" s="31"/>
      <c r="F151" s="29"/>
      <c r="G151" s="29" t="str">
        <f aca="false">IF(OR(D151="",E151="",F151=""),"",D151*E151*F151)</f>
        <v/>
      </c>
      <c r="H151" s="31"/>
      <c r="I151" s="46" t="str">
        <f aca="false">IF(OR(C151="",K151=""),"",IF(K151&gt;=_xlfn.MAXIFS($K$5:K150,$C$5:C150,C151),"Yes","No"))</f>
        <v/>
      </c>
      <c r="J151" s="32"/>
      <c r="K151" s="47" t="str">
        <f aca="false">IF(OR(E151="",F151=""),"",F151*(1+E151/30))</f>
        <v/>
      </c>
      <c r="L151" s="27" t="str">
        <f aca="false">IF(A151="","",INT((A151-StartDate)/7)+1)</f>
        <v/>
      </c>
      <c r="M151" s="27" t="str">
        <f aca="false">IF(A151="","",TEXT(A151,"mmm"))</f>
        <v/>
      </c>
      <c r="N151" s="47" t="str">
        <f aca="false">IFERROR(IF(ISNUMBER(SEARCH("squat",C151)),K151,""),"")</f>
        <v/>
      </c>
      <c r="O151" s="47" t="str">
        <f aca="false">IFERROR(IF(ISNUMBER(SEARCH("bench",C151)),K151,""),"")</f>
        <v/>
      </c>
      <c r="P151" s="47" t="str">
        <f aca="false">IFERROR(IF(ISNUMBER(SEARCH("deadlift",C151)),K151,""),"")</f>
        <v/>
      </c>
      <c r="V151" s="47" t="n">
        <f aca="false">MAX(V150,IF(N151="",0,N151))</f>
        <v>144.666666666667</v>
      </c>
      <c r="W151" s="47" t="n">
        <f aca="false">MAX(W150,IF(O151="",0,O151))</f>
        <v>99.1666666666667</v>
      </c>
      <c r="X151" s="47" t="n">
        <f aca="false">MAX(X150,IF(P151="",0,P151))</f>
        <v>175.666666666667</v>
      </c>
      <c r="Y151" s="47" t="n">
        <f aca="false">V151+W151+X151</f>
        <v>419.5</v>
      </c>
    </row>
    <row r="152" customFormat="false" ht="15" hidden="false" customHeight="false" outlineLevel="0" collapsed="false">
      <c r="A152" s="45"/>
      <c r="B152" s="31"/>
      <c r="C152" s="32"/>
      <c r="D152" s="31"/>
      <c r="E152" s="31"/>
      <c r="F152" s="29"/>
      <c r="G152" s="29" t="str">
        <f aca="false">IF(OR(D152="",E152="",F152=""),"",D152*E152*F152)</f>
        <v/>
      </c>
      <c r="H152" s="31"/>
      <c r="I152" s="36" t="str">
        <f aca="false">IF(OR(C152="",K152=""),"",IF(K152&gt;=_xlfn.MAXIFS($K$5:K151,$C$5:C151,C152),"Yes","No"))</f>
        <v/>
      </c>
      <c r="J152" s="32"/>
      <c r="K152" s="48" t="str">
        <f aca="false">IF(OR(E152="",F152=""),"",F152*(1+E152/30))</f>
        <v/>
      </c>
      <c r="L152" s="36" t="str">
        <f aca="false">IF(A152="","",INT((A152-StartDate)/7)+1)</f>
        <v/>
      </c>
      <c r="M152" s="36" t="str">
        <f aca="false">IF(A152="","",TEXT(A152,"mmm"))</f>
        <v/>
      </c>
      <c r="N152" s="48" t="str">
        <f aca="false">IFERROR(IF(ISNUMBER(SEARCH("squat",C152)),K152,""),"")</f>
        <v/>
      </c>
      <c r="O152" s="48" t="str">
        <f aca="false">IFERROR(IF(ISNUMBER(SEARCH("bench",C152)),K152,""),"")</f>
        <v/>
      </c>
      <c r="P152" s="48" t="str">
        <f aca="false">IFERROR(IF(ISNUMBER(SEARCH("deadlift",C152)),K152,""),"")</f>
        <v/>
      </c>
      <c r="V152" s="48" t="n">
        <f aca="false">MAX(V151,IF(N152="",0,N152))</f>
        <v>144.666666666667</v>
      </c>
      <c r="W152" s="48" t="n">
        <f aca="false">MAX(W151,IF(O152="",0,O152))</f>
        <v>99.1666666666667</v>
      </c>
      <c r="X152" s="48" t="n">
        <f aca="false">MAX(X151,IF(P152="",0,P152))</f>
        <v>175.666666666667</v>
      </c>
      <c r="Y152" s="48" t="n">
        <f aca="false">V152+W152+X152</f>
        <v>419.5</v>
      </c>
    </row>
    <row r="153" customFormat="false" ht="15" hidden="false" customHeight="false" outlineLevel="0" collapsed="false">
      <c r="A153" s="45"/>
      <c r="B153" s="31"/>
      <c r="C153" s="32"/>
      <c r="D153" s="31"/>
      <c r="E153" s="31"/>
      <c r="F153" s="29"/>
      <c r="G153" s="29" t="str">
        <f aca="false">IF(OR(D153="",E153="",F153=""),"",D153*E153*F153)</f>
        <v/>
      </c>
      <c r="H153" s="31"/>
      <c r="I153" s="46" t="str">
        <f aca="false">IF(OR(C153="",K153=""),"",IF(K153&gt;=_xlfn.MAXIFS($K$5:K152,$C$5:C152,C153),"Yes","No"))</f>
        <v/>
      </c>
      <c r="J153" s="32"/>
      <c r="K153" s="47" t="str">
        <f aca="false">IF(OR(E153="",F153=""),"",F153*(1+E153/30))</f>
        <v/>
      </c>
      <c r="L153" s="27" t="str">
        <f aca="false">IF(A153="","",INT((A153-StartDate)/7)+1)</f>
        <v/>
      </c>
      <c r="M153" s="27" t="str">
        <f aca="false">IF(A153="","",TEXT(A153,"mmm"))</f>
        <v/>
      </c>
      <c r="N153" s="47" t="str">
        <f aca="false">IFERROR(IF(ISNUMBER(SEARCH("squat",C153)),K153,""),"")</f>
        <v/>
      </c>
      <c r="O153" s="47" t="str">
        <f aca="false">IFERROR(IF(ISNUMBER(SEARCH("bench",C153)),K153,""),"")</f>
        <v/>
      </c>
      <c r="P153" s="47" t="str">
        <f aca="false">IFERROR(IF(ISNUMBER(SEARCH("deadlift",C153)),K153,""),"")</f>
        <v/>
      </c>
      <c r="V153" s="47" t="n">
        <f aca="false">MAX(V152,IF(N153="",0,N153))</f>
        <v>144.666666666667</v>
      </c>
      <c r="W153" s="47" t="n">
        <f aca="false">MAX(W152,IF(O153="",0,O153))</f>
        <v>99.1666666666667</v>
      </c>
      <c r="X153" s="47" t="n">
        <f aca="false">MAX(X152,IF(P153="",0,P153))</f>
        <v>175.666666666667</v>
      </c>
      <c r="Y153" s="47" t="n">
        <f aca="false">V153+W153+X153</f>
        <v>419.5</v>
      </c>
    </row>
    <row r="154" customFormat="false" ht="15" hidden="false" customHeight="false" outlineLevel="0" collapsed="false">
      <c r="A154" s="45"/>
      <c r="B154" s="31"/>
      <c r="C154" s="32"/>
      <c r="D154" s="31"/>
      <c r="E154" s="31"/>
      <c r="F154" s="29"/>
      <c r="G154" s="29" t="str">
        <f aca="false">IF(OR(D154="",E154="",F154=""),"",D154*E154*F154)</f>
        <v/>
      </c>
      <c r="H154" s="31"/>
      <c r="I154" s="36" t="str">
        <f aca="false">IF(OR(C154="",K154=""),"",IF(K154&gt;=_xlfn.MAXIFS($K$5:K153,$C$5:C153,C154),"Yes","No"))</f>
        <v/>
      </c>
      <c r="J154" s="32"/>
      <c r="K154" s="48" t="str">
        <f aca="false">IF(OR(E154="",F154=""),"",F154*(1+E154/30))</f>
        <v/>
      </c>
      <c r="L154" s="36" t="str">
        <f aca="false">IF(A154="","",INT((A154-StartDate)/7)+1)</f>
        <v/>
      </c>
      <c r="M154" s="36" t="str">
        <f aca="false">IF(A154="","",TEXT(A154,"mmm"))</f>
        <v/>
      </c>
      <c r="N154" s="48" t="str">
        <f aca="false">IFERROR(IF(ISNUMBER(SEARCH("squat",C154)),K154,""),"")</f>
        <v/>
      </c>
      <c r="O154" s="48" t="str">
        <f aca="false">IFERROR(IF(ISNUMBER(SEARCH("bench",C154)),K154,""),"")</f>
        <v/>
      </c>
      <c r="P154" s="48" t="str">
        <f aca="false">IFERROR(IF(ISNUMBER(SEARCH("deadlift",C154)),K154,""),"")</f>
        <v/>
      </c>
      <c r="V154" s="48" t="n">
        <f aca="false">MAX(V153,IF(N154="",0,N154))</f>
        <v>144.666666666667</v>
      </c>
      <c r="W154" s="48" t="n">
        <f aca="false">MAX(W153,IF(O154="",0,O154))</f>
        <v>99.1666666666667</v>
      </c>
      <c r="X154" s="48" t="n">
        <f aca="false">MAX(X153,IF(P154="",0,P154))</f>
        <v>175.666666666667</v>
      </c>
      <c r="Y154" s="48" t="n">
        <f aca="false">V154+W154+X154</f>
        <v>419.5</v>
      </c>
    </row>
    <row r="155" customFormat="false" ht="15" hidden="false" customHeight="false" outlineLevel="0" collapsed="false">
      <c r="A155" s="45"/>
      <c r="B155" s="31"/>
      <c r="C155" s="32"/>
      <c r="D155" s="31"/>
      <c r="E155" s="31"/>
      <c r="F155" s="29"/>
      <c r="G155" s="29" t="str">
        <f aca="false">IF(OR(D155="",E155="",F155=""),"",D155*E155*F155)</f>
        <v/>
      </c>
      <c r="H155" s="31"/>
      <c r="I155" s="46" t="str">
        <f aca="false">IF(OR(C155="",K155=""),"",IF(K155&gt;=_xlfn.MAXIFS($K$5:K154,$C$5:C154,C155),"Yes","No"))</f>
        <v/>
      </c>
      <c r="J155" s="32"/>
      <c r="K155" s="47" t="str">
        <f aca="false">IF(OR(E155="",F155=""),"",F155*(1+E155/30))</f>
        <v/>
      </c>
      <c r="L155" s="27" t="str">
        <f aca="false">IF(A155="","",INT((A155-StartDate)/7)+1)</f>
        <v/>
      </c>
      <c r="M155" s="27" t="str">
        <f aca="false">IF(A155="","",TEXT(A155,"mmm"))</f>
        <v/>
      </c>
      <c r="N155" s="47" t="str">
        <f aca="false">IFERROR(IF(ISNUMBER(SEARCH("squat",C155)),K155,""),"")</f>
        <v/>
      </c>
      <c r="O155" s="47" t="str">
        <f aca="false">IFERROR(IF(ISNUMBER(SEARCH("bench",C155)),K155,""),"")</f>
        <v/>
      </c>
      <c r="P155" s="47" t="str">
        <f aca="false">IFERROR(IF(ISNUMBER(SEARCH("deadlift",C155)),K155,""),"")</f>
        <v/>
      </c>
      <c r="V155" s="47" t="n">
        <f aca="false">MAX(V154,IF(N155="",0,N155))</f>
        <v>144.666666666667</v>
      </c>
      <c r="W155" s="47" t="n">
        <f aca="false">MAX(W154,IF(O155="",0,O155))</f>
        <v>99.1666666666667</v>
      </c>
      <c r="X155" s="47" t="n">
        <f aca="false">MAX(X154,IF(P155="",0,P155))</f>
        <v>175.666666666667</v>
      </c>
      <c r="Y155" s="47" t="n">
        <f aca="false">V155+W155+X155</f>
        <v>419.5</v>
      </c>
    </row>
    <row r="156" customFormat="false" ht="15" hidden="false" customHeight="false" outlineLevel="0" collapsed="false">
      <c r="A156" s="45"/>
      <c r="B156" s="31"/>
      <c r="C156" s="32"/>
      <c r="D156" s="31"/>
      <c r="E156" s="31"/>
      <c r="F156" s="29"/>
      <c r="G156" s="29" t="str">
        <f aca="false">IF(OR(D156="",E156="",F156=""),"",D156*E156*F156)</f>
        <v/>
      </c>
      <c r="H156" s="31"/>
      <c r="I156" s="36" t="str">
        <f aca="false">IF(OR(C156="",K156=""),"",IF(K156&gt;=_xlfn.MAXIFS($K$5:K155,$C$5:C155,C156),"Yes","No"))</f>
        <v/>
      </c>
      <c r="J156" s="32"/>
      <c r="K156" s="48" t="str">
        <f aca="false">IF(OR(E156="",F156=""),"",F156*(1+E156/30))</f>
        <v/>
      </c>
      <c r="L156" s="36" t="str">
        <f aca="false">IF(A156="","",INT((A156-StartDate)/7)+1)</f>
        <v/>
      </c>
      <c r="M156" s="36" t="str">
        <f aca="false">IF(A156="","",TEXT(A156,"mmm"))</f>
        <v/>
      </c>
      <c r="N156" s="48" t="str">
        <f aca="false">IFERROR(IF(ISNUMBER(SEARCH("squat",C156)),K156,""),"")</f>
        <v/>
      </c>
      <c r="O156" s="48" t="str">
        <f aca="false">IFERROR(IF(ISNUMBER(SEARCH("bench",C156)),K156,""),"")</f>
        <v/>
      </c>
      <c r="P156" s="48" t="str">
        <f aca="false">IFERROR(IF(ISNUMBER(SEARCH("deadlift",C156)),K156,""),"")</f>
        <v/>
      </c>
      <c r="V156" s="48" t="n">
        <f aca="false">MAX(V155,IF(N156="",0,N156))</f>
        <v>144.666666666667</v>
      </c>
      <c r="W156" s="48" t="n">
        <f aca="false">MAX(W155,IF(O156="",0,O156))</f>
        <v>99.1666666666667</v>
      </c>
      <c r="X156" s="48" t="n">
        <f aca="false">MAX(X155,IF(P156="",0,P156))</f>
        <v>175.666666666667</v>
      </c>
      <c r="Y156" s="48" t="n">
        <f aca="false">V156+W156+X156</f>
        <v>419.5</v>
      </c>
    </row>
    <row r="157" customFormat="false" ht="15" hidden="false" customHeight="false" outlineLevel="0" collapsed="false">
      <c r="A157" s="45"/>
      <c r="B157" s="31"/>
      <c r="C157" s="32"/>
      <c r="D157" s="31"/>
      <c r="E157" s="31"/>
      <c r="F157" s="29"/>
      <c r="G157" s="29" t="str">
        <f aca="false">IF(OR(D157="",E157="",F157=""),"",D157*E157*F157)</f>
        <v/>
      </c>
      <c r="H157" s="31"/>
      <c r="I157" s="46" t="str">
        <f aca="false">IF(OR(C157="",K157=""),"",IF(K157&gt;=_xlfn.MAXIFS($K$5:K156,$C$5:C156,C157),"Yes","No"))</f>
        <v/>
      </c>
      <c r="J157" s="32"/>
      <c r="K157" s="47" t="str">
        <f aca="false">IF(OR(E157="",F157=""),"",F157*(1+E157/30))</f>
        <v/>
      </c>
      <c r="L157" s="27" t="str">
        <f aca="false">IF(A157="","",INT((A157-StartDate)/7)+1)</f>
        <v/>
      </c>
      <c r="M157" s="27" t="str">
        <f aca="false">IF(A157="","",TEXT(A157,"mmm"))</f>
        <v/>
      </c>
      <c r="N157" s="47" t="str">
        <f aca="false">IFERROR(IF(ISNUMBER(SEARCH("squat",C157)),K157,""),"")</f>
        <v/>
      </c>
      <c r="O157" s="47" t="str">
        <f aca="false">IFERROR(IF(ISNUMBER(SEARCH("bench",C157)),K157,""),"")</f>
        <v/>
      </c>
      <c r="P157" s="47" t="str">
        <f aca="false">IFERROR(IF(ISNUMBER(SEARCH("deadlift",C157)),K157,""),"")</f>
        <v/>
      </c>
      <c r="V157" s="47" t="n">
        <f aca="false">MAX(V156,IF(N157="",0,N157))</f>
        <v>144.666666666667</v>
      </c>
      <c r="W157" s="47" t="n">
        <f aca="false">MAX(W156,IF(O157="",0,O157))</f>
        <v>99.1666666666667</v>
      </c>
      <c r="X157" s="47" t="n">
        <f aca="false">MAX(X156,IF(P157="",0,P157))</f>
        <v>175.666666666667</v>
      </c>
      <c r="Y157" s="47" t="n">
        <f aca="false">V157+W157+X157</f>
        <v>419.5</v>
      </c>
    </row>
    <row r="158" customFormat="false" ht="15" hidden="false" customHeight="false" outlineLevel="0" collapsed="false">
      <c r="A158" s="45"/>
      <c r="B158" s="31"/>
      <c r="C158" s="32"/>
      <c r="D158" s="31"/>
      <c r="E158" s="31"/>
      <c r="F158" s="29"/>
      <c r="G158" s="29" t="str">
        <f aca="false">IF(OR(D158="",E158="",F158=""),"",D158*E158*F158)</f>
        <v/>
      </c>
      <c r="H158" s="31"/>
      <c r="I158" s="36" t="str">
        <f aca="false">IF(OR(C158="",K158=""),"",IF(K158&gt;=_xlfn.MAXIFS($K$5:K157,$C$5:C157,C158),"Yes","No"))</f>
        <v/>
      </c>
      <c r="J158" s="32"/>
      <c r="K158" s="48" t="str">
        <f aca="false">IF(OR(E158="",F158=""),"",F158*(1+E158/30))</f>
        <v/>
      </c>
      <c r="L158" s="36" t="str">
        <f aca="false">IF(A158="","",INT((A158-StartDate)/7)+1)</f>
        <v/>
      </c>
      <c r="M158" s="36" t="str">
        <f aca="false">IF(A158="","",TEXT(A158,"mmm"))</f>
        <v/>
      </c>
      <c r="N158" s="48" t="str">
        <f aca="false">IFERROR(IF(ISNUMBER(SEARCH("squat",C158)),K158,""),"")</f>
        <v/>
      </c>
      <c r="O158" s="48" t="str">
        <f aca="false">IFERROR(IF(ISNUMBER(SEARCH("bench",C158)),K158,""),"")</f>
        <v/>
      </c>
      <c r="P158" s="48" t="str">
        <f aca="false">IFERROR(IF(ISNUMBER(SEARCH("deadlift",C158)),K158,""),"")</f>
        <v/>
      </c>
      <c r="V158" s="48" t="n">
        <f aca="false">MAX(V157,IF(N158="",0,N158))</f>
        <v>144.666666666667</v>
      </c>
      <c r="W158" s="48" t="n">
        <f aca="false">MAX(W157,IF(O158="",0,O158))</f>
        <v>99.1666666666667</v>
      </c>
      <c r="X158" s="48" t="n">
        <f aca="false">MAX(X157,IF(P158="",0,P158))</f>
        <v>175.666666666667</v>
      </c>
      <c r="Y158" s="48" t="n">
        <f aca="false">V158+W158+X158</f>
        <v>419.5</v>
      </c>
    </row>
    <row r="159" customFormat="false" ht="15" hidden="false" customHeight="false" outlineLevel="0" collapsed="false">
      <c r="A159" s="45"/>
      <c r="B159" s="31"/>
      <c r="C159" s="32"/>
      <c r="D159" s="31"/>
      <c r="E159" s="31"/>
      <c r="F159" s="29"/>
      <c r="G159" s="29" t="str">
        <f aca="false">IF(OR(D159="",E159="",F159=""),"",D159*E159*F159)</f>
        <v/>
      </c>
      <c r="H159" s="31"/>
      <c r="I159" s="46" t="str">
        <f aca="false">IF(OR(C159="",K159=""),"",IF(K159&gt;=_xlfn.MAXIFS($K$5:K158,$C$5:C158,C159),"Yes","No"))</f>
        <v/>
      </c>
      <c r="J159" s="32"/>
      <c r="K159" s="47" t="str">
        <f aca="false">IF(OR(E159="",F159=""),"",F159*(1+E159/30))</f>
        <v/>
      </c>
      <c r="L159" s="27" t="str">
        <f aca="false">IF(A159="","",INT((A159-StartDate)/7)+1)</f>
        <v/>
      </c>
      <c r="M159" s="27" t="str">
        <f aca="false">IF(A159="","",TEXT(A159,"mmm"))</f>
        <v/>
      </c>
      <c r="N159" s="47" t="str">
        <f aca="false">IFERROR(IF(ISNUMBER(SEARCH("squat",C159)),K159,""),"")</f>
        <v/>
      </c>
      <c r="O159" s="47" t="str">
        <f aca="false">IFERROR(IF(ISNUMBER(SEARCH("bench",C159)),K159,""),"")</f>
        <v/>
      </c>
      <c r="P159" s="47" t="str">
        <f aca="false">IFERROR(IF(ISNUMBER(SEARCH("deadlift",C159)),K159,""),"")</f>
        <v/>
      </c>
      <c r="V159" s="47" t="n">
        <f aca="false">MAX(V158,IF(N159="",0,N159))</f>
        <v>144.666666666667</v>
      </c>
      <c r="W159" s="47" t="n">
        <f aca="false">MAX(W158,IF(O159="",0,O159))</f>
        <v>99.1666666666667</v>
      </c>
      <c r="X159" s="47" t="n">
        <f aca="false">MAX(X158,IF(P159="",0,P159))</f>
        <v>175.666666666667</v>
      </c>
      <c r="Y159" s="47" t="n">
        <f aca="false">V159+W159+X159</f>
        <v>419.5</v>
      </c>
    </row>
    <row r="160" customFormat="false" ht="15" hidden="false" customHeight="false" outlineLevel="0" collapsed="false">
      <c r="A160" s="45"/>
      <c r="B160" s="31"/>
      <c r="C160" s="32"/>
      <c r="D160" s="31"/>
      <c r="E160" s="31"/>
      <c r="F160" s="29"/>
      <c r="G160" s="29" t="str">
        <f aca="false">IF(OR(D160="",E160="",F160=""),"",D160*E160*F160)</f>
        <v/>
      </c>
      <c r="H160" s="31"/>
      <c r="I160" s="36" t="str">
        <f aca="false">IF(OR(C160="",K160=""),"",IF(K160&gt;=_xlfn.MAXIFS($K$5:K159,$C$5:C159,C160),"Yes","No"))</f>
        <v/>
      </c>
      <c r="J160" s="32"/>
      <c r="K160" s="48" t="str">
        <f aca="false">IF(OR(E160="",F160=""),"",F160*(1+E160/30))</f>
        <v/>
      </c>
      <c r="L160" s="36" t="str">
        <f aca="false">IF(A160="","",INT((A160-StartDate)/7)+1)</f>
        <v/>
      </c>
      <c r="M160" s="36" t="str">
        <f aca="false">IF(A160="","",TEXT(A160,"mmm"))</f>
        <v/>
      </c>
      <c r="N160" s="48" t="str">
        <f aca="false">IFERROR(IF(ISNUMBER(SEARCH("squat",C160)),K160,""),"")</f>
        <v/>
      </c>
      <c r="O160" s="48" t="str">
        <f aca="false">IFERROR(IF(ISNUMBER(SEARCH("bench",C160)),K160,""),"")</f>
        <v/>
      </c>
      <c r="P160" s="48" t="str">
        <f aca="false">IFERROR(IF(ISNUMBER(SEARCH("deadlift",C160)),K160,""),"")</f>
        <v/>
      </c>
      <c r="V160" s="48" t="n">
        <f aca="false">MAX(V159,IF(N160="",0,N160))</f>
        <v>144.666666666667</v>
      </c>
      <c r="W160" s="48" t="n">
        <f aca="false">MAX(W159,IF(O160="",0,O160))</f>
        <v>99.1666666666667</v>
      </c>
      <c r="X160" s="48" t="n">
        <f aca="false">MAX(X159,IF(P160="",0,P160))</f>
        <v>175.666666666667</v>
      </c>
      <c r="Y160" s="48" t="n">
        <f aca="false">V160+W160+X160</f>
        <v>419.5</v>
      </c>
    </row>
    <row r="161" customFormat="false" ht="15" hidden="false" customHeight="false" outlineLevel="0" collapsed="false">
      <c r="A161" s="45"/>
      <c r="B161" s="31"/>
      <c r="C161" s="32"/>
      <c r="D161" s="31"/>
      <c r="E161" s="31"/>
      <c r="F161" s="29"/>
      <c r="G161" s="29" t="str">
        <f aca="false">IF(OR(D161="",E161="",F161=""),"",D161*E161*F161)</f>
        <v/>
      </c>
      <c r="H161" s="31"/>
      <c r="I161" s="46" t="str">
        <f aca="false">IF(OR(C161="",K161=""),"",IF(K161&gt;=_xlfn.MAXIFS($K$5:K160,$C$5:C160,C161),"Yes","No"))</f>
        <v/>
      </c>
      <c r="J161" s="32"/>
      <c r="K161" s="47" t="str">
        <f aca="false">IF(OR(E161="",F161=""),"",F161*(1+E161/30))</f>
        <v/>
      </c>
      <c r="L161" s="27" t="str">
        <f aca="false">IF(A161="","",INT((A161-StartDate)/7)+1)</f>
        <v/>
      </c>
      <c r="M161" s="27" t="str">
        <f aca="false">IF(A161="","",TEXT(A161,"mmm"))</f>
        <v/>
      </c>
      <c r="N161" s="47" t="str">
        <f aca="false">IFERROR(IF(ISNUMBER(SEARCH("squat",C161)),K161,""),"")</f>
        <v/>
      </c>
      <c r="O161" s="47" t="str">
        <f aca="false">IFERROR(IF(ISNUMBER(SEARCH("bench",C161)),K161,""),"")</f>
        <v/>
      </c>
      <c r="P161" s="47" t="str">
        <f aca="false">IFERROR(IF(ISNUMBER(SEARCH("deadlift",C161)),K161,""),"")</f>
        <v/>
      </c>
      <c r="V161" s="47" t="n">
        <f aca="false">MAX(V160,IF(N161="",0,N161))</f>
        <v>144.666666666667</v>
      </c>
      <c r="W161" s="47" t="n">
        <f aca="false">MAX(W160,IF(O161="",0,O161))</f>
        <v>99.1666666666667</v>
      </c>
      <c r="X161" s="47" t="n">
        <f aca="false">MAX(X160,IF(P161="",0,P161))</f>
        <v>175.666666666667</v>
      </c>
      <c r="Y161" s="47" t="n">
        <f aca="false">V161+W161+X161</f>
        <v>419.5</v>
      </c>
    </row>
    <row r="162" customFormat="false" ht="15" hidden="false" customHeight="false" outlineLevel="0" collapsed="false">
      <c r="A162" s="45"/>
      <c r="B162" s="31"/>
      <c r="C162" s="32"/>
      <c r="D162" s="31"/>
      <c r="E162" s="31"/>
      <c r="F162" s="29"/>
      <c r="G162" s="29" t="str">
        <f aca="false">IF(OR(D162="",E162="",F162=""),"",D162*E162*F162)</f>
        <v/>
      </c>
      <c r="H162" s="31"/>
      <c r="I162" s="36" t="str">
        <f aca="false">IF(OR(C162="",K162=""),"",IF(K162&gt;=_xlfn.MAXIFS($K$5:K161,$C$5:C161,C162),"Yes","No"))</f>
        <v/>
      </c>
      <c r="J162" s="32"/>
      <c r="K162" s="48" t="str">
        <f aca="false">IF(OR(E162="",F162=""),"",F162*(1+E162/30))</f>
        <v/>
      </c>
      <c r="L162" s="36" t="str">
        <f aca="false">IF(A162="","",INT((A162-StartDate)/7)+1)</f>
        <v/>
      </c>
      <c r="M162" s="36" t="str">
        <f aca="false">IF(A162="","",TEXT(A162,"mmm"))</f>
        <v/>
      </c>
      <c r="N162" s="48" t="str">
        <f aca="false">IFERROR(IF(ISNUMBER(SEARCH("squat",C162)),K162,""),"")</f>
        <v/>
      </c>
      <c r="O162" s="48" t="str">
        <f aca="false">IFERROR(IF(ISNUMBER(SEARCH("bench",C162)),K162,""),"")</f>
        <v/>
      </c>
      <c r="P162" s="48" t="str">
        <f aca="false">IFERROR(IF(ISNUMBER(SEARCH("deadlift",C162)),K162,""),"")</f>
        <v/>
      </c>
      <c r="V162" s="48" t="n">
        <f aca="false">MAX(V161,IF(N162="",0,N162))</f>
        <v>144.666666666667</v>
      </c>
      <c r="W162" s="48" t="n">
        <f aca="false">MAX(W161,IF(O162="",0,O162))</f>
        <v>99.1666666666667</v>
      </c>
      <c r="X162" s="48" t="n">
        <f aca="false">MAX(X161,IF(P162="",0,P162))</f>
        <v>175.666666666667</v>
      </c>
      <c r="Y162" s="48" t="n">
        <f aca="false">V162+W162+X162</f>
        <v>419.5</v>
      </c>
    </row>
    <row r="163" customFormat="false" ht="15" hidden="false" customHeight="false" outlineLevel="0" collapsed="false">
      <c r="A163" s="45"/>
      <c r="B163" s="31"/>
      <c r="C163" s="32"/>
      <c r="D163" s="31"/>
      <c r="E163" s="31"/>
      <c r="F163" s="29"/>
      <c r="G163" s="29" t="str">
        <f aca="false">IF(OR(D163="",E163="",F163=""),"",D163*E163*F163)</f>
        <v/>
      </c>
      <c r="H163" s="31"/>
      <c r="I163" s="46" t="str">
        <f aca="false">IF(OR(C163="",K163=""),"",IF(K163&gt;=_xlfn.MAXIFS($K$5:K162,$C$5:C162,C163),"Yes","No"))</f>
        <v/>
      </c>
      <c r="J163" s="32"/>
      <c r="K163" s="47" t="str">
        <f aca="false">IF(OR(E163="",F163=""),"",F163*(1+E163/30))</f>
        <v/>
      </c>
      <c r="L163" s="27" t="str">
        <f aca="false">IF(A163="","",INT((A163-StartDate)/7)+1)</f>
        <v/>
      </c>
      <c r="M163" s="27" t="str">
        <f aca="false">IF(A163="","",TEXT(A163,"mmm"))</f>
        <v/>
      </c>
      <c r="N163" s="47" t="str">
        <f aca="false">IFERROR(IF(ISNUMBER(SEARCH("squat",C163)),K163,""),"")</f>
        <v/>
      </c>
      <c r="O163" s="47" t="str">
        <f aca="false">IFERROR(IF(ISNUMBER(SEARCH("bench",C163)),K163,""),"")</f>
        <v/>
      </c>
      <c r="P163" s="47" t="str">
        <f aca="false">IFERROR(IF(ISNUMBER(SEARCH("deadlift",C163)),K163,""),"")</f>
        <v/>
      </c>
      <c r="V163" s="47" t="n">
        <f aca="false">MAX(V162,IF(N163="",0,N163))</f>
        <v>144.666666666667</v>
      </c>
      <c r="W163" s="47" t="n">
        <f aca="false">MAX(W162,IF(O163="",0,O163))</f>
        <v>99.1666666666667</v>
      </c>
      <c r="X163" s="47" t="n">
        <f aca="false">MAX(X162,IF(P163="",0,P163))</f>
        <v>175.666666666667</v>
      </c>
      <c r="Y163" s="47" t="n">
        <f aca="false">V163+W163+X163</f>
        <v>419.5</v>
      </c>
    </row>
    <row r="164" customFormat="false" ht="15" hidden="false" customHeight="false" outlineLevel="0" collapsed="false">
      <c r="A164" s="45"/>
      <c r="B164" s="31"/>
      <c r="C164" s="32"/>
      <c r="D164" s="31"/>
      <c r="E164" s="31"/>
      <c r="F164" s="29"/>
      <c r="G164" s="29" t="str">
        <f aca="false">IF(OR(D164="",E164="",F164=""),"",D164*E164*F164)</f>
        <v/>
      </c>
      <c r="H164" s="31"/>
      <c r="I164" s="36" t="str">
        <f aca="false">IF(OR(C164="",K164=""),"",IF(K164&gt;=_xlfn.MAXIFS($K$5:K163,$C$5:C163,C164),"Yes","No"))</f>
        <v/>
      </c>
      <c r="J164" s="32"/>
      <c r="K164" s="48" t="str">
        <f aca="false">IF(OR(E164="",F164=""),"",F164*(1+E164/30))</f>
        <v/>
      </c>
      <c r="L164" s="36" t="str">
        <f aca="false">IF(A164="","",INT((A164-StartDate)/7)+1)</f>
        <v/>
      </c>
      <c r="M164" s="36" t="str">
        <f aca="false">IF(A164="","",TEXT(A164,"mmm"))</f>
        <v/>
      </c>
      <c r="N164" s="48" t="str">
        <f aca="false">IFERROR(IF(ISNUMBER(SEARCH("squat",C164)),K164,""),"")</f>
        <v/>
      </c>
      <c r="O164" s="48" t="str">
        <f aca="false">IFERROR(IF(ISNUMBER(SEARCH("bench",C164)),K164,""),"")</f>
        <v/>
      </c>
      <c r="P164" s="48" t="str">
        <f aca="false">IFERROR(IF(ISNUMBER(SEARCH("deadlift",C164)),K164,""),"")</f>
        <v/>
      </c>
      <c r="V164" s="48" t="n">
        <f aca="false">MAX(V163,IF(N164="",0,N164))</f>
        <v>144.666666666667</v>
      </c>
      <c r="W164" s="48" t="n">
        <f aca="false">MAX(W163,IF(O164="",0,O164))</f>
        <v>99.1666666666667</v>
      </c>
      <c r="X164" s="48" t="n">
        <f aca="false">MAX(X163,IF(P164="",0,P164))</f>
        <v>175.666666666667</v>
      </c>
      <c r="Y164" s="48" t="n">
        <f aca="false">V164+W164+X164</f>
        <v>419.5</v>
      </c>
    </row>
    <row r="165" customFormat="false" ht="15" hidden="false" customHeight="false" outlineLevel="0" collapsed="false">
      <c r="A165" s="45"/>
      <c r="B165" s="31"/>
      <c r="C165" s="32"/>
      <c r="D165" s="31"/>
      <c r="E165" s="31"/>
      <c r="F165" s="29"/>
      <c r="G165" s="29" t="str">
        <f aca="false">IF(OR(D165="",E165="",F165=""),"",D165*E165*F165)</f>
        <v/>
      </c>
      <c r="H165" s="31"/>
      <c r="I165" s="46" t="str">
        <f aca="false">IF(OR(C165="",K165=""),"",IF(K165&gt;=_xlfn.MAXIFS($K$5:K164,$C$5:C164,C165),"Yes","No"))</f>
        <v/>
      </c>
      <c r="J165" s="32"/>
      <c r="K165" s="47" t="str">
        <f aca="false">IF(OR(E165="",F165=""),"",F165*(1+E165/30))</f>
        <v/>
      </c>
      <c r="L165" s="27" t="str">
        <f aca="false">IF(A165="","",INT((A165-StartDate)/7)+1)</f>
        <v/>
      </c>
      <c r="M165" s="27" t="str">
        <f aca="false">IF(A165="","",TEXT(A165,"mmm"))</f>
        <v/>
      </c>
      <c r="N165" s="47" t="str">
        <f aca="false">IFERROR(IF(ISNUMBER(SEARCH("squat",C165)),K165,""),"")</f>
        <v/>
      </c>
      <c r="O165" s="47" t="str">
        <f aca="false">IFERROR(IF(ISNUMBER(SEARCH("bench",C165)),K165,""),"")</f>
        <v/>
      </c>
      <c r="P165" s="47" t="str">
        <f aca="false">IFERROR(IF(ISNUMBER(SEARCH("deadlift",C165)),K165,""),"")</f>
        <v/>
      </c>
      <c r="V165" s="47" t="n">
        <f aca="false">MAX(V164,IF(N165="",0,N165))</f>
        <v>144.666666666667</v>
      </c>
      <c r="W165" s="47" t="n">
        <f aca="false">MAX(W164,IF(O165="",0,O165))</f>
        <v>99.1666666666667</v>
      </c>
      <c r="X165" s="47" t="n">
        <f aca="false">MAX(X164,IF(P165="",0,P165))</f>
        <v>175.666666666667</v>
      </c>
      <c r="Y165" s="47" t="n">
        <f aca="false">V165+W165+X165</f>
        <v>419.5</v>
      </c>
    </row>
    <row r="166" customFormat="false" ht="15" hidden="false" customHeight="false" outlineLevel="0" collapsed="false">
      <c r="A166" s="45"/>
      <c r="B166" s="31"/>
      <c r="C166" s="32"/>
      <c r="D166" s="31"/>
      <c r="E166" s="31"/>
      <c r="F166" s="29"/>
      <c r="G166" s="29" t="str">
        <f aca="false">IF(OR(D166="",E166="",F166=""),"",D166*E166*F166)</f>
        <v/>
      </c>
      <c r="H166" s="31"/>
      <c r="I166" s="36" t="str">
        <f aca="false">IF(OR(C166="",K166=""),"",IF(K166&gt;=_xlfn.MAXIFS($K$5:K165,$C$5:C165,C166),"Yes","No"))</f>
        <v/>
      </c>
      <c r="J166" s="32"/>
      <c r="K166" s="48" t="str">
        <f aca="false">IF(OR(E166="",F166=""),"",F166*(1+E166/30))</f>
        <v/>
      </c>
      <c r="L166" s="36" t="str">
        <f aca="false">IF(A166="","",INT((A166-StartDate)/7)+1)</f>
        <v/>
      </c>
      <c r="M166" s="36" t="str">
        <f aca="false">IF(A166="","",TEXT(A166,"mmm"))</f>
        <v/>
      </c>
      <c r="N166" s="48" t="str">
        <f aca="false">IFERROR(IF(ISNUMBER(SEARCH("squat",C166)),K166,""),"")</f>
        <v/>
      </c>
      <c r="O166" s="48" t="str">
        <f aca="false">IFERROR(IF(ISNUMBER(SEARCH("bench",C166)),K166,""),"")</f>
        <v/>
      </c>
      <c r="P166" s="48" t="str">
        <f aca="false">IFERROR(IF(ISNUMBER(SEARCH("deadlift",C166)),K166,""),"")</f>
        <v/>
      </c>
      <c r="V166" s="48" t="n">
        <f aca="false">MAX(V165,IF(N166="",0,N166))</f>
        <v>144.666666666667</v>
      </c>
      <c r="W166" s="48" t="n">
        <f aca="false">MAX(W165,IF(O166="",0,O166))</f>
        <v>99.1666666666667</v>
      </c>
      <c r="X166" s="48" t="n">
        <f aca="false">MAX(X165,IF(P166="",0,P166))</f>
        <v>175.666666666667</v>
      </c>
      <c r="Y166" s="48" t="n">
        <f aca="false">V166+W166+X166</f>
        <v>419.5</v>
      </c>
    </row>
    <row r="167" customFormat="false" ht="15" hidden="false" customHeight="false" outlineLevel="0" collapsed="false">
      <c r="A167" s="45"/>
      <c r="B167" s="31"/>
      <c r="C167" s="32"/>
      <c r="D167" s="31"/>
      <c r="E167" s="31"/>
      <c r="F167" s="29"/>
      <c r="G167" s="29" t="str">
        <f aca="false">IF(OR(D167="",E167="",F167=""),"",D167*E167*F167)</f>
        <v/>
      </c>
      <c r="H167" s="31"/>
      <c r="I167" s="46" t="str">
        <f aca="false">IF(OR(C167="",K167=""),"",IF(K167&gt;=_xlfn.MAXIFS($K$5:K166,$C$5:C166,C167),"Yes","No"))</f>
        <v/>
      </c>
      <c r="J167" s="32"/>
      <c r="K167" s="47" t="str">
        <f aca="false">IF(OR(E167="",F167=""),"",F167*(1+E167/30))</f>
        <v/>
      </c>
      <c r="L167" s="27" t="str">
        <f aca="false">IF(A167="","",INT((A167-StartDate)/7)+1)</f>
        <v/>
      </c>
      <c r="M167" s="27" t="str">
        <f aca="false">IF(A167="","",TEXT(A167,"mmm"))</f>
        <v/>
      </c>
      <c r="N167" s="47" t="str">
        <f aca="false">IFERROR(IF(ISNUMBER(SEARCH("squat",C167)),K167,""),"")</f>
        <v/>
      </c>
      <c r="O167" s="47" t="str">
        <f aca="false">IFERROR(IF(ISNUMBER(SEARCH("bench",C167)),K167,""),"")</f>
        <v/>
      </c>
      <c r="P167" s="47" t="str">
        <f aca="false">IFERROR(IF(ISNUMBER(SEARCH("deadlift",C167)),K167,""),"")</f>
        <v/>
      </c>
      <c r="V167" s="47" t="n">
        <f aca="false">MAX(V166,IF(N167="",0,N167))</f>
        <v>144.666666666667</v>
      </c>
      <c r="W167" s="47" t="n">
        <f aca="false">MAX(W166,IF(O167="",0,O167))</f>
        <v>99.1666666666667</v>
      </c>
      <c r="X167" s="47" t="n">
        <f aca="false">MAX(X166,IF(P167="",0,P167))</f>
        <v>175.666666666667</v>
      </c>
      <c r="Y167" s="47" t="n">
        <f aca="false">V167+W167+X167</f>
        <v>419.5</v>
      </c>
    </row>
    <row r="168" customFormat="false" ht="15" hidden="false" customHeight="false" outlineLevel="0" collapsed="false">
      <c r="A168" s="45"/>
      <c r="B168" s="31"/>
      <c r="C168" s="32"/>
      <c r="D168" s="31"/>
      <c r="E168" s="31"/>
      <c r="F168" s="29"/>
      <c r="G168" s="29" t="str">
        <f aca="false">IF(OR(D168="",E168="",F168=""),"",D168*E168*F168)</f>
        <v/>
      </c>
      <c r="H168" s="31"/>
      <c r="I168" s="36" t="str">
        <f aca="false">IF(OR(C168="",K168=""),"",IF(K168&gt;=_xlfn.MAXIFS($K$5:K167,$C$5:C167,C168),"Yes","No"))</f>
        <v/>
      </c>
      <c r="J168" s="32"/>
      <c r="K168" s="48" t="str">
        <f aca="false">IF(OR(E168="",F168=""),"",F168*(1+E168/30))</f>
        <v/>
      </c>
      <c r="L168" s="36" t="str">
        <f aca="false">IF(A168="","",INT((A168-StartDate)/7)+1)</f>
        <v/>
      </c>
      <c r="M168" s="36" t="str">
        <f aca="false">IF(A168="","",TEXT(A168,"mmm"))</f>
        <v/>
      </c>
      <c r="N168" s="48" t="str">
        <f aca="false">IFERROR(IF(ISNUMBER(SEARCH("squat",C168)),K168,""),"")</f>
        <v/>
      </c>
      <c r="O168" s="48" t="str">
        <f aca="false">IFERROR(IF(ISNUMBER(SEARCH("bench",C168)),K168,""),"")</f>
        <v/>
      </c>
      <c r="P168" s="48" t="str">
        <f aca="false">IFERROR(IF(ISNUMBER(SEARCH("deadlift",C168)),K168,""),"")</f>
        <v/>
      </c>
      <c r="V168" s="48" t="n">
        <f aca="false">MAX(V167,IF(N168="",0,N168))</f>
        <v>144.666666666667</v>
      </c>
      <c r="W168" s="48" t="n">
        <f aca="false">MAX(W167,IF(O168="",0,O168))</f>
        <v>99.1666666666667</v>
      </c>
      <c r="X168" s="48" t="n">
        <f aca="false">MAX(X167,IF(P168="",0,P168))</f>
        <v>175.666666666667</v>
      </c>
      <c r="Y168" s="48" t="n">
        <f aca="false">V168+W168+X168</f>
        <v>419.5</v>
      </c>
    </row>
    <row r="169" customFormat="false" ht="15" hidden="false" customHeight="false" outlineLevel="0" collapsed="false">
      <c r="A169" s="45"/>
      <c r="B169" s="31"/>
      <c r="C169" s="32"/>
      <c r="D169" s="31"/>
      <c r="E169" s="31"/>
      <c r="F169" s="29"/>
      <c r="G169" s="29" t="str">
        <f aca="false">IF(OR(D169="",E169="",F169=""),"",D169*E169*F169)</f>
        <v/>
      </c>
      <c r="H169" s="31"/>
      <c r="I169" s="46" t="str">
        <f aca="false">IF(OR(C169="",K169=""),"",IF(K169&gt;=_xlfn.MAXIFS($K$5:K168,$C$5:C168,C169),"Yes","No"))</f>
        <v/>
      </c>
      <c r="J169" s="32"/>
      <c r="K169" s="47" t="str">
        <f aca="false">IF(OR(E169="",F169=""),"",F169*(1+E169/30))</f>
        <v/>
      </c>
      <c r="L169" s="27" t="str">
        <f aca="false">IF(A169="","",INT((A169-StartDate)/7)+1)</f>
        <v/>
      </c>
      <c r="M169" s="27" t="str">
        <f aca="false">IF(A169="","",TEXT(A169,"mmm"))</f>
        <v/>
      </c>
      <c r="N169" s="47" t="str">
        <f aca="false">IFERROR(IF(ISNUMBER(SEARCH("squat",C169)),K169,""),"")</f>
        <v/>
      </c>
      <c r="O169" s="47" t="str">
        <f aca="false">IFERROR(IF(ISNUMBER(SEARCH("bench",C169)),K169,""),"")</f>
        <v/>
      </c>
      <c r="P169" s="47" t="str">
        <f aca="false">IFERROR(IF(ISNUMBER(SEARCH("deadlift",C169)),K169,""),"")</f>
        <v/>
      </c>
      <c r="V169" s="47" t="n">
        <f aca="false">MAX(V168,IF(N169="",0,N169))</f>
        <v>144.666666666667</v>
      </c>
      <c r="W169" s="47" t="n">
        <f aca="false">MAX(W168,IF(O169="",0,O169))</f>
        <v>99.1666666666667</v>
      </c>
      <c r="X169" s="47" t="n">
        <f aca="false">MAX(X168,IF(P169="",0,P169))</f>
        <v>175.666666666667</v>
      </c>
      <c r="Y169" s="47" t="n">
        <f aca="false">V169+W169+X169</f>
        <v>419.5</v>
      </c>
    </row>
    <row r="170" customFormat="false" ht="15" hidden="false" customHeight="false" outlineLevel="0" collapsed="false">
      <c r="A170" s="45"/>
      <c r="B170" s="31"/>
      <c r="C170" s="32"/>
      <c r="D170" s="31"/>
      <c r="E170" s="31"/>
      <c r="F170" s="29"/>
      <c r="G170" s="29" t="str">
        <f aca="false">IF(OR(D170="",E170="",F170=""),"",D170*E170*F170)</f>
        <v/>
      </c>
      <c r="H170" s="31"/>
      <c r="I170" s="36" t="str">
        <f aca="false">IF(OR(C170="",K170=""),"",IF(K170&gt;=_xlfn.MAXIFS($K$5:K169,$C$5:C169,C170),"Yes","No"))</f>
        <v/>
      </c>
      <c r="J170" s="32"/>
      <c r="K170" s="48" t="str">
        <f aca="false">IF(OR(E170="",F170=""),"",F170*(1+E170/30))</f>
        <v/>
      </c>
      <c r="L170" s="36" t="str">
        <f aca="false">IF(A170="","",INT((A170-StartDate)/7)+1)</f>
        <v/>
      </c>
      <c r="M170" s="36" t="str">
        <f aca="false">IF(A170="","",TEXT(A170,"mmm"))</f>
        <v/>
      </c>
      <c r="N170" s="48" t="str">
        <f aca="false">IFERROR(IF(ISNUMBER(SEARCH("squat",C170)),K170,""),"")</f>
        <v/>
      </c>
      <c r="O170" s="48" t="str">
        <f aca="false">IFERROR(IF(ISNUMBER(SEARCH("bench",C170)),K170,""),"")</f>
        <v/>
      </c>
      <c r="P170" s="48" t="str">
        <f aca="false">IFERROR(IF(ISNUMBER(SEARCH("deadlift",C170)),K170,""),"")</f>
        <v/>
      </c>
      <c r="V170" s="48" t="n">
        <f aca="false">MAX(V169,IF(N170="",0,N170))</f>
        <v>144.666666666667</v>
      </c>
      <c r="W170" s="48" t="n">
        <f aca="false">MAX(W169,IF(O170="",0,O170))</f>
        <v>99.1666666666667</v>
      </c>
      <c r="X170" s="48" t="n">
        <f aca="false">MAX(X169,IF(P170="",0,P170))</f>
        <v>175.666666666667</v>
      </c>
      <c r="Y170" s="48" t="n">
        <f aca="false">V170+W170+X170</f>
        <v>419.5</v>
      </c>
    </row>
    <row r="171" customFormat="false" ht="15" hidden="false" customHeight="false" outlineLevel="0" collapsed="false">
      <c r="A171" s="45"/>
      <c r="B171" s="31"/>
      <c r="C171" s="32"/>
      <c r="D171" s="31"/>
      <c r="E171" s="31"/>
      <c r="F171" s="29"/>
      <c r="G171" s="29" t="str">
        <f aca="false">IF(OR(D171="",E171="",F171=""),"",D171*E171*F171)</f>
        <v/>
      </c>
      <c r="H171" s="31"/>
      <c r="I171" s="46" t="str">
        <f aca="false">IF(OR(C171="",K171=""),"",IF(K171&gt;=_xlfn.MAXIFS($K$5:K170,$C$5:C170,C171),"Yes","No"))</f>
        <v/>
      </c>
      <c r="J171" s="32"/>
      <c r="K171" s="47" t="str">
        <f aca="false">IF(OR(E171="",F171=""),"",F171*(1+E171/30))</f>
        <v/>
      </c>
      <c r="L171" s="27" t="str">
        <f aca="false">IF(A171="","",INT((A171-StartDate)/7)+1)</f>
        <v/>
      </c>
      <c r="M171" s="27" t="str">
        <f aca="false">IF(A171="","",TEXT(A171,"mmm"))</f>
        <v/>
      </c>
      <c r="N171" s="47" t="str">
        <f aca="false">IFERROR(IF(ISNUMBER(SEARCH("squat",C171)),K171,""),"")</f>
        <v/>
      </c>
      <c r="O171" s="47" t="str">
        <f aca="false">IFERROR(IF(ISNUMBER(SEARCH("bench",C171)),K171,""),"")</f>
        <v/>
      </c>
      <c r="P171" s="47" t="str">
        <f aca="false">IFERROR(IF(ISNUMBER(SEARCH("deadlift",C171)),K171,""),"")</f>
        <v/>
      </c>
      <c r="V171" s="47" t="n">
        <f aca="false">MAX(V170,IF(N171="",0,N171))</f>
        <v>144.666666666667</v>
      </c>
      <c r="W171" s="47" t="n">
        <f aca="false">MAX(W170,IF(O171="",0,O171))</f>
        <v>99.1666666666667</v>
      </c>
      <c r="X171" s="47" t="n">
        <f aca="false">MAX(X170,IF(P171="",0,P171))</f>
        <v>175.666666666667</v>
      </c>
      <c r="Y171" s="47" t="n">
        <f aca="false">V171+W171+X171</f>
        <v>419.5</v>
      </c>
    </row>
    <row r="172" customFormat="false" ht="15" hidden="false" customHeight="false" outlineLevel="0" collapsed="false">
      <c r="A172" s="45"/>
      <c r="B172" s="31"/>
      <c r="C172" s="32"/>
      <c r="D172" s="31"/>
      <c r="E172" s="31"/>
      <c r="F172" s="29"/>
      <c r="G172" s="29" t="str">
        <f aca="false">IF(OR(D172="",E172="",F172=""),"",D172*E172*F172)</f>
        <v/>
      </c>
      <c r="H172" s="31"/>
      <c r="I172" s="36" t="str">
        <f aca="false">IF(OR(C172="",K172=""),"",IF(K172&gt;=_xlfn.MAXIFS($K$5:K171,$C$5:C171,C172),"Yes","No"))</f>
        <v/>
      </c>
      <c r="J172" s="32"/>
      <c r="K172" s="48" t="str">
        <f aca="false">IF(OR(E172="",F172=""),"",F172*(1+E172/30))</f>
        <v/>
      </c>
      <c r="L172" s="36" t="str">
        <f aca="false">IF(A172="","",INT((A172-StartDate)/7)+1)</f>
        <v/>
      </c>
      <c r="M172" s="36" t="str">
        <f aca="false">IF(A172="","",TEXT(A172,"mmm"))</f>
        <v/>
      </c>
      <c r="N172" s="48" t="str">
        <f aca="false">IFERROR(IF(ISNUMBER(SEARCH("squat",C172)),K172,""),"")</f>
        <v/>
      </c>
      <c r="O172" s="48" t="str">
        <f aca="false">IFERROR(IF(ISNUMBER(SEARCH("bench",C172)),K172,""),"")</f>
        <v/>
      </c>
      <c r="P172" s="48" t="str">
        <f aca="false">IFERROR(IF(ISNUMBER(SEARCH("deadlift",C172)),K172,""),"")</f>
        <v/>
      </c>
      <c r="V172" s="48" t="n">
        <f aca="false">MAX(V171,IF(N172="",0,N172))</f>
        <v>144.666666666667</v>
      </c>
      <c r="W172" s="48" t="n">
        <f aca="false">MAX(W171,IF(O172="",0,O172))</f>
        <v>99.1666666666667</v>
      </c>
      <c r="X172" s="48" t="n">
        <f aca="false">MAX(X171,IF(P172="",0,P172))</f>
        <v>175.666666666667</v>
      </c>
      <c r="Y172" s="48" t="n">
        <f aca="false">V172+W172+X172</f>
        <v>419.5</v>
      </c>
    </row>
    <row r="173" customFormat="false" ht="15" hidden="false" customHeight="false" outlineLevel="0" collapsed="false">
      <c r="A173" s="45"/>
      <c r="B173" s="31"/>
      <c r="C173" s="32"/>
      <c r="D173" s="31"/>
      <c r="E173" s="31"/>
      <c r="F173" s="29"/>
      <c r="G173" s="29" t="str">
        <f aca="false">IF(OR(D173="",E173="",F173=""),"",D173*E173*F173)</f>
        <v/>
      </c>
      <c r="H173" s="31"/>
      <c r="I173" s="46" t="str">
        <f aca="false">IF(OR(C173="",K173=""),"",IF(K173&gt;=_xlfn.MAXIFS($K$5:K172,$C$5:C172,C173),"Yes","No"))</f>
        <v/>
      </c>
      <c r="J173" s="32"/>
      <c r="K173" s="47" t="str">
        <f aca="false">IF(OR(E173="",F173=""),"",F173*(1+E173/30))</f>
        <v/>
      </c>
      <c r="L173" s="27" t="str">
        <f aca="false">IF(A173="","",INT((A173-StartDate)/7)+1)</f>
        <v/>
      </c>
      <c r="M173" s="27" t="str">
        <f aca="false">IF(A173="","",TEXT(A173,"mmm"))</f>
        <v/>
      </c>
      <c r="N173" s="47" t="str">
        <f aca="false">IFERROR(IF(ISNUMBER(SEARCH("squat",C173)),K173,""),"")</f>
        <v/>
      </c>
      <c r="O173" s="47" t="str">
        <f aca="false">IFERROR(IF(ISNUMBER(SEARCH("bench",C173)),K173,""),"")</f>
        <v/>
      </c>
      <c r="P173" s="47" t="str">
        <f aca="false">IFERROR(IF(ISNUMBER(SEARCH("deadlift",C173)),K173,""),"")</f>
        <v/>
      </c>
      <c r="V173" s="47" t="n">
        <f aca="false">MAX(V172,IF(N173="",0,N173))</f>
        <v>144.666666666667</v>
      </c>
      <c r="W173" s="47" t="n">
        <f aca="false">MAX(W172,IF(O173="",0,O173))</f>
        <v>99.1666666666667</v>
      </c>
      <c r="X173" s="47" t="n">
        <f aca="false">MAX(X172,IF(P173="",0,P173))</f>
        <v>175.666666666667</v>
      </c>
      <c r="Y173" s="47" t="n">
        <f aca="false">V173+W173+X173</f>
        <v>419.5</v>
      </c>
    </row>
    <row r="174" customFormat="false" ht="15" hidden="false" customHeight="false" outlineLevel="0" collapsed="false">
      <c r="A174" s="45"/>
      <c r="B174" s="31"/>
      <c r="C174" s="32"/>
      <c r="D174" s="31"/>
      <c r="E174" s="31"/>
      <c r="F174" s="29"/>
      <c r="G174" s="29" t="str">
        <f aca="false">IF(OR(D174="",E174="",F174=""),"",D174*E174*F174)</f>
        <v/>
      </c>
      <c r="H174" s="31"/>
      <c r="I174" s="36" t="str">
        <f aca="false">IF(OR(C174="",K174=""),"",IF(K174&gt;=_xlfn.MAXIFS($K$5:K173,$C$5:C173,C174),"Yes","No"))</f>
        <v/>
      </c>
      <c r="J174" s="32"/>
      <c r="K174" s="48" t="str">
        <f aca="false">IF(OR(E174="",F174=""),"",F174*(1+E174/30))</f>
        <v/>
      </c>
      <c r="L174" s="36" t="str">
        <f aca="false">IF(A174="","",INT((A174-StartDate)/7)+1)</f>
        <v/>
      </c>
      <c r="M174" s="36" t="str">
        <f aca="false">IF(A174="","",TEXT(A174,"mmm"))</f>
        <v/>
      </c>
      <c r="N174" s="48" t="str">
        <f aca="false">IFERROR(IF(ISNUMBER(SEARCH("squat",C174)),K174,""),"")</f>
        <v/>
      </c>
      <c r="O174" s="48" t="str">
        <f aca="false">IFERROR(IF(ISNUMBER(SEARCH("bench",C174)),K174,""),"")</f>
        <v/>
      </c>
      <c r="P174" s="48" t="str">
        <f aca="false">IFERROR(IF(ISNUMBER(SEARCH("deadlift",C174)),K174,""),"")</f>
        <v/>
      </c>
      <c r="V174" s="48" t="n">
        <f aca="false">MAX(V173,IF(N174="",0,N174))</f>
        <v>144.666666666667</v>
      </c>
      <c r="W174" s="48" t="n">
        <f aca="false">MAX(W173,IF(O174="",0,O174))</f>
        <v>99.1666666666667</v>
      </c>
      <c r="X174" s="48" t="n">
        <f aca="false">MAX(X173,IF(P174="",0,P174))</f>
        <v>175.666666666667</v>
      </c>
      <c r="Y174" s="48" t="n">
        <f aca="false">V174+W174+X174</f>
        <v>419.5</v>
      </c>
    </row>
    <row r="175" customFormat="false" ht="15" hidden="false" customHeight="false" outlineLevel="0" collapsed="false">
      <c r="A175" s="45"/>
      <c r="B175" s="31"/>
      <c r="C175" s="32"/>
      <c r="D175" s="31"/>
      <c r="E175" s="31"/>
      <c r="F175" s="29"/>
      <c r="G175" s="29" t="str">
        <f aca="false">IF(OR(D175="",E175="",F175=""),"",D175*E175*F175)</f>
        <v/>
      </c>
      <c r="H175" s="31"/>
      <c r="I175" s="46" t="str">
        <f aca="false">IF(OR(C175="",K175=""),"",IF(K175&gt;=_xlfn.MAXIFS($K$5:K174,$C$5:C174,C175),"Yes","No"))</f>
        <v/>
      </c>
      <c r="J175" s="32"/>
      <c r="K175" s="47" t="str">
        <f aca="false">IF(OR(E175="",F175=""),"",F175*(1+E175/30))</f>
        <v/>
      </c>
      <c r="L175" s="27" t="str">
        <f aca="false">IF(A175="","",INT((A175-StartDate)/7)+1)</f>
        <v/>
      </c>
      <c r="M175" s="27" t="str">
        <f aca="false">IF(A175="","",TEXT(A175,"mmm"))</f>
        <v/>
      </c>
      <c r="N175" s="47" t="str">
        <f aca="false">IFERROR(IF(ISNUMBER(SEARCH("squat",C175)),K175,""),"")</f>
        <v/>
      </c>
      <c r="O175" s="47" t="str">
        <f aca="false">IFERROR(IF(ISNUMBER(SEARCH("bench",C175)),K175,""),"")</f>
        <v/>
      </c>
      <c r="P175" s="47" t="str">
        <f aca="false">IFERROR(IF(ISNUMBER(SEARCH("deadlift",C175)),K175,""),"")</f>
        <v/>
      </c>
      <c r="V175" s="47" t="n">
        <f aca="false">MAX(V174,IF(N175="",0,N175))</f>
        <v>144.666666666667</v>
      </c>
      <c r="W175" s="47" t="n">
        <f aca="false">MAX(W174,IF(O175="",0,O175))</f>
        <v>99.1666666666667</v>
      </c>
      <c r="X175" s="47" t="n">
        <f aca="false">MAX(X174,IF(P175="",0,P175))</f>
        <v>175.666666666667</v>
      </c>
      <c r="Y175" s="47" t="n">
        <f aca="false">V175+W175+X175</f>
        <v>419.5</v>
      </c>
    </row>
    <row r="176" customFormat="false" ht="15" hidden="false" customHeight="false" outlineLevel="0" collapsed="false">
      <c r="A176" s="45"/>
      <c r="B176" s="31"/>
      <c r="C176" s="32"/>
      <c r="D176" s="31"/>
      <c r="E176" s="31"/>
      <c r="F176" s="29"/>
      <c r="G176" s="29" t="str">
        <f aca="false">IF(OR(D176="",E176="",F176=""),"",D176*E176*F176)</f>
        <v/>
      </c>
      <c r="H176" s="31"/>
      <c r="I176" s="36" t="str">
        <f aca="false">IF(OR(C176="",K176=""),"",IF(K176&gt;=_xlfn.MAXIFS($K$5:K175,$C$5:C175,C176),"Yes","No"))</f>
        <v/>
      </c>
      <c r="J176" s="32"/>
      <c r="K176" s="48" t="str">
        <f aca="false">IF(OR(E176="",F176=""),"",F176*(1+E176/30))</f>
        <v/>
      </c>
      <c r="L176" s="36" t="str">
        <f aca="false">IF(A176="","",INT((A176-StartDate)/7)+1)</f>
        <v/>
      </c>
      <c r="M176" s="36" t="str">
        <f aca="false">IF(A176="","",TEXT(A176,"mmm"))</f>
        <v/>
      </c>
      <c r="N176" s="48" t="str">
        <f aca="false">IFERROR(IF(ISNUMBER(SEARCH("squat",C176)),K176,""),"")</f>
        <v/>
      </c>
      <c r="O176" s="48" t="str">
        <f aca="false">IFERROR(IF(ISNUMBER(SEARCH("bench",C176)),K176,""),"")</f>
        <v/>
      </c>
      <c r="P176" s="48" t="str">
        <f aca="false">IFERROR(IF(ISNUMBER(SEARCH("deadlift",C176)),K176,""),"")</f>
        <v/>
      </c>
      <c r="V176" s="48" t="n">
        <f aca="false">MAX(V175,IF(N176="",0,N176))</f>
        <v>144.666666666667</v>
      </c>
      <c r="W176" s="48" t="n">
        <f aca="false">MAX(W175,IF(O176="",0,O176))</f>
        <v>99.1666666666667</v>
      </c>
      <c r="X176" s="48" t="n">
        <f aca="false">MAX(X175,IF(P176="",0,P176))</f>
        <v>175.666666666667</v>
      </c>
      <c r="Y176" s="48" t="n">
        <f aca="false">V176+W176+X176</f>
        <v>419.5</v>
      </c>
    </row>
    <row r="177" customFormat="false" ht="15" hidden="false" customHeight="false" outlineLevel="0" collapsed="false">
      <c r="A177" s="45"/>
      <c r="B177" s="31"/>
      <c r="C177" s="32"/>
      <c r="D177" s="31"/>
      <c r="E177" s="31"/>
      <c r="F177" s="29"/>
      <c r="G177" s="29" t="str">
        <f aca="false">IF(OR(D177="",E177="",F177=""),"",D177*E177*F177)</f>
        <v/>
      </c>
      <c r="H177" s="31"/>
      <c r="I177" s="46" t="str">
        <f aca="false">IF(OR(C177="",K177=""),"",IF(K177&gt;=_xlfn.MAXIFS($K$5:K176,$C$5:C176,C177),"Yes","No"))</f>
        <v/>
      </c>
      <c r="J177" s="32"/>
      <c r="K177" s="47" t="str">
        <f aca="false">IF(OR(E177="",F177=""),"",F177*(1+E177/30))</f>
        <v/>
      </c>
      <c r="L177" s="27" t="str">
        <f aca="false">IF(A177="","",INT((A177-StartDate)/7)+1)</f>
        <v/>
      </c>
      <c r="M177" s="27" t="str">
        <f aca="false">IF(A177="","",TEXT(A177,"mmm"))</f>
        <v/>
      </c>
      <c r="N177" s="47" t="str">
        <f aca="false">IFERROR(IF(ISNUMBER(SEARCH("squat",C177)),K177,""),"")</f>
        <v/>
      </c>
      <c r="O177" s="47" t="str">
        <f aca="false">IFERROR(IF(ISNUMBER(SEARCH("bench",C177)),K177,""),"")</f>
        <v/>
      </c>
      <c r="P177" s="47" t="str">
        <f aca="false">IFERROR(IF(ISNUMBER(SEARCH("deadlift",C177)),K177,""),"")</f>
        <v/>
      </c>
      <c r="V177" s="47" t="n">
        <f aca="false">MAX(V176,IF(N177="",0,N177))</f>
        <v>144.666666666667</v>
      </c>
      <c r="W177" s="47" t="n">
        <f aca="false">MAX(W176,IF(O177="",0,O177))</f>
        <v>99.1666666666667</v>
      </c>
      <c r="X177" s="47" t="n">
        <f aca="false">MAX(X176,IF(P177="",0,P177))</f>
        <v>175.666666666667</v>
      </c>
      <c r="Y177" s="47" t="n">
        <f aca="false">V177+W177+X177</f>
        <v>419.5</v>
      </c>
    </row>
    <row r="178" customFormat="false" ht="15" hidden="false" customHeight="false" outlineLevel="0" collapsed="false">
      <c r="A178" s="45"/>
      <c r="B178" s="31"/>
      <c r="C178" s="32"/>
      <c r="D178" s="31"/>
      <c r="E178" s="31"/>
      <c r="F178" s="29"/>
      <c r="G178" s="29" t="str">
        <f aca="false">IF(OR(D178="",E178="",F178=""),"",D178*E178*F178)</f>
        <v/>
      </c>
      <c r="H178" s="31"/>
      <c r="I178" s="36" t="str">
        <f aca="false">IF(OR(C178="",K178=""),"",IF(K178&gt;=_xlfn.MAXIFS($K$5:K177,$C$5:C177,C178),"Yes","No"))</f>
        <v/>
      </c>
      <c r="J178" s="32"/>
      <c r="K178" s="48" t="str">
        <f aca="false">IF(OR(E178="",F178=""),"",F178*(1+E178/30))</f>
        <v/>
      </c>
      <c r="L178" s="36" t="str">
        <f aca="false">IF(A178="","",INT((A178-StartDate)/7)+1)</f>
        <v/>
      </c>
      <c r="M178" s="36" t="str">
        <f aca="false">IF(A178="","",TEXT(A178,"mmm"))</f>
        <v/>
      </c>
      <c r="N178" s="48" t="str">
        <f aca="false">IFERROR(IF(ISNUMBER(SEARCH("squat",C178)),K178,""),"")</f>
        <v/>
      </c>
      <c r="O178" s="48" t="str">
        <f aca="false">IFERROR(IF(ISNUMBER(SEARCH("bench",C178)),K178,""),"")</f>
        <v/>
      </c>
      <c r="P178" s="48" t="str">
        <f aca="false">IFERROR(IF(ISNUMBER(SEARCH("deadlift",C178)),K178,""),"")</f>
        <v/>
      </c>
      <c r="V178" s="48" t="n">
        <f aca="false">MAX(V177,IF(N178="",0,N178))</f>
        <v>144.666666666667</v>
      </c>
      <c r="W178" s="48" t="n">
        <f aca="false">MAX(W177,IF(O178="",0,O178))</f>
        <v>99.1666666666667</v>
      </c>
      <c r="X178" s="48" t="n">
        <f aca="false">MAX(X177,IF(P178="",0,P178))</f>
        <v>175.666666666667</v>
      </c>
      <c r="Y178" s="48" t="n">
        <f aca="false">V178+W178+X178</f>
        <v>419.5</v>
      </c>
    </row>
    <row r="179" customFormat="false" ht="15" hidden="false" customHeight="false" outlineLevel="0" collapsed="false">
      <c r="A179" s="45"/>
      <c r="B179" s="31"/>
      <c r="C179" s="32"/>
      <c r="D179" s="31"/>
      <c r="E179" s="31"/>
      <c r="F179" s="29"/>
      <c r="G179" s="29" t="str">
        <f aca="false">IF(OR(D179="",E179="",F179=""),"",D179*E179*F179)</f>
        <v/>
      </c>
      <c r="H179" s="31"/>
      <c r="I179" s="46" t="str">
        <f aca="false">IF(OR(C179="",K179=""),"",IF(K179&gt;=_xlfn.MAXIFS($K$5:K178,$C$5:C178,C179),"Yes","No"))</f>
        <v/>
      </c>
      <c r="J179" s="32"/>
      <c r="K179" s="47" t="str">
        <f aca="false">IF(OR(E179="",F179=""),"",F179*(1+E179/30))</f>
        <v/>
      </c>
      <c r="L179" s="27" t="str">
        <f aca="false">IF(A179="","",INT((A179-StartDate)/7)+1)</f>
        <v/>
      </c>
      <c r="M179" s="27" t="str">
        <f aca="false">IF(A179="","",TEXT(A179,"mmm"))</f>
        <v/>
      </c>
      <c r="N179" s="47" t="str">
        <f aca="false">IFERROR(IF(ISNUMBER(SEARCH("squat",C179)),K179,""),"")</f>
        <v/>
      </c>
      <c r="O179" s="47" t="str">
        <f aca="false">IFERROR(IF(ISNUMBER(SEARCH("bench",C179)),K179,""),"")</f>
        <v/>
      </c>
      <c r="P179" s="47" t="str">
        <f aca="false">IFERROR(IF(ISNUMBER(SEARCH("deadlift",C179)),K179,""),"")</f>
        <v/>
      </c>
      <c r="V179" s="47" t="n">
        <f aca="false">MAX(V178,IF(N179="",0,N179))</f>
        <v>144.666666666667</v>
      </c>
      <c r="W179" s="47" t="n">
        <f aca="false">MAX(W178,IF(O179="",0,O179))</f>
        <v>99.1666666666667</v>
      </c>
      <c r="X179" s="47" t="n">
        <f aca="false">MAX(X178,IF(P179="",0,P179))</f>
        <v>175.666666666667</v>
      </c>
      <c r="Y179" s="47" t="n">
        <f aca="false">V179+W179+X179</f>
        <v>419.5</v>
      </c>
    </row>
    <row r="180" customFormat="false" ht="15" hidden="false" customHeight="false" outlineLevel="0" collapsed="false">
      <c r="A180" s="45"/>
      <c r="B180" s="31"/>
      <c r="C180" s="32"/>
      <c r="D180" s="31"/>
      <c r="E180" s="31"/>
      <c r="F180" s="29"/>
      <c r="G180" s="29" t="str">
        <f aca="false">IF(OR(D180="",E180="",F180=""),"",D180*E180*F180)</f>
        <v/>
      </c>
      <c r="H180" s="31"/>
      <c r="I180" s="36" t="str">
        <f aca="false">IF(OR(C180="",K180=""),"",IF(K180&gt;=_xlfn.MAXIFS($K$5:K179,$C$5:C179,C180),"Yes","No"))</f>
        <v/>
      </c>
      <c r="J180" s="32"/>
      <c r="K180" s="48" t="str">
        <f aca="false">IF(OR(E180="",F180=""),"",F180*(1+E180/30))</f>
        <v/>
      </c>
      <c r="L180" s="36" t="str">
        <f aca="false">IF(A180="","",INT((A180-StartDate)/7)+1)</f>
        <v/>
      </c>
      <c r="M180" s="36" t="str">
        <f aca="false">IF(A180="","",TEXT(A180,"mmm"))</f>
        <v/>
      </c>
      <c r="N180" s="48" t="str">
        <f aca="false">IFERROR(IF(ISNUMBER(SEARCH("squat",C180)),K180,""),"")</f>
        <v/>
      </c>
      <c r="O180" s="48" t="str">
        <f aca="false">IFERROR(IF(ISNUMBER(SEARCH("bench",C180)),K180,""),"")</f>
        <v/>
      </c>
      <c r="P180" s="48" t="str">
        <f aca="false">IFERROR(IF(ISNUMBER(SEARCH("deadlift",C180)),K180,""),"")</f>
        <v/>
      </c>
      <c r="V180" s="48" t="n">
        <f aca="false">MAX(V179,IF(N180="",0,N180))</f>
        <v>144.666666666667</v>
      </c>
      <c r="W180" s="48" t="n">
        <f aca="false">MAX(W179,IF(O180="",0,O180))</f>
        <v>99.1666666666667</v>
      </c>
      <c r="X180" s="48" t="n">
        <f aca="false">MAX(X179,IF(P180="",0,P180))</f>
        <v>175.666666666667</v>
      </c>
      <c r="Y180" s="48" t="n">
        <f aca="false">V180+W180+X180</f>
        <v>419.5</v>
      </c>
    </row>
    <row r="181" customFormat="false" ht="15" hidden="false" customHeight="false" outlineLevel="0" collapsed="false">
      <c r="A181" s="45"/>
      <c r="B181" s="31"/>
      <c r="C181" s="32"/>
      <c r="D181" s="31"/>
      <c r="E181" s="31"/>
      <c r="F181" s="29"/>
      <c r="G181" s="29" t="str">
        <f aca="false">IF(OR(D181="",E181="",F181=""),"",D181*E181*F181)</f>
        <v/>
      </c>
      <c r="H181" s="31"/>
      <c r="I181" s="46" t="str">
        <f aca="false">IF(OR(C181="",K181=""),"",IF(K181&gt;=_xlfn.MAXIFS($K$5:K180,$C$5:C180,C181),"Yes","No"))</f>
        <v/>
      </c>
      <c r="J181" s="32"/>
      <c r="K181" s="47" t="str">
        <f aca="false">IF(OR(E181="",F181=""),"",F181*(1+E181/30))</f>
        <v/>
      </c>
      <c r="L181" s="27" t="str">
        <f aca="false">IF(A181="","",INT((A181-StartDate)/7)+1)</f>
        <v/>
      </c>
      <c r="M181" s="27" t="str">
        <f aca="false">IF(A181="","",TEXT(A181,"mmm"))</f>
        <v/>
      </c>
      <c r="N181" s="47" t="str">
        <f aca="false">IFERROR(IF(ISNUMBER(SEARCH("squat",C181)),K181,""),"")</f>
        <v/>
      </c>
      <c r="O181" s="47" t="str">
        <f aca="false">IFERROR(IF(ISNUMBER(SEARCH("bench",C181)),K181,""),"")</f>
        <v/>
      </c>
      <c r="P181" s="47" t="str">
        <f aca="false">IFERROR(IF(ISNUMBER(SEARCH("deadlift",C181)),K181,""),"")</f>
        <v/>
      </c>
      <c r="V181" s="47" t="n">
        <f aca="false">MAX(V180,IF(N181="",0,N181))</f>
        <v>144.666666666667</v>
      </c>
      <c r="W181" s="47" t="n">
        <f aca="false">MAX(W180,IF(O181="",0,O181))</f>
        <v>99.1666666666667</v>
      </c>
      <c r="X181" s="47" t="n">
        <f aca="false">MAX(X180,IF(P181="",0,P181))</f>
        <v>175.666666666667</v>
      </c>
      <c r="Y181" s="47" t="n">
        <f aca="false">V181+W181+X181</f>
        <v>419.5</v>
      </c>
    </row>
    <row r="182" customFormat="false" ht="15" hidden="false" customHeight="false" outlineLevel="0" collapsed="false">
      <c r="A182" s="45"/>
      <c r="B182" s="31"/>
      <c r="C182" s="32"/>
      <c r="D182" s="31"/>
      <c r="E182" s="31"/>
      <c r="F182" s="29"/>
      <c r="G182" s="29" t="str">
        <f aca="false">IF(OR(D182="",E182="",F182=""),"",D182*E182*F182)</f>
        <v/>
      </c>
      <c r="H182" s="31"/>
      <c r="I182" s="36" t="str">
        <f aca="false">IF(OR(C182="",K182=""),"",IF(K182&gt;=_xlfn.MAXIFS($K$5:K181,$C$5:C181,C182),"Yes","No"))</f>
        <v/>
      </c>
      <c r="J182" s="32"/>
      <c r="K182" s="48" t="str">
        <f aca="false">IF(OR(E182="",F182=""),"",F182*(1+E182/30))</f>
        <v/>
      </c>
      <c r="L182" s="36" t="str">
        <f aca="false">IF(A182="","",INT((A182-StartDate)/7)+1)</f>
        <v/>
      </c>
      <c r="M182" s="36" t="str">
        <f aca="false">IF(A182="","",TEXT(A182,"mmm"))</f>
        <v/>
      </c>
      <c r="N182" s="48" t="str">
        <f aca="false">IFERROR(IF(ISNUMBER(SEARCH("squat",C182)),K182,""),"")</f>
        <v/>
      </c>
      <c r="O182" s="48" t="str">
        <f aca="false">IFERROR(IF(ISNUMBER(SEARCH("bench",C182)),K182,""),"")</f>
        <v/>
      </c>
      <c r="P182" s="48" t="str">
        <f aca="false">IFERROR(IF(ISNUMBER(SEARCH("deadlift",C182)),K182,""),"")</f>
        <v/>
      </c>
      <c r="V182" s="48" t="n">
        <f aca="false">MAX(V181,IF(N182="",0,N182))</f>
        <v>144.666666666667</v>
      </c>
      <c r="W182" s="48" t="n">
        <f aca="false">MAX(W181,IF(O182="",0,O182))</f>
        <v>99.1666666666667</v>
      </c>
      <c r="X182" s="48" t="n">
        <f aca="false">MAX(X181,IF(P182="",0,P182))</f>
        <v>175.666666666667</v>
      </c>
      <c r="Y182" s="48" t="n">
        <f aca="false">V182+W182+X182</f>
        <v>419.5</v>
      </c>
    </row>
    <row r="183" customFormat="false" ht="15" hidden="false" customHeight="false" outlineLevel="0" collapsed="false">
      <c r="A183" s="45"/>
      <c r="B183" s="31"/>
      <c r="C183" s="32"/>
      <c r="D183" s="31"/>
      <c r="E183" s="31"/>
      <c r="F183" s="29"/>
      <c r="G183" s="29" t="str">
        <f aca="false">IF(OR(D183="",E183="",F183=""),"",D183*E183*F183)</f>
        <v/>
      </c>
      <c r="H183" s="31"/>
      <c r="I183" s="46" t="str">
        <f aca="false">IF(OR(C183="",K183=""),"",IF(K183&gt;=_xlfn.MAXIFS($K$5:K182,$C$5:C182,C183),"Yes","No"))</f>
        <v/>
      </c>
      <c r="J183" s="32"/>
      <c r="K183" s="47" t="str">
        <f aca="false">IF(OR(E183="",F183=""),"",F183*(1+E183/30))</f>
        <v/>
      </c>
      <c r="L183" s="27" t="str">
        <f aca="false">IF(A183="","",INT((A183-StartDate)/7)+1)</f>
        <v/>
      </c>
      <c r="M183" s="27" t="str">
        <f aca="false">IF(A183="","",TEXT(A183,"mmm"))</f>
        <v/>
      </c>
      <c r="N183" s="47" t="str">
        <f aca="false">IFERROR(IF(ISNUMBER(SEARCH("squat",C183)),K183,""),"")</f>
        <v/>
      </c>
      <c r="O183" s="47" t="str">
        <f aca="false">IFERROR(IF(ISNUMBER(SEARCH("bench",C183)),K183,""),"")</f>
        <v/>
      </c>
      <c r="P183" s="47" t="str">
        <f aca="false">IFERROR(IF(ISNUMBER(SEARCH("deadlift",C183)),K183,""),"")</f>
        <v/>
      </c>
      <c r="V183" s="47" t="n">
        <f aca="false">MAX(V182,IF(N183="",0,N183))</f>
        <v>144.666666666667</v>
      </c>
      <c r="W183" s="47" t="n">
        <f aca="false">MAX(W182,IF(O183="",0,O183))</f>
        <v>99.1666666666667</v>
      </c>
      <c r="X183" s="47" t="n">
        <f aca="false">MAX(X182,IF(P183="",0,P183))</f>
        <v>175.666666666667</v>
      </c>
      <c r="Y183" s="47" t="n">
        <f aca="false">V183+W183+X183</f>
        <v>419.5</v>
      </c>
    </row>
    <row r="184" customFormat="false" ht="15" hidden="false" customHeight="false" outlineLevel="0" collapsed="false">
      <c r="A184" s="45"/>
      <c r="B184" s="31"/>
      <c r="C184" s="32"/>
      <c r="D184" s="31"/>
      <c r="E184" s="31"/>
      <c r="F184" s="29"/>
      <c r="G184" s="29" t="str">
        <f aca="false">IF(OR(D184="",E184="",F184=""),"",D184*E184*F184)</f>
        <v/>
      </c>
      <c r="H184" s="31"/>
      <c r="I184" s="36" t="str">
        <f aca="false">IF(OR(C184="",K184=""),"",IF(K184&gt;=_xlfn.MAXIFS($K$5:K183,$C$5:C183,C184),"Yes","No"))</f>
        <v/>
      </c>
      <c r="J184" s="32"/>
      <c r="K184" s="48" t="str">
        <f aca="false">IF(OR(E184="",F184=""),"",F184*(1+E184/30))</f>
        <v/>
      </c>
      <c r="L184" s="36" t="str">
        <f aca="false">IF(A184="","",INT((A184-StartDate)/7)+1)</f>
        <v/>
      </c>
      <c r="M184" s="36" t="str">
        <f aca="false">IF(A184="","",TEXT(A184,"mmm"))</f>
        <v/>
      </c>
      <c r="N184" s="48" t="str">
        <f aca="false">IFERROR(IF(ISNUMBER(SEARCH("squat",C184)),K184,""),"")</f>
        <v/>
      </c>
      <c r="O184" s="48" t="str">
        <f aca="false">IFERROR(IF(ISNUMBER(SEARCH("bench",C184)),K184,""),"")</f>
        <v/>
      </c>
      <c r="P184" s="48" t="str">
        <f aca="false">IFERROR(IF(ISNUMBER(SEARCH("deadlift",C184)),K184,""),"")</f>
        <v/>
      </c>
      <c r="V184" s="48" t="n">
        <f aca="false">MAX(V183,IF(N184="",0,N184))</f>
        <v>144.666666666667</v>
      </c>
      <c r="W184" s="48" t="n">
        <f aca="false">MAX(W183,IF(O184="",0,O184))</f>
        <v>99.1666666666667</v>
      </c>
      <c r="X184" s="48" t="n">
        <f aca="false">MAX(X183,IF(P184="",0,P184))</f>
        <v>175.666666666667</v>
      </c>
      <c r="Y184" s="48" t="n">
        <f aca="false">V184+W184+X184</f>
        <v>419.5</v>
      </c>
    </row>
    <row r="185" customFormat="false" ht="15" hidden="false" customHeight="false" outlineLevel="0" collapsed="false">
      <c r="A185" s="45"/>
      <c r="B185" s="31"/>
      <c r="C185" s="32"/>
      <c r="D185" s="31"/>
      <c r="E185" s="31"/>
      <c r="F185" s="29"/>
      <c r="G185" s="29" t="str">
        <f aca="false">IF(OR(D185="",E185="",F185=""),"",D185*E185*F185)</f>
        <v/>
      </c>
      <c r="H185" s="31"/>
      <c r="I185" s="46" t="str">
        <f aca="false">IF(OR(C185="",K185=""),"",IF(K185&gt;=_xlfn.MAXIFS($K$5:K184,$C$5:C184,C185),"Yes","No"))</f>
        <v/>
      </c>
      <c r="J185" s="32"/>
      <c r="K185" s="47" t="str">
        <f aca="false">IF(OR(E185="",F185=""),"",F185*(1+E185/30))</f>
        <v/>
      </c>
      <c r="L185" s="27" t="str">
        <f aca="false">IF(A185="","",INT((A185-StartDate)/7)+1)</f>
        <v/>
      </c>
      <c r="M185" s="27" t="str">
        <f aca="false">IF(A185="","",TEXT(A185,"mmm"))</f>
        <v/>
      </c>
      <c r="N185" s="47" t="str">
        <f aca="false">IFERROR(IF(ISNUMBER(SEARCH("squat",C185)),K185,""),"")</f>
        <v/>
      </c>
      <c r="O185" s="47" t="str">
        <f aca="false">IFERROR(IF(ISNUMBER(SEARCH("bench",C185)),K185,""),"")</f>
        <v/>
      </c>
      <c r="P185" s="47" t="str">
        <f aca="false">IFERROR(IF(ISNUMBER(SEARCH("deadlift",C185)),K185,""),"")</f>
        <v/>
      </c>
      <c r="V185" s="47" t="n">
        <f aca="false">MAX(V184,IF(N185="",0,N185))</f>
        <v>144.666666666667</v>
      </c>
      <c r="W185" s="47" t="n">
        <f aca="false">MAX(W184,IF(O185="",0,O185))</f>
        <v>99.1666666666667</v>
      </c>
      <c r="X185" s="47" t="n">
        <f aca="false">MAX(X184,IF(P185="",0,P185))</f>
        <v>175.666666666667</v>
      </c>
      <c r="Y185" s="47" t="n">
        <f aca="false">V185+W185+X185</f>
        <v>419.5</v>
      </c>
    </row>
    <row r="186" customFormat="false" ht="15" hidden="false" customHeight="false" outlineLevel="0" collapsed="false">
      <c r="A186" s="45"/>
      <c r="B186" s="31"/>
      <c r="C186" s="32"/>
      <c r="D186" s="31"/>
      <c r="E186" s="31"/>
      <c r="F186" s="29"/>
      <c r="G186" s="29" t="str">
        <f aca="false">IF(OR(D186="",E186="",F186=""),"",D186*E186*F186)</f>
        <v/>
      </c>
      <c r="H186" s="31"/>
      <c r="I186" s="36" t="str">
        <f aca="false">IF(OR(C186="",K186=""),"",IF(K186&gt;=_xlfn.MAXIFS($K$5:K185,$C$5:C185,C186),"Yes","No"))</f>
        <v/>
      </c>
      <c r="J186" s="32"/>
      <c r="K186" s="48" t="str">
        <f aca="false">IF(OR(E186="",F186=""),"",F186*(1+E186/30))</f>
        <v/>
      </c>
      <c r="L186" s="36" t="str">
        <f aca="false">IF(A186="","",INT((A186-StartDate)/7)+1)</f>
        <v/>
      </c>
      <c r="M186" s="36" t="str">
        <f aca="false">IF(A186="","",TEXT(A186,"mmm"))</f>
        <v/>
      </c>
      <c r="N186" s="48" t="str">
        <f aca="false">IFERROR(IF(ISNUMBER(SEARCH("squat",C186)),K186,""),"")</f>
        <v/>
      </c>
      <c r="O186" s="48" t="str">
        <f aca="false">IFERROR(IF(ISNUMBER(SEARCH("bench",C186)),K186,""),"")</f>
        <v/>
      </c>
      <c r="P186" s="48" t="str">
        <f aca="false">IFERROR(IF(ISNUMBER(SEARCH("deadlift",C186)),K186,""),"")</f>
        <v/>
      </c>
      <c r="V186" s="48" t="n">
        <f aca="false">MAX(V185,IF(N186="",0,N186))</f>
        <v>144.666666666667</v>
      </c>
      <c r="W186" s="48" t="n">
        <f aca="false">MAX(W185,IF(O186="",0,O186))</f>
        <v>99.1666666666667</v>
      </c>
      <c r="X186" s="48" t="n">
        <f aca="false">MAX(X185,IF(P186="",0,P186))</f>
        <v>175.666666666667</v>
      </c>
      <c r="Y186" s="48" t="n">
        <f aca="false">V186+W186+X186</f>
        <v>419.5</v>
      </c>
    </row>
    <row r="187" customFormat="false" ht="15" hidden="false" customHeight="false" outlineLevel="0" collapsed="false">
      <c r="A187" s="45"/>
      <c r="B187" s="31"/>
      <c r="C187" s="32"/>
      <c r="D187" s="31"/>
      <c r="E187" s="31"/>
      <c r="F187" s="29"/>
      <c r="G187" s="29" t="str">
        <f aca="false">IF(OR(D187="",E187="",F187=""),"",D187*E187*F187)</f>
        <v/>
      </c>
      <c r="H187" s="31"/>
      <c r="I187" s="46" t="str">
        <f aca="false">IF(OR(C187="",K187=""),"",IF(K187&gt;=_xlfn.MAXIFS($K$5:K186,$C$5:C186,C187),"Yes","No"))</f>
        <v/>
      </c>
      <c r="J187" s="32"/>
      <c r="K187" s="47" t="str">
        <f aca="false">IF(OR(E187="",F187=""),"",F187*(1+E187/30))</f>
        <v/>
      </c>
      <c r="L187" s="27" t="str">
        <f aca="false">IF(A187="","",INT((A187-StartDate)/7)+1)</f>
        <v/>
      </c>
      <c r="M187" s="27" t="str">
        <f aca="false">IF(A187="","",TEXT(A187,"mmm"))</f>
        <v/>
      </c>
      <c r="N187" s="47" t="str">
        <f aca="false">IFERROR(IF(ISNUMBER(SEARCH("squat",C187)),K187,""),"")</f>
        <v/>
      </c>
      <c r="O187" s="47" t="str">
        <f aca="false">IFERROR(IF(ISNUMBER(SEARCH("bench",C187)),K187,""),"")</f>
        <v/>
      </c>
      <c r="P187" s="47" t="str">
        <f aca="false">IFERROR(IF(ISNUMBER(SEARCH("deadlift",C187)),K187,""),"")</f>
        <v/>
      </c>
      <c r="V187" s="47" t="n">
        <f aca="false">MAX(V186,IF(N187="",0,N187))</f>
        <v>144.666666666667</v>
      </c>
      <c r="W187" s="47" t="n">
        <f aca="false">MAX(W186,IF(O187="",0,O187))</f>
        <v>99.1666666666667</v>
      </c>
      <c r="X187" s="47" t="n">
        <f aca="false">MAX(X186,IF(P187="",0,P187))</f>
        <v>175.666666666667</v>
      </c>
      <c r="Y187" s="47" t="n">
        <f aca="false">V187+W187+X187</f>
        <v>419.5</v>
      </c>
    </row>
    <row r="188" customFormat="false" ht="15" hidden="false" customHeight="false" outlineLevel="0" collapsed="false">
      <c r="A188" s="45"/>
      <c r="B188" s="31"/>
      <c r="C188" s="32"/>
      <c r="D188" s="31"/>
      <c r="E188" s="31"/>
      <c r="F188" s="29"/>
      <c r="G188" s="29" t="str">
        <f aca="false">IF(OR(D188="",E188="",F188=""),"",D188*E188*F188)</f>
        <v/>
      </c>
      <c r="H188" s="31"/>
      <c r="I188" s="36" t="str">
        <f aca="false">IF(OR(C188="",K188=""),"",IF(K188&gt;=_xlfn.MAXIFS($K$5:K187,$C$5:C187,C188),"Yes","No"))</f>
        <v/>
      </c>
      <c r="J188" s="32"/>
      <c r="K188" s="48" t="str">
        <f aca="false">IF(OR(E188="",F188=""),"",F188*(1+E188/30))</f>
        <v/>
      </c>
      <c r="L188" s="36" t="str">
        <f aca="false">IF(A188="","",INT((A188-StartDate)/7)+1)</f>
        <v/>
      </c>
      <c r="M188" s="36" t="str">
        <f aca="false">IF(A188="","",TEXT(A188,"mmm"))</f>
        <v/>
      </c>
      <c r="N188" s="48" t="str">
        <f aca="false">IFERROR(IF(ISNUMBER(SEARCH("squat",C188)),K188,""),"")</f>
        <v/>
      </c>
      <c r="O188" s="48" t="str">
        <f aca="false">IFERROR(IF(ISNUMBER(SEARCH("bench",C188)),K188,""),"")</f>
        <v/>
      </c>
      <c r="P188" s="48" t="str">
        <f aca="false">IFERROR(IF(ISNUMBER(SEARCH("deadlift",C188)),K188,""),"")</f>
        <v/>
      </c>
      <c r="V188" s="48" t="n">
        <f aca="false">MAX(V187,IF(N188="",0,N188))</f>
        <v>144.666666666667</v>
      </c>
      <c r="W188" s="48" t="n">
        <f aca="false">MAX(W187,IF(O188="",0,O188))</f>
        <v>99.1666666666667</v>
      </c>
      <c r="X188" s="48" t="n">
        <f aca="false">MAX(X187,IF(P188="",0,P188))</f>
        <v>175.666666666667</v>
      </c>
      <c r="Y188" s="48" t="n">
        <f aca="false">V188+W188+X188</f>
        <v>419.5</v>
      </c>
    </row>
    <row r="189" customFormat="false" ht="15" hidden="false" customHeight="false" outlineLevel="0" collapsed="false">
      <c r="A189" s="45"/>
      <c r="B189" s="31"/>
      <c r="C189" s="32"/>
      <c r="D189" s="31"/>
      <c r="E189" s="31"/>
      <c r="F189" s="29"/>
      <c r="G189" s="29" t="str">
        <f aca="false">IF(OR(D189="",E189="",F189=""),"",D189*E189*F189)</f>
        <v/>
      </c>
      <c r="H189" s="31"/>
      <c r="I189" s="46" t="str">
        <f aca="false">IF(OR(C189="",K189=""),"",IF(K189&gt;=_xlfn.MAXIFS($K$5:K188,$C$5:C188,C189),"Yes","No"))</f>
        <v/>
      </c>
      <c r="J189" s="32"/>
      <c r="K189" s="47" t="str">
        <f aca="false">IF(OR(E189="",F189=""),"",F189*(1+E189/30))</f>
        <v/>
      </c>
      <c r="L189" s="27" t="str">
        <f aca="false">IF(A189="","",INT((A189-StartDate)/7)+1)</f>
        <v/>
      </c>
      <c r="M189" s="27" t="str">
        <f aca="false">IF(A189="","",TEXT(A189,"mmm"))</f>
        <v/>
      </c>
      <c r="N189" s="47" t="str">
        <f aca="false">IFERROR(IF(ISNUMBER(SEARCH("squat",C189)),K189,""),"")</f>
        <v/>
      </c>
      <c r="O189" s="47" t="str">
        <f aca="false">IFERROR(IF(ISNUMBER(SEARCH("bench",C189)),K189,""),"")</f>
        <v/>
      </c>
      <c r="P189" s="47" t="str">
        <f aca="false">IFERROR(IF(ISNUMBER(SEARCH("deadlift",C189)),K189,""),"")</f>
        <v/>
      </c>
      <c r="V189" s="47" t="n">
        <f aca="false">MAX(V188,IF(N189="",0,N189))</f>
        <v>144.666666666667</v>
      </c>
      <c r="W189" s="47" t="n">
        <f aca="false">MAX(W188,IF(O189="",0,O189))</f>
        <v>99.1666666666667</v>
      </c>
      <c r="X189" s="47" t="n">
        <f aca="false">MAX(X188,IF(P189="",0,P189))</f>
        <v>175.666666666667</v>
      </c>
      <c r="Y189" s="47" t="n">
        <f aca="false">V189+W189+X189</f>
        <v>419.5</v>
      </c>
    </row>
    <row r="190" customFormat="false" ht="15" hidden="false" customHeight="false" outlineLevel="0" collapsed="false">
      <c r="A190" s="45"/>
      <c r="B190" s="31"/>
      <c r="C190" s="32"/>
      <c r="D190" s="31"/>
      <c r="E190" s="31"/>
      <c r="F190" s="29"/>
      <c r="G190" s="29" t="str">
        <f aca="false">IF(OR(D190="",E190="",F190=""),"",D190*E190*F190)</f>
        <v/>
      </c>
      <c r="H190" s="31"/>
      <c r="I190" s="36" t="str">
        <f aca="false">IF(OR(C190="",K190=""),"",IF(K190&gt;=_xlfn.MAXIFS($K$5:K189,$C$5:C189,C190),"Yes","No"))</f>
        <v/>
      </c>
      <c r="J190" s="32"/>
      <c r="K190" s="48" t="str">
        <f aca="false">IF(OR(E190="",F190=""),"",F190*(1+E190/30))</f>
        <v/>
      </c>
      <c r="L190" s="36" t="str">
        <f aca="false">IF(A190="","",INT((A190-StartDate)/7)+1)</f>
        <v/>
      </c>
      <c r="M190" s="36" t="str">
        <f aca="false">IF(A190="","",TEXT(A190,"mmm"))</f>
        <v/>
      </c>
      <c r="N190" s="48" t="str">
        <f aca="false">IFERROR(IF(ISNUMBER(SEARCH("squat",C190)),K190,""),"")</f>
        <v/>
      </c>
      <c r="O190" s="48" t="str">
        <f aca="false">IFERROR(IF(ISNUMBER(SEARCH("bench",C190)),K190,""),"")</f>
        <v/>
      </c>
      <c r="P190" s="48" t="str">
        <f aca="false">IFERROR(IF(ISNUMBER(SEARCH("deadlift",C190)),K190,""),"")</f>
        <v/>
      </c>
      <c r="V190" s="48" t="n">
        <f aca="false">MAX(V189,IF(N190="",0,N190))</f>
        <v>144.666666666667</v>
      </c>
      <c r="W190" s="48" t="n">
        <f aca="false">MAX(W189,IF(O190="",0,O190))</f>
        <v>99.1666666666667</v>
      </c>
      <c r="X190" s="48" t="n">
        <f aca="false">MAX(X189,IF(P190="",0,P190))</f>
        <v>175.666666666667</v>
      </c>
      <c r="Y190" s="48" t="n">
        <f aca="false">V190+W190+X190</f>
        <v>419.5</v>
      </c>
    </row>
    <row r="191" customFormat="false" ht="15" hidden="false" customHeight="false" outlineLevel="0" collapsed="false">
      <c r="A191" s="45"/>
      <c r="B191" s="31"/>
      <c r="C191" s="32"/>
      <c r="D191" s="31"/>
      <c r="E191" s="31"/>
      <c r="F191" s="29"/>
      <c r="G191" s="29" t="str">
        <f aca="false">IF(OR(D191="",E191="",F191=""),"",D191*E191*F191)</f>
        <v/>
      </c>
      <c r="H191" s="31"/>
      <c r="I191" s="46" t="str">
        <f aca="false">IF(OR(C191="",K191=""),"",IF(K191&gt;=_xlfn.MAXIFS($K$5:K190,$C$5:C190,C191),"Yes","No"))</f>
        <v/>
      </c>
      <c r="J191" s="32"/>
      <c r="K191" s="47" t="str">
        <f aca="false">IF(OR(E191="",F191=""),"",F191*(1+E191/30))</f>
        <v/>
      </c>
      <c r="L191" s="27" t="str">
        <f aca="false">IF(A191="","",INT((A191-StartDate)/7)+1)</f>
        <v/>
      </c>
      <c r="M191" s="27" t="str">
        <f aca="false">IF(A191="","",TEXT(A191,"mmm"))</f>
        <v/>
      </c>
      <c r="N191" s="47" t="str">
        <f aca="false">IFERROR(IF(ISNUMBER(SEARCH("squat",C191)),K191,""),"")</f>
        <v/>
      </c>
      <c r="O191" s="47" t="str">
        <f aca="false">IFERROR(IF(ISNUMBER(SEARCH("bench",C191)),K191,""),"")</f>
        <v/>
      </c>
      <c r="P191" s="47" t="str">
        <f aca="false">IFERROR(IF(ISNUMBER(SEARCH("deadlift",C191)),K191,""),"")</f>
        <v/>
      </c>
      <c r="V191" s="47" t="n">
        <f aca="false">MAX(V190,IF(N191="",0,N191))</f>
        <v>144.666666666667</v>
      </c>
      <c r="W191" s="47" t="n">
        <f aca="false">MAX(W190,IF(O191="",0,O191))</f>
        <v>99.1666666666667</v>
      </c>
      <c r="X191" s="47" t="n">
        <f aca="false">MAX(X190,IF(P191="",0,P191))</f>
        <v>175.666666666667</v>
      </c>
      <c r="Y191" s="47" t="n">
        <f aca="false">V191+W191+X191</f>
        <v>419.5</v>
      </c>
    </row>
    <row r="192" customFormat="false" ht="15" hidden="false" customHeight="false" outlineLevel="0" collapsed="false">
      <c r="A192" s="45"/>
      <c r="B192" s="31"/>
      <c r="C192" s="32"/>
      <c r="D192" s="31"/>
      <c r="E192" s="31"/>
      <c r="F192" s="29"/>
      <c r="G192" s="29" t="str">
        <f aca="false">IF(OR(D192="",E192="",F192=""),"",D192*E192*F192)</f>
        <v/>
      </c>
      <c r="H192" s="31"/>
      <c r="I192" s="36" t="str">
        <f aca="false">IF(OR(C192="",K192=""),"",IF(K192&gt;=_xlfn.MAXIFS($K$5:K191,$C$5:C191,C192),"Yes","No"))</f>
        <v/>
      </c>
      <c r="J192" s="32"/>
      <c r="K192" s="48" t="str">
        <f aca="false">IF(OR(E192="",F192=""),"",F192*(1+E192/30))</f>
        <v/>
      </c>
      <c r="L192" s="36" t="str">
        <f aca="false">IF(A192="","",INT((A192-StartDate)/7)+1)</f>
        <v/>
      </c>
      <c r="M192" s="36" t="str">
        <f aca="false">IF(A192="","",TEXT(A192,"mmm"))</f>
        <v/>
      </c>
      <c r="N192" s="48" t="str">
        <f aca="false">IFERROR(IF(ISNUMBER(SEARCH("squat",C192)),K192,""),"")</f>
        <v/>
      </c>
      <c r="O192" s="48" t="str">
        <f aca="false">IFERROR(IF(ISNUMBER(SEARCH("bench",C192)),K192,""),"")</f>
        <v/>
      </c>
      <c r="P192" s="48" t="str">
        <f aca="false">IFERROR(IF(ISNUMBER(SEARCH("deadlift",C192)),K192,""),"")</f>
        <v/>
      </c>
      <c r="V192" s="48" t="n">
        <f aca="false">MAX(V191,IF(N192="",0,N192))</f>
        <v>144.666666666667</v>
      </c>
      <c r="W192" s="48" t="n">
        <f aca="false">MAX(W191,IF(O192="",0,O192))</f>
        <v>99.1666666666667</v>
      </c>
      <c r="X192" s="48" t="n">
        <f aca="false">MAX(X191,IF(P192="",0,P192))</f>
        <v>175.666666666667</v>
      </c>
      <c r="Y192" s="48" t="n">
        <f aca="false">V192+W192+X192</f>
        <v>419.5</v>
      </c>
    </row>
    <row r="193" customFormat="false" ht="15" hidden="false" customHeight="false" outlineLevel="0" collapsed="false">
      <c r="A193" s="45"/>
      <c r="B193" s="31"/>
      <c r="C193" s="32"/>
      <c r="D193" s="31"/>
      <c r="E193" s="31"/>
      <c r="F193" s="29"/>
      <c r="G193" s="29" t="str">
        <f aca="false">IF(OR(D193="",E193="",F193=""),"",D193*E193*F193)</f>
        <v/>
      </c>
      <c r="H193" s="31"/>
      <c r="I193" s="46" t="str">
        <f aca="false">IF(OR(C193="",K193=""),"",IF(K193&gt;=_xlfn.MAXIFS($K$5:K192,$C$5:C192,C193),"Yes","No"))</f>
        <v/>
      </c>
      <c r="J193" s="32"/>
      <c r="K193" s="47" t="str">
        <f aca="false">IF(OR(E193="",F193=""),"",F193*(1+E193/30))</f>
        <v/>
      </c>
      <c r="L193" s="27" t="str">
        <f aca="false">IF(A193="","",INT((A193-StartDate)/7)+1)</f>
        <v/>
      </c>
      <c r="M193" s="27" t="str">
        <f aca="false">IF(A193="","",TEXT(A193,"mmm"))</f>
        <v/>
      </c>
      <c r="N193" s="47" t="str">
        <f aca="false">IFERROR(IF(ISNUMBER(SEARCH("squat",C193)),K193,""),"")</f>
        <v/>
      </c>
      <c r="O193" s="47" t="str">
        <f aca="false">IFERROR(IF(ISNUMBER(SEARCH("bench",C193)),K193,""),"")</f>
        <v/>
      </c>
      <c r="P193" s="47" t="str">
        <f aca="false">IFERROR(IF(ISNUMBER(SEARCH("deadlift",C193)),K193,""),"")</f>
        <v/>
      </c>
      <c r="V193" s="47" t="n">
        <f aca="false">MAX(V192,IF(N193="",0,N193))</f>
        <v>144.666666666667</v>
      </c>
      <c r="W193" s="47" t="n">
        <f aca="false">MAX(W192,IF(O193="",0,O193))</f>
        <v>99.1666666666667</v>
      </c>
      <c r="X193" s="47" t="n">
        <f aca="false">MAX(X192,IF(P193="",0,P193))</f>
        <v>175.666666666667</v>
      </c>
      <c r="Y193" s="47" t="n">
        <f aca="false">V193+W193+X193</f>
        <v>419.5</v>
      </c>
    </row>
    <row r="194" customFormat="false" ht="15" hidden="false" customHeight="false" outlineLevel="0" collapsed="false">
      <c r="A194" s="45"/>
      <c r="B194" s="31"/>
      <c r="C194" s="32"/>
      <c r="D194" s="31"/>
      <c r="E194" s="31"/>
      <c r="F194" s="29"/>
      <c r="G194" s="29" t="str">
        <f aca="false">IF(OR(D194="",E194="",F194=""),"",D194*E194*F194)</f>
        <v/>
      </c>
      <c r="H194" s="31"/>
      <c r="I194" s="36" t="str">
        <f aca="false">IF(OR(C194="",K194=""),"",IF(K194&gt;=_xlfn.MAXIFS($K$5:K193,$C$5:C193,C194),"Yes","No"))</f>
        <v/>
      </c>
      <c r="J194" s="32"/>
      <c r="K194" s="48" t="str">
        <f aca="false">IF(OR(E194="",F194=""),"",F194*(1+E194/30))</f>
        <v/>
      </c>
      <c r="L194" s="36" t="str">
        <f aca="false">IF(A194="","",INT((A194-StartDate)/7)+1)</f>
        <v/>
      </c>
      <c r="M194" s="36" t="str">
        <f aca="false">IF(A194="","",TEXT(A194,"mmm"))</f>
        <v/>
      </c>
      <c r="N194" s="48" t="str">
        <f aca="false">IFERROR(IF(ISNUMBER(SEARCH("squat",C194)),K194,""),"")</f>
        <v/>
      </c>
      <c r="O194" s="48" t="str">
        <f aca="false">IFERROR(IF(ISNUMBER(SEARCH("bench",C194)),K194,""),"")</f>
        <v/>
      </c>
      <c r="P194" s="48" t="str">
        <f aca="false">IFERROR(IF(ISNUMBER(SEARCH("deadlift",C194)),K194,""),"")</f>
        <v/>
      </c>
      <c r="V194" s="48" t="n">
        <f aca="false">MAX(V193,IF(N194="",0,N194))</f>
        <v>144.666666666667</v>
      </c>
      <c r="W194" s="48" t="n">
        <f aca="false">MAX(W193,IF(O194="",0,O194))</f>
        <v>99.1666666666667</v>
      </c>
      <c r="X194" s="48" t="n">
        <f aca="false">MAX(X193,IF(P194="",0,P194))</f>
        <v>175.666666666667</v>
      </c>
      <c r="Y194" s="48" t="n">
        <f aca="false">V194+W194+X194</f>
        <v>419.5</v>
      </c>
    </row>
    <row r="195" customFormat="false" ht="15" hidden="false" customHeight="false" outlineLevel="0" collapsed="false">
      <c r="A195" s="45"/>
      <c r="B195" s="31"/>
      <c r="C195" s="32"/>
      <c r="D195" s="31"/>
      <c r="E195" s="31"/>
      <c r="F195" s="29"/>
      <c r="G195" s="29" t="str">
        <f aca="false">IF(OR(D195="",E195="",F195=""),"",D195*E195*F195)</f>
        <v/>
      </c>
      <c r="H195" s="31"/>
      <c r="I195" s="46" t="str">
        <f aca="false">IF(OR(C195="",K195=""),"",IF(K195&gt;=_xlfn.MAXIFS($K$5:K194,$C$5:C194,C195),"Yes","No"))</f>
        <v/>
      </c>
      <c r="J195" s="32"/>
      <c r="K195" s="47" t="str">
        <f aca="false">IF(OR(E195="",F195=""),"",F195*(1+E195/30))</f>
        <v/>
      </c>
      <c r="L195" s="27" t="str">
        <f aca="false">IF(A195="","",INT((A195-StartDate)/7)+1)</f>
        <v/>
      </c>
      <c r="M195" s="27" t="str">
        <f aca="false">IF(A195="","",TEXT(A195,"mmm"))</f>
        <v/>
      </c>
      <c r="N195" s="47" t="str">
        <f aca="false">IFERROR(IF(ISNUMBER(SEARCH("squat",C195)),K195,""),"")</f>
        <v/>
      </c>
      <c r="O195" s="47" t="str">
        <f aca="false">IFERROR(IF(ISNUMBER(SEARCH("bench",C195)),K195,""),"")</f>
        <v/>
      </c>
      <c r="P195" s="47" t="str">
        <f aca="false">IFERROR(IF(ISNUMBER(SEARCH("deadlift",C195)),K195,""),"")</f>
        <v/>
      </c>
      <c r="V195" s="47" t="n">
        <f aca="false">MAX(V194,IF(N195="",0,N195))</f>
        <v>144.666666666667</v>
      </c>
      <c r="W195" s="47" t="n">
        <f aca="false">MAX(W194,IF(O195="",0,O195))</f>
        <v>99.1666666666667</v>
      </c>
      <c r="X195" s="47" t="n">
        <f aca="false">MAX(X194,IF(P195="",0,P195))</f>
        <v>175.666666666667</v>
      </c>
      <c r="Y195" s="47" t="n">
        <f aca="false">V195+W195+X195</f>
        <v>419.5</v>
      </c>
    </row>
    <row r="196" customFormat="false" ht="15" hidden="false" customHeight="false" outlineLevel="0" collapsed="false">
      <c r="A196" s="45"/>
      <c r="B196" s="31"/>
      <c r="C196" s="32"/>
      <c r="D196" s="31"/>
      <c r="E196" s="31"/>
      <c r="F196" s="29"/>
      <c r="G196" s="29" t="str">
        <f aca="false">IF(OR(D196="",E196="",F196=""),"",D196*E196*F196)</f>
        <v/>
      </c>
      <c r="H196" s="31"/>
      <c r="I196" s="36" t="str">
        <f aca="false">IF(OR(C196="",K196=""),"",IF(K196&gt;=_xlfn.MAXIFS($K$5:K195,$C$5:C195,C196),"Yes","No"))</f>
        <v/>
      </c>
      <c r="J196" s="32"/>
      <c r="K196" s="48" t="str">
        <f aca="false">IF(OR(E196="",F196=""),"",F196*(1+E196/30))</f>
        <v/>
      </c>
      <c r="L196" s="36" t="str">
        <f aca="false">IF(A196="","",INT((A196-StartDate)/7)+1)</f>
        <v/>
      </c>
      <c r="M196" s="36" t="str">
        <f aca="false">IF(A196="","",TEXT(A196,"mmm"))</f>
        <v/>
      </c>
      <c r="N196" s="48" t="str">
        <f aca="false">IFERROR(IF(ISNUMBER(SEARCH("squat",C196)),K196,""),"")</f>
        <v/>
      </c>
      <c r="O196" s="48" t="str">
        <f aca="false">IFERROR(IF(ISNUMBER(SEARCH("bench",C196)),K196,""),"")</f>
        <v/>
      </c>
      <c r="P196" s="48" t="str">
        <f aca="false">IFERROR(IF(ISNUMBER(SEARCH("deadlift",C196)),K196,""),"")</f>
        <v/>
      </c>
      <c r="V196" s="48" t="n">
        <f aca="false">MAX(V195,IF(N196="",0,N196))</f>
        <v>144.666666666667</v>
      </c>
      <c r="W196" s="48" t="n">
        <f aca="false">MAX(W195,IF(O196="",0,O196))</f>
        <v>99.1666666666667</v>
      </c>
      <c r="X196" s="48" t="n">
        <f aca="false">MAX(X195,IF(P196="",0,P196))</f>
        <v>175.666666666667</v>
      </c>
      <c r="Y196" s="48" t="n">
        <f aca="false">V196+W196+X196</f>
        <v>419.5</v>
      </c>
    </row>
    <row r="197" customFormat="false" ht="15" hidden="false" customHeight="false" outlineLevel="0" collapsed="false">
      <c r="A197" s="45"/>
      <c r="B197" s="31"/>
      <c r="C197" s="32"/>
      <c r="D197" s="31"/>
      <c r="E197" s="31"/>
      <c r="F197" s="29"/>
      <c r="G197" s="29" t="str">
        <f aca="false">IF(OR(D197="",E197="",F197=""),"",D197*E197*F197)</f>
        <v/>
      </c>
      <c r="H197" s="31"/>
      <c r="I197" s="46" t="str">
        <f aca="false">IF(OR(C197="",K197=""),"",IF(K197&gt;=_xlfn.MAXIFS($K$5:K196,$C$5:C196,C197),"Yes","No"))</f>
        <v/>
      </c>
      <c r="J197" s="32"/>
      <c r="K197" s="47" t="str">
        <f aca="false">IF(OR(E197="",F197=""),"",F197*(1+E197/30))</f>
        <v/>
      </c>
      <c r="L197" s="27" t="str">
        <f aca="false">IF(A197="","",INT((A197-StartDate)/7)+1)</f>
        <v/>
      </c>
      <c r="M197" s="27" t="str">
        <f aca="false">IF(A197="","",TEXT(A197,"mmm"))</f>
        <v/>
      </c>
      <c r="N197" s="47" t="str">
        <f aca="false">IFERROR(IF(ISNUMBER(SEARCH("squat",C197)),K197,""),"")</f>
        <v/>
      </c>
      <c r="O197" s="47" t="str">
        <f aca="false">IFERROR(IF(ISNUMBER(SEARCH("bench",C197)),K197,""),"")</f>
        <v/>
      </c>
      <c r="P197" s="47" t="str">
        <f aca="false">IFERROR(IF(ISNUMBER(SEARCH("deadlift",C197)),K197,""),"")</f>
        <v/>
      </c>
      <c r="V197" s="47" t="n">
        <f aca="false">MAX(V196,IF(N197="",0,N197))</f>
        <v>144.666666666667</v>
      </c>
      <c r="W197" s="47" t="n">
        <f aca="false">MAX(W196,IF(O197="",0,O197))</f>
        <v>99.1666666666667</v>
      </c>
      <c r="X197" s="47" t="n">
        <f aca="false">MAX(X196,IF(P197="",0,P197))</f>
        <v>175.666666666667</v>
      </c>
      <c r="Y197" s="47" t="n">
        <f aca="false">V197+W197+X197</f>
        <v>419.5</v>
      </c>
    </row>
    <row r="198" customFormat="false" ht="15" hidden="false" customHeight="false" outlineLevel="0" collapsed="false">
      <c r="A198" s="45"/>
      <c r="B198" s="31"/>
      <c r="C198" s="32"/>
      <c r="D198" s="31"/>
      <c r="E198" s="31"/>
      <c r="F198" s="29"/>
      <c r="G198" s="29" t="str">
        <f aca="false">IF(OR(D198="",E198="",F198=""),"",D198*E198*F198)</f>
        <v/>
      </c>
      <c r="H198" s="31"/>
      <c r="I198" s="36" t="str">
        <f aca="false">IF(OR(C198="",K198=""),"",IF(K198&gt;=_xlfn.MAXIFS($K$5:K197,$C$5:C197,C198),"Yes","No"))</f>
        <v/>
      </c>
      <c r="J198" s="32"/>
      <c r="K198" s="48" t="str">
        <f aca="false">IF(OR(E198="",F198=""),"",F198*(1+E198/30))</f>
        <v/>
      </c>
      <c r="L198" s="36" t="str">
        <f aca="false">IF(A198="","",INT((A198-StartDate)/7)+1)</f>
        <v/>
      </c>
      <c r="M198" s="36" t="str">
        <f aca="false">IF(A198="","",TEXT(A198,"mmm"))</f>
        <v/>
      </c>
      <c r="N198" s="48" t="str">
        <f aca="false">IFERROR(IF(ISNUMBER(SEARCH("squat",C198)),K198,""),"")</f>
        <v/>
      </c>
      <c r="O198" s="48" t="str">
        <f aca="false">IFERROR(IF(ISNUMBER(SEARCH("bench",C198)),K198,""),"")</f>
        <v/>
      </c>
      <c r="P198" s="48" t="str">
        <f aca="false">IFERROR(IF(ISNUMBER(SEARCH("deadlift",C198)),K198,""),"")</f>
        <v/>
      </c>
      <c r="V198" s="48" t="n">
        <f aca="false">MAX(V197,IF(N198="",0,N198))</f>
        <v>144.666666666667</v>
      </c>
      <c r="W198" s="48" t="n">
        <f aca="false">MAX(W197,IF(O198="",0,O198))</f>
        <v>99.1666666666667</v>
      </c>
      <c r="X198" s="48" t="n">
        <f aca="false">MAX(X197,IF(P198="",0,P198))</f>
        <v>175.666666666667</v>
      </c>
      <c r="Y198" s="48" t="n">
        <f aca="false">V198+W198+X198</f>
        <v>419.5</v>
      </c>
    </row>
    <row r="199" customFormat="false" ht="15" hidden="false" customHeight="false" outlineLevel="0" collapsed="false">
      <c r="A199" s="45"/>
      <c r="B199" s="31"/>
      <c r="C199" s="32"/>
      <c r="D199" s="31"/>
      <c r="E199" s="31"/>
      <c r="F199" s="29"/>
      <c r="G199" s="29" t="str">
        <f aca="false">IF(OR(D199="",E199="",F199=""),"",D199*E199*F199)</f>
        <v/>
      </c>
      <c r="H199" s="31"/>
      <c r="I199" s="46" t="str">
        <f aca="false">IF(OR(C199="",K199=""),"",IF(K199&gt;=_xlfn.MAXIFS($K$5:K198,$C$5:C198,C199),"Yes","No"))</f>
        <v/>
      </c>
      <c r="J199" s="32"/>
      <c r="K199" s="47" t="str">
        <f aca="false">IF(OR(E199="",F199=""),"",F199*(1+E199/30))</f>
        <v/>
      </c>
      <c r="L199" s="27" t="str">
        <f aca="false">IF(A199="","",INT((A199-StartDate)/7)+1)</f>
        <v/>
      </c>
      <c r="M199" s="27" t="str">
        <f aca="false">IF(A199="","",TEXT(A199,"mmm"))</f>
        <v/>
      </c>
      <c r="N199" s="47" t="str">
        <f aca="false">IFERROR(IF(ISNUMBER(SEARCH("squat",C199)),K199,""),"")</f>
        <v/>
      </c>
      <c r="O199" s="47" t="str">
        <f aca="false">IFERROR(IF(ISNUMBER(SEARCH("bench",C199)),K199,""),"")</f>
        <v/>
      </c>
      <c r="P199" s="47" t="str">
        <f aca="false">IFERROR(IF(ISNUMBER(SEARCH("deadlift",C199)),K199,""),"")</f>
        <v/>
      </c>
      <c r="V199" s="47" t="n">
        <f aca="false">MAX(V198,IF(N199="",0,N199))</f>
        <v>144.666666666667</v>
      </c>
      <c r="W199" s="47" t="n">
        <f aca="false">MAX(W198,IF(O199="",0,O199))</f>
        <v>99.1666666666667</v>
      </c>
      <c r="X199" s="47" t="n">
        <f aca="false">MAX(X198,IF(P199="",0,P199))</f>
        <v>175.666666666667</v>
      </c>
      <c r="Y199" s="47" t="n">
        <f aca="false">V199+W199+X199</f>
        <v>419.5</v>
      </c>
    </row>
    <row r="200" customFormat="false" ht="15" hidden="false" customHeight="false" outlineLevel="0" collapsed="false">
      <c r="A200" s="45"/>
      <c r="B200" s="31"/>
      <c r="C200" s="32"/>
      <c r="D200" s="31"/>
      <c r="E200" s="31"/>
      <c r="F200" s="29"/>
      <c r="G200" s="29" t="str">
        <f aca="false">IF(OR(D200="",E200="",F200=""),"",D200*E200*F200)</f>
        <v/>
      </c>
      <c r="H200" s="31"/>
      <c r="I200" s="36" t="str">
        <f aca="false">IF(OR(C200="",K200=""),"",IF(K200&gt;=_xlfn.MAXIFS($K$5:K199,$C$5:C199,C200),"Yes","No"))</f>
        <v/>
      </c>
      <c r="J200" s="32"/>
      <c r="K200" s="48" t="str">
        <f aca="false">IF(OR(E200="",F200=""),"",F200*(1+E200/30))</f>
        <v/>
      </c>
      <c r="L200" s="36" t="str">
        <f aca="false">IF(A200="","",INT((A200-StartDate)/7)+1)</f>
        <v/>
      </c>
      <c r="M200" s="36" t="str">
        <f aca="false">IF(A200="","",TEXT(A200,"mmm"))</f>
        <v/>
      </c>
      <c r="N200" s="48" t="str">
        <f aca="false">IFERROR(IF(ISNUMBER(SEARCH("squat",C200)),K200,""),"")</f>
        <v/>
      </c>
      <c r="O200" s="48" t="str">
        <f aca="false">IFERROR(IF(ISNUMBER(SEARCH("bench",C200)),K200,""),"")</f>
        <v/>
      </c>
      <c r="P200" s="48" t="str">
        <f aca="false">IFERROR(IF(ISNUMBER(SEARCH("deadlift",C200)),K200,""),"")</f>
        <v/>
      </c>
      <c r="V200" s="48" t="n">
        <f aca="false">MAX(V199,IF(N200="",0,N200))</f>
        <v>144.666666666667</v>
      </c>
      <c r="W200" s="48" t="n">
        <f aca="false">MAX(W199,IF(O200="",0,O200))</f>
        <v>99.1666666666667</v>
      </c>
      <c r="X200" s="48" t="n">
        <f aca="false">MAX(X199,IF(P200="",0,P200))</f>
        <v>175.666666666667</v>
      </c>
      <c r="Y200" s="48" t="n">
        <f aca="false">V200+W200+X200</f>
        <v>419.5</v>
      </c>
    </row>
    <row r="201" customFormat="false" ht="15" hidden="false" customHeight="false" outlineLevel="0" collapsed="false">
      <c r="A201" s="45"/>
      <c r="B201" s="31"/>
      <c r="C201" s="32"/>
      <c r="D201" s="31"/>
      <c r="E201" s="31"/>
      <c r="F201" s="29"/>
      <c r="G201" s="29" t="str">
        <f aca="false">IF(OR(D201="",E201="",F201=""),"",D201*E201*F201)</f>
        <v/>
      </c>
      <c r="H201" s="31"/>
      <c r="I201" s="46" t="str">
        <f aca="false">IF(OR(C201="",K201=""),"",IF(K201&gt;=_xlfn.MAXIFS($K$5:K200,$C$5:C200,C201),"Yes","No"))</f>
        <v/>
      </c>
      <c r="J201" s="32"/>
      <c r="K201" s="47" t="str">
        <f aca="false">IF(OR(E201="",F201=""),"",F201*(1+E201/30))</f>
        <v/>
      </c>
      <c r="L201" s="27" t="str">
        <f aca="false">IF(A201="","",INT((A201-StartDate)/7)+1)</f>
        <v/>
      </c>
      <c r="M201" s="27" t="str">
        <f aca="false">IF(A201="","",TEXT(A201,"mmm"))</f>
        <v/>
      </c>
      <c r="N201" s="47" t="str">
        <f aca="false">IFERROR(IF(ISNUMBER(SEARCH("squat",C201)),K201,""),"")</f>
        <v/>
      </c>
      <c r="O201" s="47" t="str">
        <f aca="false">IFERROR(IF(ISNUMBER(SEARCH("bench",C201)),K201,""),"")</f>
        <v/>
      </c>
      <c r="P201" s="47" t="str">
        <f aca="false">IFERROR(IF(ISNUMBER(SEARCH("deadlift",C201)),K201,""),"")</f>
        <v/>
      </c>
      <c r="V201" s="47" t="n">
        <f aca="false">MAX(V200,IF(N201="",0,N201))</f>
        <v>144.666666666667</v>
      </c>
      <c r="W201" s="47" t="n">
        <f aca="false">MAX(W200,IF(O201="",0,O201))</f>
        <v>99.1666666666667</v>
      </c>
      <c r="X201" s="47" t="n">
        <f aca="false">MAX(X200,IF(P201="",0,P201))</f>
        <v>175.666666666667</v>
      </c>
      <c r="Y201" s="47" t="n">
        <f aca="false">V201+W201+X201</f>
        <v>419.5</v>
      </c>
    </row>
    <row r="202" customFormat="false" ht="15" hidden="false" customHeight="false" outlineLevel="0" collapsed="false">
      <c r="A202" s="45"/>
      <c r="B202" s="31"/>
      <c r="C202" s="32"/>
      <c r="D202" s="31"/>
      <c r="E202" s="31"/>
      <c r="F202" s="29"/>
      <c r="G202" s="29" t="str">
        <f aca="false">IF(OR(D202="",E202="",F202=""),"",D202*E202*F202)</f>
        <v/>
      </c>
      <c r="H202" s="31"/>
      <c r="I202" s="36" t="str">
        <f aca="false">IF(OR(C202="",K202=""),"",IF(K202&gt;=_xlfn.MAXIFS($K$5:K201,$C$5:C201,C202),"Yes","No"))</f>
        <v/>
      </c>
      <c r="J202" s="32"/>
      <c r="K202" s="48" t="str">
        <f aca="false">IF(OR(E202="",F202=""),"",F202*(1+E202/30))</f>
        <v/>
      </c>
      <c r="L202" s="36" t="str">
        <f aca="false">IF(A202="","",INT((A202-StartDate)/7)+1)</f>
        <v/>
      </c>
      <c r="M202" s="36" t="str">
        <f aca="false">IF(A202="","",TEXT(A202,"mmm"))</f>
        <v/>
      </c>
      <c r="N202" s="48" t="str">
        <f aca="false">IFERROR(IF(ISNUMBER(SEARCH("squat",C202)),K202,""),"")</f>
        <v/>
      </c>
      <c r="O202" s="48" t="str">
        <f aca="false">IFERROR(IF(ISNUMBER(SEARCH("bench",C202)),K202,""),"")</f>
        <v/>
      </c>
      <c r="P202" s="48" t="str">
        <f aca="false">IFERROR(IF(ISNUMBER(SEARCH("deadlift",C202)),K202,""),"")</f>
        <v/>
      </c>
      <c r="V202" s="48" t="n">
        <f aca="false">MAX(V201,IF(N202="",0,N202))</f>
        <v>144.666666666667</v>
      </c>
      <c r="W202" s="48" t="n">
        <f aca="false">MAX(W201,IF(O202="",0,O202))</f>
        <v>99.1666666666667</v>
      </c>
      <c r="X202" s="48" t="n">
        <f aca="false">MAX(X201,IF(P202="",0,P202))</f>
        <v>175.666666666667</v>
      </c>
      <c r="Y202" s="48" t="n">
        <f aca="false">V202+W202+X202</f>
        <v>419.5</v>
      </c>
    </row>
    <row r="203" customFormat="false" ht="15" hidden="false" customHeight="false" outlineLevel="0" collapsed="false">
      <c r="A203" s="45"/>
      <c r="B203" s="31"/>
      <c r="C203" s="32"/>
      <c r="D203" s="31"/>
      <c r="E203" s="31"/>
      <c r="F203" s="29"/>
      <c r="G203" s="29" t="str">
        <f aca="false">IF(OR(D203="",E203="",F203=""),"",D203*E203*F203)</f>
        <v/>
      </c>
      <c r="H203" s="31"/>
      <c r="I203" s="46" t="str">
        <f aca="false">IF(OR(C203="",K203=""),"",IF(K203&gt;=_xlfn.MAXIFS($K$5:K202,$C$5:C202,C203),"Yes","No"))</f>
        <v/>
      </c>
      <c r="J203" s="32"/>
      <c r="K203" s="47" t="str">
        <f aca="false">IF(OR(E203="",F203=""),"",F203*(1+E203/30))</f>
        <v/>
      </c>
      <c r="L203" s="27" t="str">
        <f aca="false">IF(A203="","",INT((A203-StartDate)/7)+1)</f>
        <v/>
      </c>
      <c r="M203" s="27" t="str">
        <f aca="false">IF(A203="","",TEXT(A203,"mmm"))</f>
        <v/>
      </c>
      <c r="N203" s="47" t="str">
        <f aca="false">IFERROR(IF(ISNUMBER(SEARCH("squat",C203)),K203,""),"")</f>
        <v/>
      </c>
      <c r="O203" s="47" t="str">
        <f aca="false">IFERROR(IF(ISNUMBER(SEARCH("bench",C203)),K203,""),"")</f>
        <v/>
      </c>
      <c r="P203" s="47" t="str">
        <f aca="false">IFERROR(IF(ISNUMBER(SEARCH("deadlift",C203)),K203,""),"")</f>
        <v/>
      </c>
      <c r="V203" s="47" t="n">
        <f aca="false">MAX(V202,IF(N203="",0,N203))</f>
        <v>144.666666666667</v>
      </c>
      <c r="W203" s="47" t="n">
        <f aca="false">MAX(W202,IF(O203="",0,O203))</f>
        <v>99.1666666666667</v>
      </c>
      <c r="X203" s="47" t="n">
        <f aca="false">MAX(X202,IF(P203="",0,P203))</f>
        <v>175.666666666667</v>
      </c>
      <c r="Y203" s="47" t="n">
        <f aca="false">V203+W203+X203</f>
        <v>419.5</v>
      </c>
    </row>
    <row r="204" customFormat="false" ht="15" hidden="false" customHeight="false" outlineLevel="0" collapsed="false">
      <c r="A204" s="45"/>
      <c r="B204" s="31"/>
      <c r="C204" s="32"/>
      <c r="D204" s="31"/>
      <c r="E204" s="31"/>
      <c r="F204" s="29"/>
      <c r="G204" s="29" t="str">
        <f aca="false">IF(OR(D204="",E204="",F204=""),"",D204*E204*F204)</f>
        <v/>
      </c>
      <c r="H204" s="31"/>
      <c r="I204" s="36" t="str">
        <f aca="false">IF(OR(C204="",K204=""),"",IF(K204&gt;=_xlfn.MAXIFS($K$5:K203,$C$5:C203,C204),"Yes","No"))</f>
        <v/>
      </c>
      <c r="J204" s="32"/>
      <c r="K204" s="48" t="str">
        <f aca="false">IF(OR(E204="",F204=""),"",F204*(1+E204/30))</f>
        <v/>
      </c>
      <c r="L204" s="36" t="str">
        <f aca="false">IF(A204="","",INT((A204-StartDate)/7)+1)</f>
        <v/>
      </c>
      <c r="M204" s="36" t="str">
        <f aca="false">IF(A204="","",TEXT(A204,"mmm"))</f>
        <v/>
      </c>
      <c r="N204" s="48" t="str">
        <f aca="false">IFERROR(IF(ISNUMBER(SEARCH("squat",C204)),K204,""),"")</f>
        <v/>
      </c>
      <c r="O204" s="48" t="str">
        <f aca="false">IFERROR(IF(ISNUMBER(SEARCH("bench",C204)),K204,""),"")</f>
        <v/>
      </c>
      <c r="P204" s="48" t="str">
        <f aca="false">IFERROR(IF(ISNUMBER(SEARCH("deadlift",C204)),K204,""),"")</f>
        <v/>
      </c>
      <c r="V204" s="48" t="n">
        <f aca="false">MAX(V203,IF(N204="",0,N204))</f>
        <v>144.666666666667</v>
      </c>
      <c r="W204" s="48" t="n">
        <f aca="false">MAX(W203,IF(O204="",0,O204))</f>
        <v>99.1666666666667</v>
      </c>
      <c r="X204" s="48" t="n">
        <f aca="false">MAX(X203,IF(P204="",0,P204))</f>
        <v>175.666666666667</v>
      </c>
      <c r="Y204" s="48" t="n">
        <f aca="false">V204+W204+X204</f>
        <v>419.5</v>
      </c>
    </row>
    <row r="205" customFormat="false" ht="15" hidden="false" customHeight="false" outlineLevel="0" collapsed="false">
      <c r="A205" s="45"/>
      <c r="B205" s="31"/>
      <c r="C205" s="32"/>
      <c r="D205" s="31"/>
      <c r="E205" s="31"/>
      <c r="F205" s="29"/>
      <c r="G205" s="29" t="str">
        <f aca="false">IF(OR(D205="",E205="",F205=""),"",D205*E205*F205)</f>
        <v/>
      </c>
      <c r="H205" s="31"/>
      <c r="I205" s="46" t="str">
        <f aca="false">IF(OR(C205="",K205=""),"",IF(K205&gt;=_xlfn.MAXIFS($K$5:K204,$C$5:C204,C205),"Yes","No"))</f>
        <v/>
      </c>
      <c r="J205" s="32"/>
      <c r="K205" s="47" t="str">
        <f aca="false">IF(OR(E205="",F205=""),"",F205*(1+E205/30))</f>
        <v/>
      </c>
      <c r="L205" s="27" t="str">
        <f aca="false">IF(A205="","",INT((A205-StartDate)/7)+1)</f>
        <v/>
      </c>
      <c r="M205" s="27" t="str">
        <f aca="false">IF(A205="","",TEXT(A205,"mmm"))</f>
        <v/>
      </c>
      <c r="N205" s="47" t="str">
        <f aca="false">IFERROR(IF(ISNUMBER(SEARCH("squat",C205)),K205,""),"")</f>
        <v/>
      </c>
      <c r="O205" s="47" t="str">
        <f aca="false">IFERROR(IF(ISNUMBER(SEARCH("bench",C205)),K205,""),"")</f>
        <v/>
      </c>
      <c r="P205" s="47" t="str">
        <f aca="false">IFERROR(IF(ISNUMBER(SEARCH("deadlift",C205)),K205,""),"")</f>
        <v/>
      </c>
      <c r="V205" s="47" t="n">
        <f aca="false">MAX(V204,IF(N205="",0,N205))</f>
        <v>144.666666666667</v>
      </c>
      <c r="W205" s="47" t="n">
        <f aca="false">MAX(W204,IF(O205="",0,O205))</f>
        <v>99.1666666666667</v>
      </c>
      <c r="X205" s="47" t="n">
        <f aca="false">MAX(X204,IF(P205="",0,P205))</f>
        <v>175.666666666667</v>
      </c>
      <c r="Y205" s="47" t="n">
        <f aca="false">V205+W205+X205</f>
        <v>419.5</v>
      </c>
    </row>
    <row r="206" customFormat="false" ht="15" hidden="false" customHeight="false" outlineLevel="0" collapsed="false">
      <c r="A206" s="45"/>
      <c r="B206" s="31"/>
      <c r="C206" s="32"/>
      <c r="D206" s="31"/>
      <c r="E206" s="31"/>
      <c r="F206" s="29"/>
      <c r="G206" s="29" t="str">
        <f aca="false">IF(OR(D206="",E206="",F206=""),"",D206*E206*F206)</f>
        <v/>
      </c>
      <c r="H206" s="31"/>
      <c r="I206" s="36" t="str">
        <f aca="false">IF(OR(C206="",K206=""),"",IF(K206&gt;=_xlfn.MAXIFS($K$5:K205,$C$5:C205,C206),"Yes","No"))</f>
        <v/>
      </c>
      <c r="J206" s="32"/>
      <c r="K206" s="48" t="str">
        <f aca="false">IF(OR(E206="",F206=""),"",F206*(1+E206/30))</f>
        <v/>
      </c>
      <c r="L206" s="36" t="str">
        <f aca="false">IF(A206="","",INT((A206-StartDate)/7)+1)</f>
        <v/>
      </c>
      <c r="M206" s="36" t="str">
        <f aca="false">IF(A206="","",TEXT(A206,"mmm"))</f>
        <v/>
      </c>
      <c r="N206" s="48" t="str">
        <f aca="false">IFERROR(IF(ISNUMBER(SEARCH("squat",C206)),K206,""),"")</f>
        <v/>
      </c>
      <c r="O206" s="48" t="str">
        <f aca="false">IFERROR(IF(ISNUMBER(SEARCH("bench",C206)),K206,""),"")</f>
        <v/>
      </c>
      <c r="P206" s="48" t="str">
        <f aca="false">IFERROR(IF(ISNUMBER(SEARCH("deadlift",C206)),K206,""),"")</f>
        <v/>
      </c>
      <c r="V206" s="48" t="n">
        <f aca="false">MAX(V205,IF(N206="",0,N206))</f>
        <v>144.666666666667</v>
      </c>
      <c r="W206" s="48" t="n">
        <f aca="false">MAX(W205,IF(O206="",0,O206))</f>
        <v>99.1666666666667</v>
      </c>
      <c r="X206" s="48" t="n">
        <f aca="false">MAX(X205,IF(P206="",0,P206))</f>
        <v>175.666666666667</v>
      </c>
      <c r="Y206" s="48" t="n">
        <f aca="false">V206+W206+X206</f>
        <v>419.5</v>
      </c>
    </row>
    <row r="207" customFormat="false" ht="15" hidden="false" customHeight="false" outlineLevel="0" collapsed="false">
      <c r="A207" s="45"/>
      <c r="B207" s="31"/>
      <c r="C207" s="32"/>
      <c r="D207" s="31"/>
      <c r="E207" s="31"/>
      <c r="F207" s="29"/>
      <c r="G207" s="29" t="str">
        <f aca="false">IF(OR(D207="",E207="",F207=""),"",D207*E207*F207)</f>
        <v/>
      </c>
      <c r="H207" s="31"/>
      <c r="I207" s="46" t="str">
        <f aca="false">IF(OR(C207="",K207=""),"",IF(K207&gt;=_xlfn.MAXIFS($K$5:K206,$C$5:C206,C207),"Yes","No"))</f>
        <v/>
      </c>
      <c r="J207" s="32"/>
      <c r="K207" s="47" t="str">
        <f aca="false">IF(OR(E207="",F207=""),"",F207*(1+E207/30))</f>
        <v/>
      </c>
      <c r="L207" s="27" t="str">
        <f aca="false">IF(A207="","",INT((A207-StartDate)/7)+1)</f>
        <v/>
      </c>
      <c r="M207" s="27" t="str">
        <f aca="false">IF(A207="","",TEXT(A207,"mmm"))</f>
        <v/>
      </c>
      <c r="N207" s="47" t="str">
        <f aca="false">IFERROR(IF(ISNUMBER(SEARCH("squat",C207)),K207,""),"")</f>
        <v/>
      </c>
      <c r="O207" s="47" t="str">
        <f aca="false">IFERROR(IF(ISNUMBER(SEARCH("bench",C207)),K207,""),"")</f>
        <v/>
      </c>
      <c r="P207" s="47" t="str">
        <f aca="false">IFERROR(IF(ISNUMBER(SEARCH("deadlift",C207)),K207,""),"")</f>
        <v/>
      </c>
      <c r="V207" s="47" t="n">
        <f aca="false">MAX(V206,IF(N207="",0,N207))</f>
        <v>144.666666666667</v>
      </c>
      <c r="W207" s="47" t="n">
        <f aca="false">MAX(W206,IF(O207="",0,O207))</f>
        <v>99.1666666666667</v>
      </c>
      <c r="X207" s="47" t="n">
        <f aca="false">MAX(X206,IF(P207="",0,P207))</f>
        <v>175.666666666667</v>
      </c>
      <c r="Y207" s="47" t="n">
        <f aca="false">V207+W207+X207</f>
        <v>419.5</v>
      </c>
    </row>
    <row r="208" customFormat="false" ht="15" hidden="false" customHeight="false" outlineLevel="0" collapsed="false">
      <c r="A208" s="45"/>
      <c r="B208" s="31"/>
      <c r="C208" s="32"/>
      <c r="D208" s="31"/>
      <c r="E208" s="31"/>
      <c r="F208" s="29"/>
      <c r="G208" s="29" t="str">
        <f aca="false">IF(OR(D208="",E208="",F208=""),"",D208*E208*F208)</f>
        <v/>
      </c>
      <c r="H208" s="31"/>
      <c r="I208" s="36" t="str">
        <f aca="false">IF(OR(C208="",K208=""),"",IF(K208&gt;=_xlfn.MAXIFS($K$5:K207,$C$5:C207,C208),"Yes","No"))</f>
        <v/>
      </c>
      <c r="J208" s="32"/>
      <c r="K208" s="48" t="str">
        <f aca="false">IF(OR(E208="",F208=""),"",F208*(1+E208/30))</f>
        <v/>
      </c>
      <c r="L208" s="36" t="str">
        <f aca="false">IF(A208="","",INT((A208-StartDate)/7)+1)</f>
        <v/>
      </c>
      <c r="M208" s="36" t="str">
        <f aca="false">IF(A208="","",TEXT(A208,"mmm"))</f>
        <v/>
      </c>
      <c r="N208" s="48" t="str">
        <f aca="false">IFERROR(IF(ISNUMBER(SEARCH("squat",C208)),K208,""),"")</f>
        <v/>
      </c>
      <c r="O208" s="48" t="str">
        <f aca="false">IFERROR(IF(ISNUMBER(SEARCH("bench",C208)),K208,""),"")</f>
        <v/>
      </c>
      <c r="P208" s="48" t="str">
        <f aca="false">IFERROR(IF(ISNUMBER(SEARCH("deadlift",C208)),K208,""),"")</f>
        <v/>
      </c>
      <c r="V208" s="48" t="n">
        <f aca="false">MAX(V207,IF(N208="",0,N208))</f>
        <v>144.666666666667</v>
      </c>
      <c r="W208" s="48" t="n">
        <f aca="false">MAX(W207,IF(O208="",0,O208))</f>
        <v>99.1666666666667</v>
      </c>
      <c r="X208" s="48" t="n">
        <f aca="false">MAX(X207,IF(P208="",0,P208))</f>
        <v>175.666666666667</v>
      </c>
      <c r="Y208" s="48" t="n">
        <f aca="false">V208+W208+X208</f>
        <v>419.5</v>
      </c>
    </row>
    <row r="209" customFormat="false" ht="15" hidden="false" customHeight="false" outlineLevel="0" collapsed="false">
      <c r="A209" s="45"/>
      <c r="B209" s="31"/>
      <c r="C209" s="32"/>
      <c r="D209" s="31"/>
      <c r="E209" s="31"/>
      <c r="F209" s="29"/>
      <c r="G209" s="29" t="str">
        <f aca="false">IF(OR(D209="",E209="",F209=""),"",D209*E209*F209)</f>
        <v/>
      </c>
      <c r="H209" s="31"/>
      <c r="I209" s="46" t="str">
        <f aca="false">IF(OR(C209="",K209=""),"",IF(K209&gt;=_xlfn.MAXIFS($K$5:K208,$C$5:C208,C209),"Yes","No"))</f>
        <v/>
      </c>
      <c r="J209" s="32"/>
      <c r="K209" s="47" t="str">
        <f aca="false">IF(OR(E209="",F209=""),"",F209*(1+E209/30))</f>
        <v/>
      </c>
      <c r="L209" s="27" t="str">
        <f aca="false">IF(A209="","",INT((A209-StartDate)/7)+1)</f>
        <v/>
      </c>
      <c r="M209" s="27" t="str">
        <f aca="false">IF(A209="","",TEXT(A209,"mmm"))</f>
        <v/>
      </c>
      <c r="N209" s="47" t="str">
        <f aca="false">IFERROR(IF(ISNUMBER(SEARCH("squat",C209)),K209,""),"")</f>
        <v/>
      </c>
      <c r="O209" s="47" t="str">
        <f aca="false">IFERROR(IF(ISNUMBER(SEARCH("bench",C209)),K209,""),"")</f>
        <v/>
      </c>
      <c r="P209" s="47" t="str">
        <f aca="false">IFERROR(IF(ISNUMBER(SEARCH("deadlift",C209)),K209,""),"")</f>
        <v/>
      </c>
      <c r="V209" s="47" t="n">
        <f aca="false">MAX(V208,IF(N209="",0,N209))</f>
        <v>144.666666666667</v>
      </c>
      <c r="W209" s="47" t="n">
        <f aca="false">MAX(W208,IF(O209="",0,O209))</f>
        <v>99.1666666666667</v>
      </c>
      <c r="X209" s="47" t="n">
        <f aca="false">MAX(X208,IF(P209="",0,P209))</f>
        <v>175.666666666667</v>
      </c>
      <c r="Y209" s="47" t="n">
        <f aca="false">V209+W209+X209</f>
        <v>419.5</v>
      </c>
    </row>
    <row r="210" customFormat="false" ht="15" hidden="false" customHeight="false" outlineLevel="0" collapsed="false">
      <c r="A210" s="45"/>
      <c r="B210" s="31"/>
      <c r="C210" s="32"/>
      <c r="D210" s="31"/>
      <c r="E210" s="31"/>
      <c r="F210" s="29"/>
      <c r="G210" s="29" t="str">
        <f aca="false">IF(OR(D210="",E210="",F210=""),"",D210*E210*F210)</f>
        <v/>
      </c>
      <c r="H210" s="31"/>
      <c r="I210" s="36" t="str">
        <f aca="false">IF(OR(C210="",K210=""),"",IF(K210&gt;=_xlfn.MAXIFS($K$5:K209,$C$5:C209,C210),"Yes","No"))</f>
        <v/>
      </c>
      <c r="J210" s="32"/>
      <c r="K210" s="48" t="str">
        <f aca="false">IF(OR(E210="",F210=""),"",F210*(1+E210/30))</f>
        <v/>
      </c>
      <c r="L210" s="36" t="str">
        <f aca="false">IF(A210="","",INT((A210-StartDate)/7)+1)</f>
        <v/>
      </c>
      <c r="M210" s="36" t="str">
        <f aca="false">IF(A210="","",TEXT(A210,"mmm"))</f>
        <v/>
      </c>
      <c r="N210" s="48" t="str">
        <f aca="false">IFERROR(IF(ISNUMBER(SEARCH("squat",C210)),K210,""),"")</f>
        <v/>
      </c>
      <c r="O210" s="48" t="str">
        <f aca="false">IFERROR(IF(ISNUMBER(SEARCH("bench",C210)),K210,""),"")</f>
        <v/>
      </c>
      <c r="P210" s="48" t="str">
        <f aca="false">IFERROR(IF(ISNUMBER(SEARCH("deadlift",C210)),K210,""),"")</f>
        <v/>
      </c>
      <c r="V210" s="48" t="n">
        <f aca="false">MAX(V209,IF(N210="",0,N210))</f>
        <v>144.666666666667</v>
      </c>
      <c r="W210" s="48" t="n">
        <f aca="false">MAX(W209,IF(O210="",0,O210))</f>
        <v>99.1666666666667</v>
      </c>
      <c r="X210" s="48" t="n">
        <f aca="false">MAX(X209,IF(P210="",0,P210))</f>
        <v>175.666666666667</v>
      </c>
      <c r="Y210" s="48" t="n">
        <f aca="false">V210+W210+X210</f>
        <v>419.5</v>
      </c>
    </row>
    <row r="211" customFormat="false" ht="15" hidden="false" customHeight="false" outlineLevel="0" collapsed="false">
      <c r="A211" s="45"/>
      <c r="B211" s="31"/>
      <c r="C211" s="32"/>
      <c r="D211" s="31"/>
      <c r="E211" s="31"/>
      <c r="F211" s="29"/>
      <c r="G211" s="29" t="str">
        <f aca="false">IF(OR(D211="",E211="",F211=""),"",D211*E211*F211)</f>
        <v/>
      </c>
      <c r="H211" s="31"/>
      <c r="I211" s="46" t="str">
        <f aca="false">IF(OR(C211="",K211=""),"",IF(K211&gt;=_xlfn.MAXIFS($K$5:K210,$C$5:C210,C211),"Yes","No"))</f>
        <v/>
      </c>
      <c r="J211" s="32"/>
      <c r="K211" s="47" t="str">
        <f aca="false">IF(OR(E211="",F211=""),"",F211*(1+E211/30))</f>
        <v/>
      </c>
      <c r="L211" s="27" t="str">
        <f aca="false">IF(A211="","",INT((A211-StartDate)/7)+1)</f>
        <v/>
      </c>
      <c r="M211" s="27" t="str">
        <f aca="false">IF(A211="","",TEXT(A211,"mmm"))</f>
        <v/>
      </c>
      <c r="N211" s="47" t="str">
        <f aca="false">IFERROR(IF(ISNUMBER(SEARCH("squat",C211)),K211,""),"")</f>
        <v/>
      </c>
      <c r="O211" s="47" t="str">
        <f aca="false">IFERROR(IF(ISNUMBER(SEARCH("bench",C211)),K211,""),"")</f>
        <v/>
      </c>
      <c r="P211" s="47" t="str">
        <f aca="false">IFERROR(IF(ISNUMBER(SEARCH("deadlift",C211)),K211,""),"")</f>
        <v/>
      </c>
      <c r="V211" s="47" t="n">
        <f aca="false">MAX(V210,IF(N211="",0,N211))</f>
        <v>144.666666666667</v>
      </c>
      <c r="W211" s="47" t="n">
        <f aca="false">MAX(W210,IF(O211="",0,O211))</f>
        <v>99.1666666666667</v>
      </c>
      <c r="X211" s="47" t="n">
        <f aca="false">MAX(X210,IF(P211="",0,P211))</f>
        <v>175.666666666667</v>
      </c>
      <c r="Y211" s="47" t="n">
        <f aca="false">V211+W211+X211</f>
        <v>419.5</v>
      </c>
    </row>
    <row r="212" customFormat="false" ht="15" hidden="false" customHeight="false" outlineLevel="0" collapsed="false">
      <c r="A212" s="45"/>
      <c r="B212" s="31"/>
      <c r="C212" s="32"/>
      <c r="D212" s="31"/>
      <c r="E212" s="31"/>
      <c r="F212" s="29"/>
      <c r="G212" s="29" t="str">
        <f aca="false">IF(OR(D212="",E212="",F212=""),"",D212*E212*F212)</f>
        <v/>
      </c>
      <c r="H212" s="31"/>
      <c r="I212" s="36" t="str">
        <f aca="false">IF(OR(C212="",K212=""),"",IF(K212&gt;=_xlfn.MAXIFS($K$5:K211,$C$5:C211,C212),"Yes","No"))</f>
        <v/>
      </c>
      <c r="J212" s="32"/>
      <c r="K212" s="48" t="str">
        <f aca="false">IF(OR(E212="",F212=""),"",F212*(1+E212/30))</f>
        <v/>
      </c>
      <c r="L212" s="36" t="str">
        <f aca="false">IF(A212="","",INT((A212-StartDate)/7)+1)</f>
        <v/>
      </c>
      <c r="M212" s="36" t="str">
        <f aca="false">IF(A212="","",TEXT(A212,"mmm"))</f>
        <v/>
      </c>
      <c r="N212" s="48" t="str">
        <f aca="false">IFERROR(IF(ISNUMBER(SEARCH("squat",C212)),K212,""),"")</f>
        <v/>
      </c>
      <c r="O212" s="48" t="str">
        <f aca="false">IFERROR(IF(ISNUMBER(SEARCH("bench",C212)),K212,""),"")</f>
        <v/>
      </c>
      <c r="P212" s="48" t="str">
        <f aca="false">IFERROR(IF(ISNUMBER(SEARCH("deadlift",C212)),K212,""),"")</f>
        <v/>
      </c>
      <c r="V212" s="48" t="n">
        <f aca="false">MAX(V211,IF(N212="",0,N212))</f>
        <v>144.666666666667</v>
      </c>
      <c r="W212" s="48" t="n">
        <f aca="false">MAX(W211,IF(O212="",0,O212))</f>
        <v>99.1666666666667</v>
      </c>
      <c r="X212" s="48" t="n">
        <f aca="false">MAX(X211,IF(P212="",0,P212))</f>
        <v>175.666666666667</v>
      </c>
      <c r="Y212" s="48" t="n">
        <f aca="false">V212+W212+X212</f>
        <v>419.5</v>
      </c>
    </row>
    <row r="213" customFormat="false" ht="15" hidden="false" customHeight="false" outlineLevel="0" collapsed="false">
      <c r="A213" s="45"/>
      <c r="B213" s="31"/>
      <c r="C213" s="32"/>
      <c r="D213" s="31"/>
      <c r="E213" s="31"/>
      <c r="F213" s="29"/>
      <c r="G213" s="29" t="str">
        <f aca="false">IF(OR(D213="",E213="",F213=""),"",D213*E213*F213)</f>
        <v/>
      </c>
      <c r="H213" s="31"/>
      <c r="I213" s="46" t="str">
        <f aca="false">IF(OR(C213="",K213=""),"",IF(K213&gt;=_xlfn.MAXIFS($K$5:K212,$C$5:C212,C213),"Yes","No"))</f>
        <v/>
      </c>
      <c r="J213" s="32"/>
      <c r="K213" s="47" t="str">
        <f aca="false">IF(OR(E213="",F213=""),"",F213*(1+E213/30))</f>
        <v/>
      </c>
      <c r="L213" s="27" t="str">
        <f aca="false">IF(A213="","",INT((A213-StartDate)/7)+1)</f>
        <v/>
      </c>
      <c r="M213" s="27" t="str">
        <f aca="false">IF(A213="","",TEXT(A213,"mmm"))</f>
        <v/>
      </c>
      <c r="N213" s="47" t="str">
        <f aca="false">IFERROR(IF(ISNUMBER(SEARCH("squat",C213)),K213,""),"")</f>
        <v/>
      </c>
      <c r="O213" s="47" t="str">
        <f aca="false">IFERROR(IF(ISNUMBER(SEARCH("bench",C213)),K213,""),"")</f>
        <v/>
      </c>
      <c r="P213" s="47" t="str">
        <f aca="false">IFERROR(IF(ISNUMBER(SEARCH("deadlift",C213)),K213,""),"")</f>
        <v/>
      </c>
      <c r="V213" s="47" t="n">
        <f aca="false">MAX(V212,IF(N213="",0,N213))</f>
        <v>144.666666666667</v>
      </c>
      <c r="W213" s="47" t="n">
        <f aca="false">MAX(W212,IF(O213="",0,O213))</f>
        <v>99.1666666666667</v>
      </c>
      <c r="X213" s="47" t="n">
        <f aca="false">MAX(X212,IF(P213="",0,P213))</f>
        <v>175.666666666667</v>
      </c>
      <c r="Y213" s="47" t="n">
        <f aca="false">V213+W213+X213</f>
        <v>419.5</v>
      </c>
    </row>
    <row r="214" customFormat="false" ht="15" hidden="false" customHeight="false" outlineLevel="0" collapsed="false">
      <c r="A214" s="45"/>
      <c r="B214" s="31"/>
      <c r="C214" s="32"/>
      <c r="D214" s="31"/>
      <c r="E214" s="31"/>
      <c r="F214" s="29"/>
      <c r="G214" s="29" t="str">
        <f aca="false">IF(OR(D214="",E214="",F214=""),"",D214*E214*F214)</f>
        <v/>
      </c>
      <c r="H214" s="31"/>
      <c r="I214" s="36" t="str">
        <f aca="false">IF(OR(C214="",K214=""),"",IF(K214&gt;=_xlfn.MAXIFS($K$5:K213,$C$5:C213,C214),"Yes","No"))</f>
        <v/>
      </c>
      <c r="J214" s="32"/>
      <c r="K214" s="48" t="str">
        <f aca="false">IF(OR(E214="",F214=""),"",F214*(1+E214/30))</f>
        <v/>
      </c>
      <c r="L214" s="36" t="str">
        <f aca="false">IF(A214="","",INT((A214-StartDate)/7)+1)</f>
        <v/>
      </c>
      <c r="M214" s="36" t="str">
        <f aca="false">IF(A214="","",TEXT(A214,"mmm"))</f>
        <v/>
      </c>
      <c r="N214" s="48" t="str">
        <f aca="false">IFERROR(IF(ISNUMBER(SEARCH("squat",C214)),K214,""),"")</f>
        <v/>
      </c>
      <c r="O214" s="48" t="str">
        <f aca="false">IFERROR(IF(ISNUMBER(SEARCH("bench",C214)),K214,""),"")</f>
        <v/>
      </c>
      <c r="P214" s="48" t="str">
        <f aca="false">IFERROR(IF(ISNUMBER(SEARCH("deadlift",C214)),K214,""),"")</f>
        <v/>
      </c>
      <c r="V214" s="48" t="n">
        <f aca="false">MAX(V213,IF(N214="",0,N214))</f>
        <v>144.666666666667</v>
      </c>
      <c r="W214" s="48" t="n">
        <f aca="false">MAX(W213,IF(O214="",0,O214))</f>
        <v>99.1666666666667</v>
      </c>
      <c r="X214" s="48" t="n">
        <f aca="false">MAX(X213,IF(P214="",0,P214))</f>
        <v>175.666666666667</v>
      </c>
      <c r="Y214" s="48" t="n">
        <f aca="false">V214+W214+X214</f>
        <v>419.5</v>
      </c>
    </row>
    <row r="215" customFormat="false" ht="15" hidden="false" customHeight="false" outlineLevel="0" collapsed="false">
      <c r="A215" s="45"/>
      <c r="B215" s="31"/>
      <c r="C215" s="32"/>
      <c r="D215" s="31"/>
      <c r="E215" s="31"/>
      <c r="F215" s="29"/>
      <c r="G215" s="29" t="str">
        <f aca="false">IF(OR(D215="",E215="",F215=""),"",D215*E215*F215)</f>
        <v/>
      </c>
      <c r="H215" s="31"/>
      <c r="I215" s="46" t="str">
        <f aca="false">IF(OR(C215="",K215=""),"",IF(K215&gt;=_xlfn.MAXIFS($K$5:K214,$C$5:C214,C215),"Yes","No"))</f>
        <v/>
      </c>
      <c r="J215" s="32"/>
      <c r="K215" s="47" t="str">
        <f aca="false">IF(OR(E215="",F215=""),"",F215*(1+E215/30))</f>
        <v/>
      </c>
      <c r="L215" s="27" t="str">
        <f aca="false">IF(A215="","",INT((A215-StartDate)/7)+1)</f>
        <v/>
      </c>
      <c r="M215" s="27" t="str">
        <f aca="false">IF(A215="","",TEXT(A215,"mmm"))</f>
        <v/>
      </c>
      <c r="N215" s="47" t="str">
        <f aca="false">IFERROR(IF(ISNUMBER(SEARCH("squat",C215)),K215,""),"")</f>
        <v/>
      </c>
      <c r="O215" s="47" t="str">
        <f aca="false">IFERROR(IF(ISNUMBER(SEARCH("bench",C215)),K215,""),"")</f>
        <v/>
      </c>
      <c r="P215" s="47" t="str">
        <f aca="false">IFERROR(IF(ISNUMBER(SEARCH("deadlift",C215)),K215,""),"")</f>
        <v/>
      </c>
      <c r="V215" s="47" t="n">
        <f aca="false">MAX(V214,IF(N215="",0,N215))</f>
        <v>144.666666666667</v>
      </c>
      <c r="W215" s="47" t="n">
        <f aca="false">MAX(W214,IF(O215="",0,O215))</f>
        <v>99.1666666666667</v>
      </c>
      <c r="X215" s="47" t="n">
        <f aca="false">MAX(X214,IF(P215="",0,P215))</f>
        <v>175.666666666667</v>
      </c>
      <c r="Y215" s="47" t="n">
        <f aca="false">V215+W215+X215</f>
        <v>419.5</v>
      </c>
    </row>
    <row r="216" customFormat="false" ht="15" hidden="false" customHeight="false" outlineLevel="0" collapsed="false">
      <c r="A216" s="45"/>
      <c r="B216" s="31"/>
      <c r="C216" s="32"/>
      <c r="D216" s="31"/>
      <c r="E216" s="31"/>
      <c r="F216" s="29"/>
      <c r="G216" s="29" t="str">
        <f aca="false">IF(OR(D216="",E216="",F216=""),"",D216*E216*F216)</f>
        <v/>
      </c>
      <c r="H216" s="31"/>
      <c r="I216" s="36" t="str">
        <f aca="false">IF(OR(C216="",K216=""),"",IF(K216&gt;=_xlfn.MAXIFS($K$5:K215,$C$5:C215,C216),"Yes","No"))</f>
        <v/>
      </c>
      <c r="J216" s="32"/>
      <c r="K216" s="48" t="str">
        <f aca="false">IF(OR(E216="",F216=""),"",F216*(1+E216/30))</f>
        <v/>
      </c>
      <c r="L216" s="36" t="str">
        <f aca="false">IF(A216="","",INT((A216-StartDate)/7)+1)</f>
        <v/>
      </c>
      <c r="M216" s="36" t="str">
        <f aca="false">IF(A216="","",TEXT(A216,"mmm"))</f>
        <v/>
      </c>
      <c r="N216" s="48" t="str">
        <f aca="false">IFERROR(IF(ISNUMBER(SEARCH("squat",C216)),K216,""),"")</f>
        <v/>
      </c>
      <c r="O216" s="48" t="str">
        <f aca="false">IFERROR(IF(ISNUMBER(SEARCH("bench",C216)),K216,""),"")</f>
        <v/>
      </c>
      <c r="P216" s="48" t="str">
        <f aca="false">IFERROR(IF(ISNUMBER(SEARCH("deadlift",C216)),K216,""),"")</f>
        <v/>
      </c>
      <c r="V216" s="48" t="n">
        <f aca="false">MAX(V215,IF(N216="",0,N216))</f>
        <v>144.666666666667</v>
      </c>
      <c r="W216" s="48" t="n">
        <f aca="false">MAX(W215,IF(O216="",0,O216))</f>
        <v>99.1666666666667</v>
      </c>
      <c r="X216" s="48" t="n">
        <f aca="false">MAX(X215,IF(P216="",0,P216))</f>
        <v>175.666666666667</v>
      </c>
      <c r="Y216" s="48" t="n">
        <f aca="false">V216+W216+X216</f>
        <v>419.5</v>
      </c>
    </row>
    <row r="217" customFormat="false" ht="15" hidden="false" customHeight="false" outlineLevel="0" collapsed="false">
      <c r="A217" s="45"/>
      <c r="B217" s="31"/>
      <c r="C217" s="32"/>
      <c r="D217" s="31"/>
      <c r="E217" s="31"/>
      <c r="F217" s="29"/>
      <c r="G217" s="29" t="str">
        <f aca="false">IF(OR(D217="",E217="",F217=""),"",D217*E217*F217)</f>
        <v/>
      </c>
      <c r="H217" s="31"/>
      <c r="I217" s="46" t="str">
        <f aca="false">IF(OR(C217="",K217=""),"",IF(K217&gt;=_xlfn.MAXIFS($K$5:K216,$C$5:C216,C217),"Yes","No"))</f>
        <v/>
      </c>
      <c r="J217" s="32"/>
      <c r="K217" s="47" t="str">
        <f aca="false">IF(OR(E217="",F217=""),"",F217*(1+E217/30))</f>
        <v/>
      </c>
      <c r="L217" s="27" t="str">
        <f aca="false">IF(A217="","",INT((A217-StartDate)/7)+1)</f>
        <v/>
      </c>
      <c r="M217" s="27" t="str">
        <f aca="false">IF(A217="","",TEXT(A217,"mmm"))</f>
        <v/>
      </c>
      <c r="N217" s="47" t="str">
        <f aca="false">IFERROR(IF(ISNUMBER(SEARCH("squat",C217)),K217,""),"")</f>
        <v/>
      </c>
      <c r="O217" s="47" t="str">
        <f aca="false">IFERROR(IF(ISNUMBER(SEARCH("bench",C217)),K217,""),"")</f>
        <v/>
      </c>
      <c r="P217" s="47" t="str">
        <f aca="false">IFERROR(IF(ISNUMBER(SEARCH("deadlift",C217)),K217,""),"")</f>
        <v/>
      </c>
      <c r="V217" s="47" t="n">
        <f aca="false">MAX(V216,IF(N217="",0,N217))</f>
        <v>144.666666666667</v>
      </c>
      <c r="W217" s="47" t="n">
        <f aca="false">MAX(W216,IF(O217="",0,O217))</f>
        <v>99.1666666666667</v>
      </c>
      <c r="X217" s="47" t="n">
        <f aca="false">MAX(X216,IF(P217="",0,P217))</f>
        <v>175.666666666667</v>
      </c>
      <c r="Y217" s="47" t="n">
        <f aca="false">V217+W217+X217</f>
        <v>419.5</v>
      </c>
    </row>
    <row r="218" customFormat="false" ht="15" hidden="false" customHeight="false" outlineLevel="0" collapsed="false">
      <c r="A218" s="45"/>
      <c r="B218" s="31"/>
      <c r="C218" s="32"/>
      <c r="D218" s="31"/>
      <c r="E218" s="31"/>
      <c r="F218" s="29"/>
      <c r="G218" s="29" t="str">
        <f aca="false">IF(OR(D218="",E218="",F218=""),"",D218*E218*F218)</f>
        <v/>
      </c>
      <c r="H218" s="31"/>
      <c r="I218" s="36" t="str">
        <f aca="false">IF(OR(C218="",K218=""),"",IF(K218&gt;=_xlfn.MAXIFS($K$5:K217,$C$5:C217,C218),"Yes","No"))</f>
        <v/>
      </c>
      <c r="J218" s="32"/>
      <c r="K218" s="48" t="str">
        <f aca="false">IF(OR(E218="",F218=""),"",F218*(1+E218/30))</f>
        <v/>
      </c>
      <c r="L218" s="36" t="str">
        <f aca="false">IF(A218="","",INT((A218-StartDate)/7)+1)</f>
        <v/>
      </c>
      <c r="M218" s="36" t="str">
        <f aca="false">IF(A218="","",TEXT(A218,"mmm"))</f>
        <v/>
      </c>
      <c r="N218" s="48" t="str">
        <f aca="false">IFERROR(IF(ISNUMBER(SEARCH("squat",C218)),K218,""),"")</f>
        <v/>
      </c>
      <c r="O218" s="48" t="str">
        <f aca="false">IFERROR(IF(ISNUMBER(SEARCH("bench",C218)),K218,""),"")</f>
        <v/>
      </c>
      <c r="P218" s="48" t="str">
        <f aca="false">IFERROR(IF(ISNUMBER(SEARCH("deadlift",C218)),K218,""),"")</f>
        <v/>
      </c>
      <c r="V218" s="48" t="n">
        <f aca="false">MAX(V217,IF(N218="",0,N218))</f>
        <v>144.666666666667</v>
      </c>
      <c r="W218" s="48" t="n">
        <f aca="false">MAX(W217,IF(O218="",0,O218))</f>
        <v>99.1666666666667</v>
      </c>
      <c r="X218" s="48" t="n">
        <f aca="false">MAX(X217,IF(P218="",0,P218))</f>
        <v>175.666666666667</v>
      </c>
      <c r="Y218" s="48" t="n">
        <f aca="false">V218+W218+X218</f>
        <v>419.5</v>
      </c>
    </row>
    <row r="219" customFormat="false" ht="15" hidden="false" customHeight="false" outlineLevel="0" collapsed="false">
      <c r="A219" s="45"/>
      <c r="B219" s="31"/>
      <c r="C219" s="32"/>
      <c r="D219" s="31"/>
      <c r="E219" s="31"/>
      <c r="F219" s="29"/>
      <c r="G219" s="29" t="str">
        <f aca="false">IF(OR(D219="",E219="",F219=""),"",D219*E219*F219)</f>
        <v/>
      </c>
      <c r="H219" s="31"/>
      <c r="I219" s="46" t="str">
        <f aca="false">IF(OR(C219="",K219=""),"",IF(K219&gt;=_xlfn.MAXIFS($K$5:K218,$C$5:C218,C219),"Yes","No"))</f>
        <v/>
      </c>
      <c r="J219" s="32"/>
      <c r="K219" s="47" t="str">
        <f aca="false">IF(OR(E219="",F219=""),"",F219*(1+E219/30))</f>
        <v/>
      </c>
      <c r="L219" s="27" t="str">
        <f aca="false">IF(A219="","",INT((A219-StartDate)/7)+1)</f>
        <v/>
      </c>
      <c r="M219" s="27" t="str">
        <f aca="false">IF(A219="","",TEXT(A219,"mmm"))</f>
        <v/>
      </c>
      <c r="N219" s="47" t="str">
        <f aca="false">IFERROR(IF(ISNUMBER(SEARCH("squat",C219)),K219,""),"")</f>
        <v/>
      </c>
      <c r="O219" s="47" t="str">
        <f aca="false">IFERROR(IF(ISNUMBER(SEARCH("bench",C219)),K219,""),"")</f>
        <v/>
      </c>
      <c r="P219" s="47" t="str">
        <f aca="false">IFERROR(IF(ISNUMBER(SEARCH("deadlift",C219)),K219,""),"")</f>
        <v/>
      </c>
      <c r="V219" s="47" t="n">
        <f aca="false">MAX(V218,IF(N219="",0,N219))</f>
        <v>144.666666666667</v>
      </c>
      <c r="W219" s="47" t="n">
        <f aca="false">MAX(W218,IF(O219="",0,O219))</f>
        <v>99.1666666666667</v>
      </c>
      <c r="X219" s="47" t="n">
        <f aca="false">MAX(X218,IF(P219="",0,P219))</f>
        <v>175.666666666667</v>
      </c>
      <c r="Y219" s="47" t="n">
        <f aca="false">V219+W219+X219</f>
        <v>419.5</v>
      </c>
    </row>
    <row r="220" customFormat="false" ht="15" hidden="false" customHeight="false" outlineLevel="0" collapsed="false">
      <c r="A220" s="45"/>
      <c r="B220" s="31"/>
      <c r="C220" s="32"/>
      <c r="D220" s="31"/>
      <c r="E220" s="31"/>
      <c r="F220" s="29"/>
      <c r="G220" s="29" t="str">
        <f aca="false">IF(OR(D220="",E220="",F220=""),"",D220*E220*F220)</f>
        <v/>
      </c>
      <c r="H220" s="31"/>
      <c r="I220" s="36" t="str">
        <f aca="false">IF(OR(C220="",K220=""),"",IF(K220&gt;=_xlfn.MAXIFS($K$5:K219,$C$5:C219,C220),"Yes","No"))</f>
        <v/>
      </c>
      <c r="J220" s="32"/>
      <c r="K220" s="48" t="str">
        <f aca="false">IF(OR(E220="",F220=""),"",F220*(1+E220/30))</f>
        <v/>
      </c>
      <c r="L220" s="36" t="str">
        <f aca="false">IF(A220="","",INT((A220-StartDate)/7)+1)</f>
        <v/>
      </c>
      <c r="M220" s="36" t="str">
        <f aca="false">IF(A220="","",TEXT(A220,"mmm"))</f>
        <v/>
      </c>
      <c r="N220" s="48" t="str">
        <f aca="false">IFERROR(IF(ISNUMBER(SEARCH("squat",C220)),K220,""),"")</f>
        <v/>
      </c>
      <c r="O220" s="48" t="str">
        <f aca="false">IFERROR(IF(ISNUMBER(SEARCH("bench",C220)),K220,""),"")</f>
        <v/>
      </c>
      <c r="P220" s="48" t="str">
        <f aca="false">IFERROR(IF(ISNUMBER(SEARCH("deadlift",C220)),K220,""),"")</f>
        <v/>
      </c>
      <c r="V220" s="48" t="n">
        <f aca="false">MAX(V219,IF(N220="",0,N220))</f>
        <v>144.666666666667</v>
      </c>
      <c r="W220" s="48" t="n">
        <f aca="false">MAX(W219,IF(O220="",0,O220))</f>
        <v>99.1666666666667</v>
      </c>
      <c r="X220" s="48" t="n">
        <f aca="false">MAX(X219,IF(P220="",0,P220))</f>
        <v>175.666666666667</v>
      </c>
      <c r="Y220" s="48" t="n">
        <f aca="false">V220+W220+X220</f>
        <v>419.5</v>
      </c>
    </row>
    <row r="221" customFormat="false" ht="15" hidden="false" customHeight="false" outlineLevel="0" collapsed="false">
      <c r="A221" s="45"/>
      <c r="B221" s="31"/>
      <c r="C221" s="32"/>
      <c r="D221" s="31"/>
      <c r="E221" s="31"/>
      <c r="F221" s="29"/>
      <c r="G221" s="29" t="str">
        <f aca="false">IF(OR(D221="",E221="",F221=""),"",D221*E221*F221)</f>
        <v/>
      </c>
      <c r="H221" s="31"/>
      <c r="I221" s="46" t="str">
        <f aca="false">IF(OR(C221="",K221=""),"",IF(K221&gt;=_xlfn.MAXIFS($K$5:K220,$C$5:C220,C221),"Yes","No"))</f>
        <v/>
      </c>
      <c r="J221" s="32"/>
      <c r="K221" s="47" t="str">
        <f aca="false">IF(OR(E221="",F221=""),"",F221*(1+E221/30))</f>
        <v/>
      </c>
      <c r="L221" s="27" t="str">
        <f aca="false">IF(A221="","",INT((A221-StartDate)/7)+1)</f>
        <v/>
      </c>
      <c r="M221" s="27" t="str">
        <f aca="false">IF(A221="","",TEXT(A221,"mmm"))</f>
        <v/>
      </c>
      <c r="N221" s="47" t="str">
        <f aca="false">IFERROR(IF(ISNUMBER(SEARCH("squat",C221)),K221,""),"")</f>
        <v/>
      </c>
      <c r="O221" s="47" t="str">
        <f aca="false">IFERROR(IF(ISNUMBER(SEARCH("bench",C221)),K221,""),"")</f>
        <v/>
      </c>
      <c r="P221" s="47" t="str">
        <f aca="false">IFERROR(IF(ISNUMBER(SEARCH("deadlift",C221)),K221,""),"")</f>
        <v/>
      </c>
      <c r="V221" s="47" t="n">
        <f aca="false">MAX(V220,IF(N221="",0,N221))</f>
        <v>144.666666666667</v>
      </c>
      <c r="W221" s="47" t="n">
        <f aca="false">MAX(W220,IF(O221="",0,O221))</f>
        <v>99.1666666666667</v>
      </c>
      <c r="X221" s="47" t="n">
        <f aca="false">MAX(X220,IF(P221="",0,P221))</f>
        <v>175.666666666667</v>
      </c>
      <c r="Y221" s="47" t="n">
        <f aca="false">V221+W221+X221</f>
        <v>419.5</v>
      </c>
    </row>
    <row r="222" customFormat="false" ht="15" hidden="false" customHeight="false" outlineLevel="0" collapsed="false">
      <c r="A222" s="45"/>
      <c r="B222" s="31"/>
      <c r="C222" s="32"/>
      <c r="D222" s="31"/>
      <c r="E222" s="31"/>
      <c r="F222" s="29"/>
      <c r="G222" s="29" t="str">
        <f aca="false">IF(OR(D222="",E222="",F222=""),"",D222*E222*F222)</f>
        <v/>
      </c>
      <c r="H222" s="31"/>
      <c r="I222" s="36" t="str">
        <f aca="false">IF(OR(C222="",K222=""),"",IF(K222&gt;=_xlfn.MAXIFS($K$5:K221,$C$5:C221,C222),"Yes","No"))</f>
        <v/>
      </c>
      <c r="J222" s="32"/>
      <c r="K222" s="48" t="str">
        <f aca="false">IF(OR(E222="",F222=""),"",F222*(1+E222/30))</f>
        <v/>
      </c>
      <c r="L222" s="36" t="str">
        <f aca="false">IF(A222="","",INT((A222-StartDate)/7)+1)</f>
        <v/>
      </c>
      <c r="M222" s="36" t="str">
        <f aca="false">IF(A222="","",TEXT(A222,"mmm"))</f>
        <v/>
      </c>
      <c r="N222" s="48" t="str">
        <f aca="false">IFERROR(IF(ISNUMBER(SEARCH("squat",C222)),K222,""),"")</f>
        <v/>
      </c>
      <c r="O222" s="48" t="str">
        <f aca="false">IFERROR(IF(ISNUMBER(SEARCH("bench",C222)),K222,""),"")</f>
        <v/>
      </c>
      <c r="P222" s="48" t="str">
        <f aca="false">IFERROR(IF(ISNUMBER(SEARCH("deadlift",C222)),K222,""),"")</f>
        <v/>
      </c>
      <c r="V222" s="48" t="n">
        <f aca="false">MAX(V221,IF(N222="",0,N222))</f>
        <v>144.666666666667</v>
      </c>
      <c r="W222" s="48" t="n">
        <f aca="false">MAX(W221,IF(O222="",0,O222))</f>
        <v>99.1666666666667</v>
      </c>
      <c r="X222" s="48" t="n">
        <f aca="false">MAX(X221,IF(P222="",0,P222))</f>
        <v>175.666666666667</v>
      </c>
      <c r="Y222" s="48" t="n">
        <f aca="false">V222+W222+X222</f>
        <v>419.5</v>
      </c>
    </row>
    <row r="223" customFormat="false" ht="15" hidden="false" customHeight="false" outlineLevel="0" collapsed="false">
      <c r="A223" s="45"/>
      <c r="B223" s="31"/>
      <c r="C223" s="32"/>
      <c r="D223" s="31"/>
      <c r="E223" s="31"/>
      <c r="F223" s="29"/>
      <c r="G223" s="29" t="str">
        <f aca="false">IF(OR(D223="",E223="",F223=""),"",D223*E223*F223)</f>
        <v/>
      </c>
      <c r="H223" s="31"/>
      <c r="I223" s="46" t="str">
        <f aca="false">IF(OR(C223="",K223=""),"",IF(K223&gt;=_xlfn.MAXIFS($K$5:K222,$C$5:C222,C223),"Yes","No"))</f>
        <v/>
      </c>
      <c r="J223" s="32"/>
      <c r="K223" s="47" t="str">
        <f aca="false">IF(OR(E223="",F223=""),"",F223*(1+E223/30))</f>
        <v/>
      </c>
      <c r="L223" s="27" t="str">
        <f aca="false">IF(A223="","",INT((A223-StartDate)/7)+1)</f>
        <v/>
      </c>
      <c r="M223" s="27" t="str">
        <f aca="false">IF(A223="","",TEXT(A223,"mmm"))</f>
        <v/>
      </c>
      <c r="N223" s="47" t="str">
        <f aca="false">IFERROR(IF(ISNUMBER(SEARCH("squat",C223)),K223,""),"")</f>
        <v/>
      </c>
      <c r="O223" s="47" t="str">
        <f aca="false">IFERROR(IF(ISNUMBER(SEARCH("bench",C223)),K223,""),"")</f>
        <v/>
      </c>
      <c r="P223" s="47" t="str">
        <f aca="false">IFERROR(IF(ISNUMBER(SEARCH("deadlift",C223)),K223,""),"")</f>
        <v/>
      </c>
      <c r="V223" s="47" t="n">
        <f aca="false">MAX(V222,IF(N223="",0,N223))</f>
        <v>144.666666666667</v>
      </c>
      <c r="W223" s="47" t="n">
        <f aca="false">MAX(W222,IF(O223="",0,O223))</f>
        <v>99.1666666666667</v>
      </c>
      <c r="X223" s="47" t="n">
        <f aca="false">MAX(X222,IF(P223="",0,P223))</f>
        <v>175.666666666667</v>
      </c>
      <c r="Y223" s="47" t="n">
        <f aca="false">V223+W223+X223</f>
        <v>419.5</v>
      </c>
    </row>
    <row r="224" customFormat="false" ht="15" hidden="false" customHeight="false" outlineLevel="0" collapsed="false">
      <c r="A224" s="45"/>
      <c r="B224" s="31"/>
      <c r="C224" s="32"/>
      <c r="D224" s="31"/>
      <c r="E224" s="31"/>
      <c r="F224" s="29"/>
      <c r="G224" s="29" t="str">
        <f aca="false">IF(OR(D224="",E224="",F224=""),"",D224*E224*F224)</f>
        <v/>
      </c>
      <c r="H224" s="31"/>
      <c r="I224" s="36" t="str">
        <f aca="false">IF(OR(C224="",K224=""),"",IF(K224&gt;=_xlfn.MAXIFS($K$5:K223,$C$5:C223,C224),"Yes","No"))</f>
        <v/>
      </c>
      <c r="J224" s="32"/>
      <c r="K224" s="48" t="str">
        <f aca="false">IF(OR(E224="",F224=""),"",F224*(1+E224/30))</f>
        <v/>
      </c>
      <c r="L224" s="36" t="str">
        <f aca="false">IF(A224="","",INT((A224-StartDate)/7)+1)</f>
        <v/>
      </c>
      <c r="M224" s="36" t="str">
        <f aca="false">IF(A224="","",TEXT(A224,"mmm"))</f>
        <v/>
      </c>
      <c r="N224" s="48" t="str">
        <f aca="false">IFERROR(IF(ISNUMBER(SEARCH("squat",C224)),K224,""),"")</f>
        <v/>
      </c>
      <c r="O224" s="48" t="str">
        <f aca="false">IFERROR(IF(ISNUMBER(SEARCH("bench",C224)),K224,""),"")</f>
        <v/>
      </c>
      <c r="P224" s="48" t="str">
        <f aca="false">IFERROR(IF(ISNUMBER(SEARCH("deadlift",C224)),K224,""),"")</f>
        <v/>
      </c>
      <c r="V224" s="48" t="n">
        <f aca="false">MAX(V223,IF(N224="",0,N224))</f>
        <v>144.666666666667</v>
      </c>
      <c r="W224" s="48" t="n">
        <f aca="false">MAX(W223,IF(O224="",0,O224))</f>
        <v>99.1666666666667</v>
      </c>
      <c r="X224" s="48" t="n">
        <f aca="false">MAX(X223,IF(P224="",0,P224))</f>
        <v>175.666666666667</v>
      </c>
      <c r="Y224" s="48" t="n">
        <f aca="false">V224+W224+X224</f>
        <v>419.5</v>
      </c>
    </row>
    <row r="225" customFormat="false" ht="15" hidden="false" customHeight="false" outlineLevel="0" collapsed="false">
      <c r="A225" s="45"/>
      <c r="B225" s="31"/>
      <c r="C225" s="32"/>
      <c r="D225" s="31"/>
      <c r="E225" s="31"/>
      <c r="F225" s="29"/>
      <c r="G225" s="29" t="str">
        <f aca="false">IF(OR(D225="",E225="",F225=""),"",D225*E225*F225)</f>
        <v/>
      </c>
      <c r="H225" s="31"/>
      <c r="I225" s="46" t="str">
        <f aca="false">IF(OR(C225="",K225=""),"",IF(K225&gt;=_xlfn.MAXIFS($K$5:K224,$C$5:C224,C225),"Yes","No"))</f>
        <v/>
      </c>
      <c r="J225" s="32"/>
      <c r="K225" s="47" t="str">
        <f aca="false">IF(OR(E225="",F225=""),"",F225*(1+E225/30))</f>
        <v/>
      </c>
      <c r="L225" s="27" t="str">
        <f aca="false">IF(A225="","",INT((A225-StartDate)/7)+1)</f>
        <v/>
      </c>
      <c r="M225" s="27" t="str">
        <f aca="false">IF(A225="","",TEXT(A225,"mmm"))</f>
        <v/>
      </c>
      <c r="N225" s="47" t="str">
        <f aca="false">IFERROR(IF(ISNUMBER(SEARCH("squat",C225)),K225,""),"")</f>
        <v/>
      </c>
      <c r="O225" s="47" t="str">
        <f aca="false">IFERROR(IF(ISNUMBER(SEARCH("bench",C225)),K225,""),"")</f>
        <v/>
      </c>
      <c r="P225" s="47" t="str">
        <f aca="false">IFERROR(IF(ISNUMBER(SEARCH("deadlift",C225)),K225,""),"")</f>
        <v/>
      </c>
      <c r="V225" s="47" t="n">
        <f aca="false">MAX(V224,IF(N225="",0,N225))</f>
        <v>144.666666666667</v>
      </c>
      <c r="W225" s="47" t="n">
        <f aca="false">MAX(W224,IF(O225="",0,O225))</f>
        <v>99.1666666666667</v>
      </c>
      <c r="X225" s="47" t="n">
        <f aca="false">MAX(X224,IF(P225="",0,P225))</f>
        <v>175.666666666667</v>
      </c>
      <c r="Y225" s="47" t="n">
        <f aca="false">V225+W225+X225</f>
        <v>419.5</v>
      </c>
    </row>
    <row r="226" customFormat="false" ht="15" hidden="false" customHeight="false" outlineLevel="0" collapsed="false">
      <c r="A226" s="45"/>
      <c r="B226" s="31"/>
      <c r="C226" s="32"/>
      <c r="D226" s="31"/>
      <c r="E226" s="31"/>
      <c r="F226" s="29"/>
      <c r="G226" s="29" t="str">
        <f aca="false">IF(OR(D226="",E226="",F226=""),"",D226*E226*F226)</f>
        <v/>
      </c>
      <c r="H226" s="31"/>
      <c r="I226" s="36" t="str">
        <f aca="false">IF(OR(C226="",K226=""),"",IF(K226&gt;=_xlfn.MAXIFS($K$5:K225,$C$5:C225,C226),"Yes","No"))</f>
        <v/>
      </c>
      <c r="J226" s="32"/>
      <c r="K226" s="48" t="str">
        <f aca="false">IF(OR(E226="",F226=""),"",F226*(1+E226/30))</f>
        <v/>
      </c>
      <c r="L226" s="36" t="str">
        <f aca="false">IF(A226="","",INT((A226-StartDate)/7)+1)</f>
        <v/>
      </c>
      <c r="M226" s="36" t="str">
        <f aca="false">IF(A226="","",TEXT(A226,"mmm"))</f>
        <v/>
      </c>
      <c r="N226" s="48" t="str">
        <f aca="false">IFERROR(IF(ISNUMBER(SEARCH("squat",C226)),K226,""),"")</f>
        <v/>
      </c>
      <c r="O226" s="48" t="str">
        <f aca="false">IFERROR(IF(ISNUMBER(SEARCH("bench",C226)),K226,""),"")</f>
        <v/>
      </c>
      <c r="P226" s="48" t="str">
        <f aca="false">IFERROR(IF(ISNUMBER(SEARCH("deadlift",C226)),K226,""),"")</f>
        <v/>
      </c>
      <c r="V226" s="48" t="n">
        <f aca="false">MAX(V225,IF(N226="",0,N226))</f>
        <v>144.666666666667</v>
      </c>
      <c r="W226" s="48" t="n">
        <f aca="false">MAX(W225,IF(O226="",0,O226))</f>
        <v>99.1666666666667</v>
      </c>
      <c r="X226" s="48" t="n">
        <f aca="false">MAX(X225,IF(P226="",0,P226))</f>
        <v>175.666666666667</v>
      </c>
      <c r="Y226" s="48" t="n">
        <f aca="false">V226+W226+X226</f>
        <v>419.5</v>
      </c>
    </row>
    <row r="227" customFormat="false" ht="15" hidden="false" customHeight="false" outlineLevel="0" collapsed="false">
      <c r="A227" s="45"/>
      <c r="B227" s="31"/>
      <c r="C227" s="32"/>
      <c r="D227" s="31"/>
      <c r="E227" s="31"/>
      <c r="F227" s="29"/>
      <c r="G227" s="29" t="str">
        <f aca="false">IF(OR(D227="",E227="",F227=""),"",D227*E227*F227)</f>
        <v/>
      </c>
      <c r="H227" s="31"/>
      <c r="I227" s="46" t="str">
        <f aca="false">IF(OR(C227="",K227=""),"",IF(K227&gt;=_xlfn.MAXIFS($K$5:K226,$C$5:C226,C227),"Yes","No"))</f>
        <v/>
      </c>
      <c r="J227" s="32"/>
      <c r="K227" s="47" t="str">
        <f aca="false">IF(OR(E227="",F227=""),"",F227*(1+E227/30))</f>
        <v/>
      </c>
      <c r="L227" s="27" t="str">
        <f aca="false">IF(A227="","",INT((A227-StartDate)/7)+1)</f>
        <v/>
      </c>
      <c r="M227" s="27" t="str">
        <f aca="false">IF(A227="","",TEXT(A227,"mmm"))</f>
        <v/>
      </c>
      <c r="N227" s="47" t="str">
        <f aca="false">IFERROR(IF(ISNUMBER(SEARCH("squat",C227)),K227,""),"")</f>
        <v/>
      </c>
      <c r="O227" s="47" t="str">
        <f aca="false">IFERROR(IF(ISNUMBER(SEARCH("bench",C227)),K227,""),"")</f>
        <v/>
      </c>
      <c r="P227" s="47" t="str">
        <f aca="false">IFERROR(IF(ISNUMBER(SEARCH("deadlift",C227)),K227,""),"")</f>
        <v/>
      </c>
      <c r="V227" s="47" t="n">
        <f aca="false">MAX(V226,IF(N227="",0,N227))</f>
        <v>144.666666666667</v>
      </c>
      <c r="W227" s="47" t="n">
        <f aca="false">MAX(W226,IF(O227="",0,O227))</f>
        <v>99.1666666666667</v>
      </c>
      <c r="X227" s="47" t="n">
        <f aca="false">MAX(X226,IF(P227="",0,P227))</f>
        <v>175.666666666667</v>
      </c>
      <c r="Y227" s="47" t="n">
        <f aca="false">V227+W227+X227</f>
        <v>419.5</v>
      </c>
    </row>
    <row r="228" customFormat="false" ht="15" hidden="false" customHeight="false" outlineLevel="0" collapsed="false">
      <c r="A228" s="45"/>
      <c r="B228" s="31"/>
      <c r="C228" s="32"/>
      <c r="D228" s="31"/>
      <c r="E228" s="31"/>
      <c r="F228" s="29"/>
      <c r="G228" s="29" t="str">
        <f aca="false">IF(OR(D228="",E228="",F228=""),"",D228*E228*F228)</f>
        <v/>
      </c>
      <c r="H228" s="31"/>
      <c r="I228" s="36" t="str">
        <f aca="false">IF(OR(C228="",K228=""),"",IF(K228&gt;=_xlfn.MAXIFS($K$5:K227,$C$5:C227,C228),"Yes","No"))</f>
        <v/>
      </c>
      <c r="J228" s="32"/>
      <c r="K228" s="48" t="str">
        <f aca="false">IF(OR(E228="",F228=""),"",F228*(1+E228/30))</f>
        <v/>
      </c>
      <c r="L228" s="36" t="str">
        <f aca="false">IF(A228="","",INT((A228-StartDate)/7)+1)</f>
        <v/>
      </c>
      <c r="M228" s="36" t="str">
        <f aca="false">IF(A228="","",TEXT(A228,"mmm"))</f>
        <v/>
      </c>
      <c r="N228" s="48" t="str">
        <f aca="false">IFERROR(IF(ISNUMBER(SEARCH("squat",C228)),K228,""),"")</f>
        <v/>
      </c>
      <c r="O228" s="48" t="str">
        <f aca="false">IFERROR(IF(ISNUMBER(SEARCH("bench",C228)),K228,""),"")</f>
        <v/>
      </c>
      <c r="P228" s="48" t="str">
        <f aca="false">IFERROR(IF(ISNUMBER(SEARCH("deadlift",C228)),K228,""),"")</f>
        <v/>
      </c>
      <c r="V228" s="48" t="n">
        <f aca="false">MAX(V227,IF(N228="",0,N228))</f>
        <v>144.666666666667</v>
      </c>
      <c r="W228" s="48" t="n">
        <f aca="false">MAX(W227,IF(O228="",0,O228))</f>
        <v>99.1666666666667</v>
      </c>
      <c r="X228" s="48" t="n">
        <f aca="false">MAX(X227,IF(P228="",0,P228))</f>
        <v>175.666666666667</v>
      </c>
      <c r="Y228" s="48" t="n">
        <f aca="false">V228+W228+X228</f>
        <v>419.5</v>
      </c>
    </row>
    <row r="229" customFormat="false" ht="15" hidden="false" customHeight="false" outlineLevel="0" collapsed="false">
      <c r="A229" s="45"/>
      <c r="B229" s="31"/>
      <c r="C229" s="32"/>
      <c r="D229" s="31"/>
      <c r="E229" s="31"/>
      <c r="F229" s="29"/>
      <c r="G229" s="29" t="str">
        <f aca="false">IF(OR(D229="",E229="",F229=""),"",D229*E229*F229)</f>
        <v/>
      </c>
      <c r="H229" s="31"/>
      <c r="I229" s="46" t="str">
        <f aca="false">IF(OR(C229="",K229=""),"",IF(K229&gt;=_xlfn.MAXIFS($K$5:K228,$C$5:C228,C229),"Yes","No"))</f>
        <v/>
      </c>
      <c r="J229" s="32"/>
      <c r="K229" s="47" t="str">
        <f aca="false">IF(OR(E229="",F229=""),"",F229*(1+E229/30))</f>
        <v/>
      </c>
      <c r="L229" s="27" t="str">
        <f aca="false">IF(A229="","",INT((A229-StartDate)/7)+1)</f>
        <v/>
      </c>
      <c r="M229" s="27" t="str">
        <f aca="false">IF(A229="","",TEXT(A229,"mmm"))</f>
        <v/>
      </c>
      <c r="N229" s="47" t="str">
        <f aca="false">IFERROR(IF(ISNUMBER(SEARCH("squat",C229)),K229,""),"")</f>
        <v/>
      </c>
      <c r="O229" s="47" t="str">
        <f aca="false">IFERROR(IF(ISNUMBER(SEARCH("bench",C229)),K229,""),"")</f>
        <v/>
      </c>
      <c r="P229" s="47" t="str">
        <f aca="false">IFERROR(IF(ISNUMBER(SEARCH("deadlift",C229)),K229,""),"")</f>
        <v/>
      </c>
      <c r="V229" s="47" t="n">
        <f aca="false">MAX(V228,IF(N229="",0,N229))</f>
        <v>144.666666666667</v>
      </c>
      <c r="W229" s="47" t="n">
        <f aca="false">MAX(W228,IF(O229="",0,O229))</f>
        <v>99.1666666666667</v>
      </c>
      <c r="X229" s="47" t="n">
        <f aca="false">MAX(X228,IF(P229="",0,P229))</f>
        <v>175.666666666667</v>
      </c>
      <c r="Y229" s="47" t="n">
        <f aca="false">V229+W229+X229</f>
        <v>419.5</v>
      </c>
    </row>
    <row r="230" customFormat="false" ht="15" hidden="false" customHeight="false" outlineLevel="0" collapsed="false">
      <c r="A230" s="45"/>
      <c r="B230" s="31"/>
      <c r="C230" s="32"/>
      <c r="D230" s="31"/>
      <c r="E230" s="31"/>
      <c r="F230" s="29"/>
      <c r="G230" s="29" t="str">
        <f aca="false">IF(OR(D230="",E230="",F230=""),"",D230*E230*F230)</f>
        <v/>
      </c>
      <c r="H230" s="31"/>
      <c r="I230" s="36" t="str">
        <f aca="false">IF(OR(C230="",K230=""),"",IF(K230&gt;=_xlfn.MAXIFS($K$5:K229,$C$5:C229,C230),"Yes","No"))</f>
        <v/>
      </c>
      <c r="J230" s="32"/>
      <c r="K230" s="48" t="str">
        <f aca="false">IF(OR(E230="",F230=""),"",F230*(1+E230/30))</f>
        <v/>
      </c>
      <c r="L230" s="36" t="str">
        <f aca="false">IF(A230="","",INT((A230-StartDate)/7)+1)</f>
        <v/>
      </c>
      <c r="M230" s="36" t="str">
        <f aca="false">IF(A230="","",TEXT(A230,"mmm"))</f>
        <v/>
      </c>
      <c r="N230" s="48" t="str">
        <f aca="false">IFERROR(IF(ISNUMBER(SEARCH("squat",C230)),K230,""),"")</f>
        <v/>
      </c>
      <c r="O230" s="48" t="str">
        <f aca="false">IFERROR(IF(ISNUMBER(SEARCH("bench",C230)),K230,""),"")</f>
        <v/>
      </c>
      <c r="P230" s="48" t="str">
        <f aca="false">IFERROR(IF(ISNUMBER(SEARCH("deadlift",C230)),K230,""),"")</f>
        <v/>
      </c>
      <c r="V230" s="48" t="n">
        <f aca="false">MAX(V229,IF(N230="",0,N230))</f>
        <v>144.666666666667</v>
      </c>
      <c r="W230" s="48" t="n">
        <f aca="false">MAX(W229,IF(O230="",0,O230))</f>
        <v>99.1666666666667</v>
      </c>
      <c r="X230" s="48" t="n">
        <f aca="false">MAX(X229,IF(P230="",0,P230))</f>
        <v>175.666666666667</v>
      </c>
      <c r="Y230" s="48" t="n">
        <f aca="false">V230+W230+X230</f>
        <v>419.5</v>
      </c>
    </row>
    <row r="231" customFormat="false" ht="15" hidden="false" customHeight="false" outlineLevel="0" collapsed="false">
      <c r="A231" s="45"/>
      <c r="B231" s="31"/>
      <c r="C231" s="32"/>
      <c r="D231" s="31"/>
      <c r="E231" s="31"/>
      <c r="F231" s="29"/>
      <c r="G231" s="29" t="str">
        <f aca="false">IF(OR(D231="",E231="",F231=""),"",D231*E231*F231)</f>
        <v/>
      </c>
      <c r="H231" s="31"/>
      <c r="I231" s="46" t="str">
        <f aca="false">IF(OR(C231="",K231=""),"",IF(K231&gt;=_xlfn.MAXIFS($K$5:K230,$C$5:C230,C231),"Yes","No"))</f>
        <v/>
      </c>
      <c r="J231" s="32"/>
      <c r="K231" s="47" t="str">
        <f aca="false">IF(OR(E231="",F231=""),"",F231*(1+E231/30))</f>
        <v/>
      </c>
      <c r="L231" s="27" t="str">
        <f aca="false">IF(A231="","",INT((A231-StartDate)/7)+1)</f>
        <v/>
      </c>
      <c r="M231" s="27" t="str">
        <f aca="false">IF(A231="","",TEXT(A231,"mmm"))</f>
        <v/>
      </c>
      <c r="N231" s="47" t="str">
        <f aca="false">IFERROR(IF(ISNUMBER(SEARCH("squat",C231)),K231,""),"")</f>
        <v/>
      </c>
      <c r="O231" s="47" t="str">
        <f aca="false">IFERROR(IF(ISNUMBER(SEARCH("bench",C231)),K231,""),"")</f>
        <v/>
      </c>
      <c r="P231" s="47" t="str">
        <f aca="false">IFERROR(IF(ISNUMBER(SEARCH("deadlift",C231)),K231,""),"")</f>
        <v/>
      </c>
      <c r="V231" s="47" t="n">
        <f aca="false">MAX(V230,IF(N231="",0,N231))</f>
        <v>144.666666666667</v>
      </c>
      <c r="W231" s="47" t="n">
        <f aca="false">MAX(W230,IF(O231="",0,O231))</f>
        <v>99.1666666666667</v>
      </c>
      <c r="X231" s="47" t="n">
        <f aca="false">MAX(X230,IF(P231="",0,P231))</f>
        <v>175.666666666667</v>
      </c>
      <c r="Y231" s="47" t="n">
        <f aca="false">V231+W231+X231</f>
        <v>419.5</v>
      </c>
    </row>
    <row r="232" customFormat="false" ht="15" hidden="false" customHeight="false" outlineLevel="0" collapsed="false">
      <c r="A232" s="45"/>
      <c r="B232" s="31"/>
      <c r="C232" s="32"/>
      <c r="D232" s="31"/>
      <c r="E232" s="31"/>
      <c r="F232" s="29"/>
      <c r="G232" s="29" t="str">
        <f aca="false">IF(OR(D232="",E232="",F232=""),"",D232*E232*F232)</f>
        <v/>
      </c>
      <c r="H232" s="31"/>
      <c r="I232" s="36" t="str">
        <f aca="false">IF(OR(C232="",K232=""),"",IF(K232&gt;=_xlfn.MAXIFS($K$5:K231,$C$5:C231,C232),"Yes","No"))</f>
        <v/>
      </c>
      <c r="J232" s="32"/>
      <c r="K232" s="48" t="str">
        <f aca="false">IF(OR(E232="",F232=""),"",F232*(1+E232/30))</f>
        <v/>
      </c>
      <c r="L232" s="36" t="str">
        <f aca="false">IF(A232="","",INT((A232-StartDate)/7)+1)</f>
        <v/>
      </c>
      <c r="M232" s="36" t="str">
        <f aca="false">IF(A232="","",TEXT(A232,"mmm"))</f>
        <v/>
      </c>
      <c r="N232" s="48" t="str">
        <f aca="false">IFERROR(IF(ISNUMBER(SEARCH("squat",C232)),K232,""),"")</f>
        <v/>
      </c>
      <c r="O232" s="48" t="str">
        <f aca="false">IFERROR(IF(ISNUMBER(SEARCH("bench",C232)),K232,""),"")</f>
        <v/>
      </c>
      <c r="P232" s="48" t="str">
        <f aca="false">IFERROR(IF(ISNUMBER(SEARCH("deadlift",C232)),K232,""),"")</f>
        <v/>
      </c>
      <c r="V232" s="48" t="n">
        <f aca="false">MAX(V231,IF(N232="",0,N232))</f>
        <v>144.666666666667</v>
      </c>
      <c r="W232" s="48" t="n">
        <f aca="false">MAX(W231,IF(O232="",0,O232))</f>
        <v>99.1666666666667</v>
      </c>
      <c r="X232" s="48" t="n">
        <f aca="false">MAX(X231,IF(P232="",0,P232))</f>
        <v>175.666666666667</v>
      </c>
      <c r="Y232" s="48" t="n">
        <f aca="false">V232+W232+X232</f>
        <v>419.5</v>
      </c>
    </row>
    <row r="233" customFormat="false" ht="15" hidden="false" customHeight="false" outlineLevel="0" collapsed="false">
      <c r="A233" s="45"/>
      <c r="B233" s="31"/>
      <c r="C233" s="32"/>
      <c r="D233" s="31"/>
      <c r="E233" s="31"/>
      <c r="F233" s="29"/>
      <c r="G233" s="29" t="str">
        <f aca="false">IF(OR(D233="",E233="",F233=""),"",D233*E233*F233)</f>
        <v/>
      </c>
      <c r="H233" s="31"/>
      <c r="I233" s="46" t="str">
        <f aca="false">IF(OR(C233="",K233=""),"",IF(K233&gt;=_xlfn.MAXIFS($K$5:K232,$C$5:C232,C233),"Yes","No"))</f>
        <v/>
      </c>
      <c r="J233" s="32"/>
      <c r="K233" s="47" t="str">
        <f aca="false">IF(OR(E233="",F233=""),"",F233*(1+E233/30))</f>
        <v/>
      </c>
      <c r="L233" s="27" t="str">
        <f aca="false">IF(A233="","",INT((A233-StartDate)/7)+1)</f>
        <v/>
      </c>
      <c r="M233" s="27" t="str">
        <f aca="false">IF(A233="","",TEXT(A233,"mmm"))</f>
        <v/>
      </c>
      <c r="N233" s="47" t="str">
        <f aca="false">IFERROR(IF(ISNUMBER(SEARCH("squat",C233)),K233,""),"")</f>
        <v/>
      </c>
      <c r="O233" s="47" t="str">
        <f aca="false">IFERROR(IF(ISNUMBER(SEARCH("bench",C233)),K233,""),"")</f>
        <v/>
      </c>
      <c r="P233" s="47" t="str">
        <f aca="false">IFERROR(IF(ISNUMBER(SEARCH("deadlift",C233)),K233,""),"")</f>
        <v/>
      </c>
      <c r="V233" s="47" t="n">
        <f aca="false">MAX(V232,IF(N233="",0,N233))</f>
        <v>144.666666666667</v>
      </c>
      <c r="W233" s="47" t="n">
        <f aca="false">MAX(W232,IF(O233="",0,O233))</f>
        <v>99.1666666666667</v>
      </c>
      <c r="X233" s="47" t="n">
        <f aca="false">MAX(X232,IF(P233="",0,P233))</f>
        <v>175.666666666667</v>
      </c>
      <c r="Y233" s="47" t="n">
        <f aca="false">V233+W233+X233</f>
        <v>419.5</v>
      </c>
    </row>
    <row r="234" customFormat="false" ht="15" hidden="false" customHeight="false" outlineLevel="0" collapsed="false">
      <c r="A234" s="45"/>
      <c r="B234" s="31"/>
      <c r="C234" s="32"/>
      <c r="D234" s="31"/>
      <c r="E234" s="31"/>
      <c r="F234" s="29"/>
      <c r="G234" s="29" t="str">
        <f aca="false">IF(OR(D234="",E234="",F234=""),"",D234*E234*F234)</f>
        <v/>
      </c>
      <c r="H234" s="31"/>
      <c r="I234" s="36" t="str">
        <f aca="false">IF(OR(C234="",K234=""),"",IF(K234&gt;=_xlfn.MAXIFS($K$5:K233,$C$5:C233,C234),"Yes","No"))</f>
        <v/>
      </c>
      <c r="J234" s="32"/>
      <c r="K234" s="48" t="str">
        <f aca="false">IF(OR(E234="",F234=""),"",F234*(1+E234/30))</f>
        <v/>
      </c>
      <c r="L234" s="36" t="str">
        <f aca="false">IF(A234="","",INT((A234-StartDate)/7)+1)</f>
        <v/>
      </c>
      <c r="M234" s="36" t="str">
        <f aca="false">IF(A234="","",TEXT(A234,"mmm"))</f>
        <v/>
      </c>
      <c r="N234" s="48" t="str">
        <f aca="false">IFERROR(IF(ISNUMBER(SEARCH("squat",C234)),K234,""),"")</f>
        <v/>
      </c>
      <c r="O234" s="48" t="str">
        <f aca="false">IFERROR(IF(ISNUMBER(SEARCH("bench",C234)),K234,""),"")</f>
        <v/>
      </c>
      <c r="P234" s="48" t="str">
        <f aca="false">IFERROR(IF(ISNUMBER(SEARCH("deadlift",C234)),K234,""),"")</f>
        <v/>
      </c>
      <c r="V234" s="48" t="n">
        <f aca="false">MAX(V233,IF(N234="",0,N234))</f>
        <v>144.666666666667</v>
      </c>
      <c r="W234" s="48" t="n">
        <f aca="false">MAX(W233,IF(O234="",0,O234))</f>
        <v>99.1666666666667</v>
      </c>
      <c r="X234" s="48" t="n">
        <f aca="false">MAX(X233,IF(P234="",0,P234))</f>
        <v>175.666666666667</v>
      </c>
      <c r="Y234" s="48" t="n">
        <f aca="false">V234+W234+X234</f>
        <v>419.5</v>
      </c>
    </row>
    <row r="235" customFormat="false" ht="15" hidden="false" customHeight="false" outlineLevel="0" collapsed="false">
      <c r="A235" s="45"/>
      <c r="B235" s="31"/>
      <c r="C235" s="32"/>
      <c r="D235" s="31"/>
      <c r="E235" s="31"/>
      <c r="F235" s="29"/>
      <c r="G235" s="29" t="str">
        <f aca="false">IF(OR(D235="",E235="",F235=""),"",D235*E235*F235)</f>
        <v/>
      </c>
      <c r="H235" s="31"/>
      <c r="I235" s="46" t="str">
        <f aca="false">IF(OR(C235="",K235=""),"",IF(K235&gt;=_xlfn.MAXIFS($K$5:K234,$C$5:C234,C235),"Yes","No"))</f>
        <v/>
      </c>
      <c r="J235" s="32"/>
      <c r="K235" s="47" t="str">
        <f aca="false">IF(OR(E235="",F235=""),"",F235*(1+E235/30))</f>
        <v/>
      </c>
      <c r="L235" s="27" t="str">
        <f aca="false">IF(A235="","",INT((A235-StartDate)/7)+1)</f>
        <v/>
      </c>
      <c r="M235" s="27" t="str">
        <f aca="false">IF(A235="","",TEXT(A235,"mmm"))</f>
        <v/>
      </c>
      <c r="N235" s="47" t="str">
        <f aca="false">IFERROR(IF(ISNUMBER(SEARCH("squat",C235)),K235,""),"")</f>
        <v/>
      </c>
      <c r="O235" s="47" t="str">
        <f aca="false">IFERROR(IF(ISNUMBER(SEARCH("bench",C235)),K235,""),"")</f>
        <v/>
      </c>
      <c r="P235" s="47" t="str">
        <f aca="false">IFERROR(IF(ISNUMBER(SEARCH("deadlift",C235)),K235,""),"")</f>
        <v/>
      </c>
      <c r="V235" s="47" t="n">
        <f aca="false">MAX(V234,IF(N235="",0,N235))</f>
        <v>144.666666666667</v>
      </c>
      <c r="W235" s="47" t="n">
        <f aca="false">MAX(W234,IF(O235="",0,O235))</f>
        <v>99.1666666666667</v>
      </c>
      <c r="X235" s="47" t="n">
        <f aca="false">MAX(X234,IF(P235="",0,P235))</f>
        <v>175.666666666667</v>
      </c>
      <c r="Y235" s="47" t="n">
        <f aca="false">V235+W235+X235</f>
        <v>419.5</v>
      </c>
    </row>
    <row r="236" customFormat="false" ht="15" hidden="false" customHeight="false" outlineLevel="0" collapsed="false">
      <c r="A236" s="45"/>
      <c r="B236" s="31"/>
      <c r="C236" s="32"/>
      <c r="D236" s="31"/>
      <c r="E236" s="31"/>
      <c r="F236" s="29"/>
      <c r="G236" s="29" t="str">
        <f aca="false">IF(OR(D236="",E236="",F236=""),"",D236*E236*F236)</f>
        <v/>
      </c>
      <c r="H236" s="31"/>
      <c r="I236" s="36" t="str">
        <f aca="false">IF(OR(C236="",K236=""),"",IF(K236&gt;=_xlfn.MAXIFS($K$5:K235,$C$5:C235,C236),"Yes","No"))</f>
        <v/>
      </c>
      <c r="J236" s="32"/>
      <c r="K236" s="48" t="str">
        <f aca="false">IF(OR(E236="",F236=""),"",F236*(1+E236/30))</f>
        <v/>
      </c>
      <c r="L236" s="36" t="str">
        <f aca="false">IF(A236="","",INT((A236-StartDate)/7)+1)</f>
        <v/>
      </c>
      <c r="M236" s="36" t="str">
        <f aca="false">IF(A236="","",TEXT(A236,"mmm"))</f>
        <v/>
      </c>
      <c r="N236" s="48" t="str">
        <f aca="false">IFERROR(IF(ISNUMBER(SEARCH("squat",C236)),K236,""),"")</f>
        <v/>
      </c>
      <c r="O236" s="48" t="str">
        <f aca="false">IFERROR(IF(ISNUMBER(SEARCH("bench",C236)),K236,""),"")</f>
        <v/>
      </c>
      <c r="P236" s="48" t="str">
        <f aca="false">IFERROR(IF(ISNUMBER(SEARCH("deadlift",C236)),K236,""),"")</f>
        <v/>
      </c>
      <c r="V236" s="48" t="n">
        <f aca="false">MAX(V235,IF(N236="",0,N236))</f>
        <v>144.666666666667</v>
      </c>
      <c r="W236" s="48" t="n">
        <f aca="false">MAX(W235,IF(O236="",0,O236))</f>
        <v>99.1666666666667</v>
      </c>
      <c r="X236" s="48" t="n">
        <f aca="false">MAX(X235,IF(P236="",0,P236))</f>
        <v>175.666666666667</v>
      </c>
      <c r="Y236" s="48" t="n">
        <f aca="false">V236+W236+X236</f>
        <v>419.5</v>
      </c>
    </row>
    <row r="237" customFormat="false" ht="15" hidden="false" customHeight="false" outlineLevel="0" collapsed="false">
      <c r="A237" s="45"/>
      <c r="B237" s="31"/>
      <c r="C237" s="32"/>
      <c r="D237" s="31"/>
      <c r="E237" s="31"/>
      <c r="F237" s="29"/>
      <c r="G237" s="29" t="str">
        <f aca="false">IF(OR(D237="",E237="",F237=""),"",D237*E237*F237)</f>
        <v/>
      </c>
      <c r="H237" s="31"/>
      <c r="I237" s="46" t="str">
        <f aca="false">IF(OR(C237="",K237=""),"",IF(K237&gt;=_xlfn.MAXIFS($K$5:K236,$C$5:C236,C237),"Yes","No"))</f>
        <v/>
      </c>
      <c r="J237" s="32"/>
      <c r="K237" s="47" t="str">
        <f aca="false">IF(OR(E237="",F237=""),"",F237*(1+E237/30))</f>
        <v/>
      </c>
      <c r="L237" s="27" t="str">
        <f aca="false">IF(A237="","",INT((A237-StartDate)/7)+1)</f>
        <v/>
      </c>
      <c r="M237" s="27" t="str">
        <f aca="false">IF(A237="","",TEXT(A237,"mmm"))</f>
        <v/>
      </c>
      <c r="N237" s="47" t="str">
        <f aca="false">IFERROR(IF(ISNUMBER(SEARCH("squat",C237)),K237,""),"")</f>
        <v/>
      </c>
      <c r="O237" s="47" t="str">
        <f aca="false">IFERROR(IF(ISNUMBER(SEARCH("bench",C237)),K237,""),"")</f>
        <v/>
      </c>
      <c r="P237" s="47" t="str">
        <f aca="false">IFERROR(IF(ISNUMBER(SEARCH("deadlift",C237)),K237,""),"")</f>
        <v/>
      </c>
      <c r="V237" s="47" t="n">
        <f aca="false">MAX(V236,IF(N237="",0,N237))</f>
        <v>144.666666666667</v>
      </c>
      <c r="W237" s="47" t="n">
        <f aca="false">MAX(W236,IF(O237="",0,O237))</f>
        <v>99.1666666666667</v>
      </c>
      <c r="X237" s="47" t="n">
        <f aca="false">MAX(X236,IF(P237="",0,P237))</f>
        <v>175.666666666667</v>
      </c>
      <c r="Y237" s="47" t="n">
        <f aca="false">V237+W237+X237</f>
        <v>419.5</v>
      </c>
    </row>
    <row r="238" customFormat="false" ht="15" hidden="false" customHeight="false" outlineLevel="0" collapsed="false">
      <c r="A238" s="45"/>
      <c r="B238" s="31"/>
      <c r="C238" s="32"/>
      <c r="D238" s="31"/>
      <c r="E238" s="31"/>
      <c r="F238" s="29"/>
      <c r="G238" s="29" t="str">
        <f aca="false">IF(OR(D238="",E238="",F238=""),"",D238*E238*F238)</f>
        <v/>
      </c>
      <c r="H238" s="31"/>
      <c r="I238" s="36" t="str">
        <f aca="false">IF(OR(C238="",K238=""),"",IF(K238&gt;=_xlfn.MAXIFS($K$5:K237,$C$5:C237,C238),"Yes","No"))</f>
        <v/>
      </c>
      <c r="J238" s="32"/>
      <c r="K238" s="48" t="str">
        <f aca="false">IF(OR(E238="",F238=""),"",F238*(1+E238/30))</f>
        <v/>
      </c>
      <c r="L238" s="36" t="str">
        <f aca="false">IF(A238="","",INT((A238-StartDate)/7)+1)</f>
        <v/>
      </c>
      <c r="M238" s="36" t="str">
        <f aca="false">IF(A238="","",TEXT(A238,"mmm"))</f>
        <v/>
      </c>
      <c r="N238" s="48" t="str">
        <f aca="false">IFERROR(IF(ISNUMBER(SEARCH("squat",C238)),K238,""),"")</f>
        <v/>
      </c>
      <c r="O238" s="48" t="str">
        <f aca="false">IFERROR(IF(ISNUMBER(SEARCH("bench",C238)),K238,""),"")</f>
        <v/>
      </c>
      <c r="P238" s="48" t="str">
        <f aca="false">IFERROR(IF(ISNUMBER(SEARCH("deadlift",C238)),K238,""),"")</f>
        <v/>
      </c>
      <c r="V238" s="48" t="n">
        <f aca="false">MAX(V237,IF(N238="",0,N238))</f>
        <v>144.666666666667</v>
      </c>
      <c r="W238" s="48" t="n">
        <f aca="false">MAX(W237,IF(O238="",0,O238))</f>
        <v>99.1666666666667</v>
      </c>
      <c r="X238" s="48" t="n">
        <f aca="false">MAX(X237,IF(P238="",0,P238))</f>
        <v>175.666666666667</v>
      </c>
      <c r="Y238" s="48" t="n">
        <f aca="false">V238+W238+X238</f>
        <v>419.5</v>
      </c>
    </row>
    <row r="239" customFormat="false" ht="15" hidden="false" customHeight="false" outlineLevel="0" collapsed="false">
      <c r="A239" s="45"/>
      <c r="B239" s="31"/>
      <c r="C239" s="32"/>
      <c r="D239" s="31"/>
      <c r="E239" s="31"/>
      <c r="F239" s="29"/>
      <c r="G239" s="29" t="str">
        <f aca="false">IF(OR(D239="",E239="",F239=""),"",D239*E239*F239)</f>
        <v/>
      </c>
      <c r="H239" s="31"/>
      <c r="I239" s="46" t="str">
        <f aca="false">IF(OR(C239="",K239=""),"",IF(K239&gt;=_xlfn.MAXIFS($K$5:K238,$C$5:C238,C239),"Yes","No"))</f>
        <v/>
      </c>
      <c r="J239" s="32"/>
      <c r="K239" s="47" t="str">
        <f aca="false">IF(OR(E239="",F239=""),"",F239*(1+E239/30))</f>
        <v/>
      </c>
      <c r="L239" s="27" t="str">
        <f aca="false">IF(A239="","",INT((A239-StartDate)/7)+1)</f>
        <v/>
      </c>
      <c r="M239" s="27" t="str">
        <f aca="false">IF(A239="","",TEXT(A239,"mmm"))</f>
        <v/>
      </c>
      <c r="N239" s="47" t="str">
        <f aca="false">IFERROR(IF(ISNUMBER(SEARCH("squat",C239)),K239,""),"")</f>
        <v/>
      </c>
      <c r="O239" s="47" t="str">
        <f aca="false">IFERROR(IF(ISNUMBER(SEARCH("bench",C239)),K239,""),"")</f>
        <v/>
      </c>
      <c r="P239" s="47" t="str">
        <f aca="false">IFERROR(IF(ISNUMBER(SEARCH("deadlift",C239)),K239,""),"")</f>
        <v/>
      </c>
      <c r="V239" s="47" t="n">
        <f aca="false">MAX(V238,IF(N239="",0,N239))</f>
        <v>144.666666666667</v>
      </c>
      <c r="W239" s="47" t="n">
        <f aca="false">MAX(W238,IF(O239="",0,O239))</f>
        <v>99.1666666666667</v>
      </c>
      <c r="X239" s="47" t="n">
        <f aca="false">MAX(X238,IF(P239="",0,P239))</f>
        <v>175.666666666667</v>
      </c>
      <c r="Y239" s="47" t="n">
        <f aca="false">V239+W239+X239</f>
        <v>419.5</v>
      </c>
    </row>
    <row r="240" customFormat="false" ht="15" hidden="false" customHeight="false" outlineLevel="0" collapsed="false">
      <c r="A240" s="45"/>
      <c r="B240" s="31"/>
      <c r="C240" s="32"/>
      <c r="D240" s="31"/>
      <c r="E240" s="31"/>
      <c r="F240" s="29"/>
      <c r="G240" s="29" t="str">
        <f aca="false">IF(OR(D240="",E240="",F240=""),"",D240*E240*F240)</f>
        <v/>
      </c>
      <c r="H240" s="31"/>
      <c r="I240" s="36" t="str">
        <f aca="false">IF(OR(C240="",K240=""),"",IF(K240&gt;=_xlfn.MAXIFS($K$5:K239,$C$5:C239,C240),"Yes","No"))</f>
        <v/>
      </c>
      <c r="J240" s="32"/>
      <c r="K240" s="48" t="str">
        <f aca="false">IF(OR(E240="",F240=""),"",F240*(1+E240/30))</f>
        <v/>
      </c>
      <c r="L240" s="36" t="str">
        <f aca="false">IF(A240="","",INT((A240-StartDate)/7)+1)</f>
        <v/>
      </c>
      <c r="M240" s="36" t="str">
        <f aca="false">IF(A240="","",TEXT(A240,"mmm"))</f>
        <v/>
      </c>
      <c r="N240" s="48" t="str">
        <f aca="false">IFERROR(IF(ISNUMBER(SEARCH("squat",C240)),K240,""),"")</f>
        <v/>
      </c>
      <c r="O240" s="48" t="str">
        <f aca="false">IFERROR(IF(ISNUMBER(SEARCH("bench",C240)),K240,""),"")</f>
        <v/>
      </c>
      <c r="P240" s="48" t="str">
        <f aca="false">IFERROR(IF(ISNUMBER(SEARCH("deadlift",C240)),K240,""),"")</f>
        <v/>
      </c>
      <c r="V240" s="48" t="n">
        <f aca="false">MAX(V239,IF(N240="",0,N240))</f>
        <v>144.666666666667</v>
      </c>
      <c r="W240" s="48" t="n">
        <f aca="false">MAX(W239,IF(O240="",0,O240))</f>
        <v>99.1666666666667</v>
      </c>
      <c r="X240" s="48" t="n">
        <f aca="false">MAX(X239,IF(P240="",0,P240))</f>
        <v>175.666666666667</v>
      </c>
      <c r="Y240" s="48" t="n">
        <f aca="false">V240+W240+X240</f>
        <v>419.5</v>
      </c>
    </row>
    <row r="241" customFormat="false" ht="15" hidden="false" customHeight="false" outlineLevel="0" collapsed="false">
      <c r="A241" s="45"/>
      <c r="B241" s="31"/>
      <c r="C241" s="32"/>
      <c r="D241" s="31"/>
      <c r="E241" s="31"/>
      <c r="F241" s="29"/>
      <c r="G241" s="29" t="str">
        <f aca="false">IF(OR(D241="",E241="",F241=""),"",D241*E241*F241)</f>
        <v/>
      </c>
      <c r="H241" s="31"/>
      <c r="I241" s="46" t="str">
        <f aca="false">IF(OR(C241="",K241=""),"",IF(K241&gt;=_xlfn.MAXIFS($K$5:K240,$C$5:C240,C241),"Yes","No"))</f>
        <v/>
      </c>
      <c r="J241" s="32"/>
      <c r="K241" s="47" t="str">
        <f aca="false">IF(OR(E241="",F241=""),"",F241*(1+E241/30))</f>
        <v/>
      </c>
      <c r="L241" s="27" t="str">
        <f aca="false">IF(A241="","",INT((A241-StartDate)/7)+1)</f>
        <v/>
      </c>
      <c r="M241" s="27" t="str">
        <f aca="false">IF(A241="","",TEXT(A241,"mmm"))</f>
        <v/>
      </c>
      <c r="N241" s="47" t="str">
        <f aca="false">IFERROR(IF(ISNUMBER(SEARCH("squat",C241)),K241,""),"")</f>
        <v/>
      </c>
      <c r="O241" s="47" t="str">
        <f aca="false">IFERROR(IF(ISNUMBER(SEARCH("bench",C241)),K241,""),"")</f>
        <v/>
      </c>
      <c r="P241" s="47" t="str">
        <f aca="false">IFERROR(IF(ISNUMBER(SEARCH("deadlift",C241)),K241,""),"")</f>
        <v/>
      </c>
      <c r="V241" s="47" t="n">
        <f aca="false">MAX(V240,IF(N241="",0,N241))</f>
        <v>144.666666666667</v>
      </c>
      <c r="W241" s="47" t="n">
        <f aca="false">MAX(W240,IF(O241="",0,O241))</f>
        <v>99.1666666666667</v>
      </c>
      <c r="X241" s="47" t="n">
        <f aca="false">MAX(X240,IF(P241="",0,P241))</f>
        <v>175.666666666667</v>
      </c>
      <c r="Y241" s="47" t="n">
        <f aca="false">V241+W241+X241</f>
        <v>419.5</v>
      </c>
    </row>
    <row r="242" customFormat="false" ht="15" hidden="false" customHeight="false" outlineLevel="0" collapsed="false">
      <c r="A242" s="45"/>
      <c r="B242" s="31"/>
      <c r="C242" s="32"/>
      <c r="D242" s="31"/>
      <c r="E242" s="31"/>
      <c r="F242" s="29"/>
      <c r="G242" s="29" t="str">
        <f aca="false">IF(OR(D242="",E242="",F242=""),"",D242*E242*F242)</f>
        <v/>
      </c>
      <c r="H242" s="31"/>
      <c r="I242" s="36" t="str">
        <f aca="false">IF(OR(C242="",K242=""),"",IF(K242&gt;=_xlfn.MAXIFS($K$5:K241,$C$5:C241,C242),"Yes","No"))</f>
        <v/>
      </c>
      <c r="J242" s="32"/>
      <c r="K242" s="48" t="str">
        <f aca="false">IF(OR(E242="",F242=""),"",F242*(1+E242/30))</f>
        <v/>
      </c>
      <c r="L242" s="36" t="str">
        <f aca="false">IF(A242="","",INT((A242-StartDate)/7)+1)</f>
        <v/>
      </c>
      <c r="M242" s="36" t="str">
        <f aca="false">IF(A242="","",TEXT(A242,"mmm"))</f>
        <v/>
      </c>
      <c r="N242" s="48" t="str">
        <f aca="false">IFERROR(IF(ISNUMBER(SEARCH("squat",C242)),K242,""),"")</f>
        <v/>
      </c>
      <c r="O242" s="48" t="str">
        <f aca="false">IFERROR(IF(ISNUMBER(SEARCH("bench",C242)),K242,""),"")</f>
        <v/>
      </c>
      <c r="P242" s="48" t="str">
        <f aca="false">IFERROR(IF(ISNUMBER(SEARCH("deadlift",C242)),K242,""),"")</f>
        <v/>
      </c>
      <c r="V242" s="48" t="n">
        <f aca="false">MAX(V241,IF(N242="",0,N242))</f>
        <v>144.666666666667</v>
      </c>
      <c r="W242" s="48" t="n">
        <f aca="false">MAX(W241,IF(O242="",0,O242))</f>
        <v>99.1666666666667</v>
      </c>
      <c r="X242" s="48" t="n">
        <f aca="false">MAX(X241,IF(P242="",0,P242))</f>
        <v>175.666666666667</v>
      </c>
      <c r="Y242" s="48" t="n">
        <f aca="false">V242+W242+X242</f>
        <v>419.5</v>
      </c>
    </row>
    <row r="243" customFormat="false" ht="15" hidden="false" customHeight="false" outlineLevel="0" collapsed="false">
      <c r="A243" s="45"/>
      <c r="B243" s="31"/>
      <c r="C243" s="32"/>
      <c r="D243" s="31"/>
      <c r="E243" s="31"/>
      <c r="F243" s="29"/>
      <c r="G243" s="29" t="str">
        <f aca="false">IF(OR(D243="",E243="",F243=""),"",D243*E243*F243)</f>
        <v/>
      </c>
      <c r="H243" s="31"/>
      <c r="I243" s="46" t="str">
        <f aca="false">IF(OR(C243="",K243=""),"",IF(K243&gt;=_xlfn.MAXIFS($K$5:K242,$C$5:C242,C243),"Yes","No"))</f>
        <v/>
      </c>
      <c r="J243" s="32"/>
      <c r="K243" s="47" t="str">
        <f aca="false">IF(OR(E243="",F243=""),"",F243*(1+E243/30))</f>
        <v/>
      </c>
      <c r="L243" s="27" t="str">
        <f aca="false">IF(A243="","",INT((A243-StartDate)/7)+1)</f>
        <v/>
      </c>
      <c r="M243" s="27" t="str">
        <f aca="false">IF(A243="","",TEXT(A243,"mmm"))</f>
        <v/>
      </c>
      <c r="N243" s="47" t="str">
        <f aca="false">IFERROR(IF(ISNUMBER(SEARCH("squat",C243)),K243,""),"")</f>
        <v/>
      </c>
      <c r="O243" s="47" t="str">
        <f aca="false">IFERROR(IF(ISNUMBER(SEARCH("bench",C243)),K243,""),"")</f>
        <v/>
      </c>
      <c r="P243" s="47" t="str">
        <f aca="false">IFERROR(IF(ISNUMBER(SEARCH("deadlift",C243)),K243,""),"")</f>
        <v/>
      </c>
      <c r="V243" s="47" t="n">
        <f aca="false">MAX(V242,IF(N243="",0,N243))</f>
        <v>144.666666666667</v>
      </c>
      <c r="W243" s="47" t="n">
        <f aca="false">MAX(W242,IF(O243="",0,O243))</f>
        <v>99.1666666666667</v>
      </c>
      <c r="X243" s="47" t="n">
        <f aca="false">MAX(X242,IF(P243="",0,P243))</f>
        <v>175.666666666667</v>
      </c>
      <c r="Y243" s="47" t="n">
        <f aca="false">V243+W243+X243</f>
        <v>419.5</v>
      </c>
    </row>
    <row r="244" customFormat="false" ht="15" hidden="false" customHeight="false" outlineLevel="0" collapsed="false">
      <c r="A244" s="45"/>
      <c r="B244" s="31"/>
      <c r="C244" s="32"/>
      <c r="D244" s="31"/>
      <c r="E244" s="31"/>
      <c r="F244" s="29"/>
      <c r="G244" s="29" t="str">
        <f aca="false">IF(OR(D244="",E244="",F244=""),"",D244*E244*F244)</f>
        <v/>
      </c>
      <c r="H244" s="31"/>
      <c r="I244" s="36" t="str">
        <f aca="false">IF(OR(C244="",K244=""),"",IF(K244&gt;=_xlfn.MAXIFS($K$5:K243,$C$5:C243,C244),"Yes","No"))</f>
        <v/>
      </c>
      <c r="J244" s="32"/>
      <c r="K244" s="48" t="str">
        <f aca="false">IF(OR(E244="",F244=""),"",F244*(1+E244/30))</f>
        <v/>
      </c>
      <c r="L244" s="36" t="str">
        <f aca="false">IF(A244="","",INT((A244-StartDate)/7)+1)</f>
        <v/>
      </c>
      <c r="M244" s="36" t="str">
        <f aca="false">IF(A244="","",TEXT(A244,"mmm"))</f>
        <v/>
      </c>
      <c r="N244" s="48" t="str">
        <f aca="false">IFERROR(IF(ISNUMBER(SEARCH("squat",C244)),K244,""),"")</f>
        <v/>
      </c>
      <c r="O244" s="48" t="str">
        <f aca="false">IFERROR(IF(ISNUMBER(SEARCH("bench",C244)),K244,""),"")</f>
        <v/>
      </c>
      <c r="P244" s="48" t="str">
        <f aca="false">IFERROR(IF(ISNUMBER(SEARCH("deadlift",C244)),K244,""),"")</f>
        <v/>
      </c>
      <c r="V244" s="48" t="n">
        <f aca="false">MAX(V243,IF(N244="",0,N244))</f>
        <v>144.666666666667</v>
      </c>
      <c r="W244" s="48" t="n">
        <f aca="false">MAX(W243,IF(O244="",0,O244))</f>
        <v>99.1666666666667</v>
      </c>
      <c r="X244" s="48" t="n">
        <f aca="false">MAX(X243,IF(P244="",0,P244))</f>
        <v>175.666666666667</v>
      </c>
      <c r="Y244" s="48" t="n">
        <f aca="false">V244+W244+X244</f>
        <v>419.5</v>
      </c>
    </row>
    <row r="245" customFormat="false" ht="15" hidden="false" customHeight="false" outlineLevel="0" collapsed="false">
      <c r="A245" s="45"/>
      <c r="B245" s="31"/>
      <c r="C245" s="32"/>
      <c r="D245" s="31"/>
      <c r="E245" s="31"/>
      <c r="F245" s="29"/>
      <c r="G245" s="29" t="str">
        <f aca="false">IF(OR(D245="",E245="",F245=""),"",D245*E245*F245)</f>
        <v/>
      </c>
      <c r="H245" s="31"/>
      <c r="I245" s="46" t="str">
        <f aca="false">IF(OR(C245="",K245=""),"",IF(K245&gt;=_xlfn.MAXIFS($K$5:K244,$C$5:C244,C245),"Yes","No"))</f>
        <v/>
      </c>
      <c r="J245" s="32"/>
      <c r="K245" s="47" t="str">
        <f aca="false">IF(OR(E245="",F245=""),"",F245*(1+E245/30))</f>
        <v/>
      </c>
      <c r="L245" s="27" t="str">
        <f aca="false">IF(A245="","",INT((A245-StartDate)/7)+1)</f>
        <v/>
      </c>
      <c r="M245" s="27" t="str">
        <f aca="false">IF(A245="","",TEXT(A245,"mmm"))</f>
        <v/>
      </c>
      <c r="N245" s="47" t="str">
        <f aca="false">IFERROR(IF(ISNUMBER(SEARCH("squat",C245)),K245,""),"")</f>
        <v/>
      </c>
      <c r="O245" s="47" t="str">
        <f aca="false">IFERROR(IF(ISNUMBER(SEARCH("bench",C245)),K245,""),"")</f>
        <v/>
      </c>
      <c r="P245" s="47" t="str">
        <f aca="false">IFERROR(IF(ISNUMBER(SEARCH("deadlift",C245)),K245,""),"")</f>
        <v/>
      </c>
      <c r="V245" s="47" t="n">
        <f aca="false">MAX(V244,IF(N245="",0,N245))</f>
        <v>144.666666666667</v>
      </c>
      <c r="W245" s="47" t="n">
        <f aca="false">MAX(W244,IF(O245="",0,O245))</f>
        <v>99.1666666666667</v>
      </c>
      <c r="X245" s="47" t="n">
        <f aca="false">MAX(X244,IF(P245="",0,P245))</f>
        <v>175.666666666667</v>
      </c>
      <c r="Y245" s="47" t="n">
        <f aca="false">V245+W245+X245</f>
        <v>419.5</v>
      </c>
    </row>
    <row r="246" customFormat="false" ht="15" hidden="false" customHeight="false" outlineLevel="0" collapsed="false">
      <c r="A246" s="45"/>
      <c r="B246" s="31"/>
      <c r="C246" s="32"/>
      <c r="D246" s="31"/>
      <c r="E246" s="31"/>
      <c r="F246" s="29"/>
      <c r="G246" s="29" t="str">
        <f aca="false">IF(OR(D246="",E246="",F246=""),"",D246*E246*F246)</f>
        <v/>
      </c>
      <c r="H246" s="31"/>
      <c r="I246" s="36" t="str">
        <f aca="false">IF(OR(C246="",K246=""),"",IF(K246&gt;=_xlfn.MAXIFS($K$5:K245,$C$5:C245,C246),"Yes","No"))</f>
        <v/>
      </c>
      <c r="J246" s="32"/>
      <c r="K246" s="48" t="str">
        <f aca="false">IF(OR(E246="",F246=""),"",F246*(1+E246/30))</f>
        <v/>
      </c>
      <c r="L246" s="36" t="str">
        <f aca="false">IF(A246="","",INT((A246-StartDate)/7)+1)</f>
        <v/>
      </c>
      <c r="M246" s="36" t="str">
        <f aca="false">IF(A246="","",TEXT(A246,"mmm"))</f>
        <v/>
      </c>
      <c r="N246" s="48" t="str">
        <f aca="false">IFERROR(IF(ISNUMBER(SEARCH("squat",C246)),K246,""),"")</f>
        <v/>
      </c>
      <c r="O246" s="48" t="str">
        <f aca="false">IFERROR(IF(ISNUMBER(SEARCH("bench",C246)),K246,""),"")</f>
        <v/>
      </c>
      <c r="P246" s="48" t="str">
        <f aca="false">IFERROR(IF(ISNUMBER(SEARCH("deadlift",C246)),K246,""),"")</f>
        <v/>
      </c>
      <c r="V246" s="48" t="n">
        <f aca="false">MAX(V245,IF(N246="",0,N246))</f>
        <v>144.666666666667</v>
      </c>
      <c r="W246" s="48" t="n">
        <f aca="false">MAX(W245,IF(O246="",0,O246))</f>
        <v>99.1666666666667</v>
      </c>
      <c r="X246" s="48" t="n">
        <f aca="false">MAX(X245,IF(P246="",0,P246))</f>
        <v>175.666666666667</v>
      </c>
      <c r="Y246" s="48" t="n">
        <f aca="false">V246+W246+X246</f>
        <v>419.5</v>
      </c>
    </row>
    <row r="247" customFormat="false" ht="15" hidden="false" customHeight="false" outlineLevel="0" collapsed="false">
      <c r="A247" s="45"/>
      <c r="B247" s="31"/>
      <c r="C247" s="32"/>
      <c r="D247" s="31"/>
      <c r="E247" s="31"/>
      <c r="F247" s="29"/>
      <c r="G247" s="29" t="str">
        <f aca="false">IF(OR(D247="",E247="",F247=""),"",D247*E247*F247)</f>
        <v/>
      </c>
      <c r="H247" s="31"/>
      <c r="I247" s="46" t="str">
        <f aca="false">IF(OR(C247="",K247=""),"",IF(K247&gt;=_xlfn.MAXIFS($K$5:K246,$C$5:C246,C247),"Yes","No"))</f>
        <v/>
      </c>
      <c r="J247" s="32"/>
      <c r="K247" s="47" t="str">
        <f aca="false">IF(OR(E247="",F247=""),"",F247*(1+E247/30))</f>
        <v/>
      </c>
      <c r="L247" s="27" t="str">
        <f aca="false">IF(A247="","",INT((A247-StartDate)/7)+1)</f>
        <v/>
      </c>
      <c r="M247" s="27" t="str">
        <f aca="false">IF(A247="","",TEXT(A247,"mmm"))</f>
        <v/>
      </c>
      <c r="N247" s="47" t="str">
        <f aca="false">IFERROR(IF(ISNUMBER(SEARCH("squat",C247)),K247,""),"")</f>
        <v/>
      </c>
      <c r="O247" s="47" t="str">
        <f aca="false">IFERROR(IF(ISNUMBER(SEARCH("bench",C247)),K247,""),"")</f>
        <v/>
      </c>
      <c r="P247" s="47" t="str">
        <f aca="false">IFERROR(IF(ISNUMBER(SEARCH("deadlift",C247)),K247,""),"")</f>
        <v/>
      </c>
      <c r="V247" s="47" t="n">
        <f aca="false">MAX(V246,IF(N247="",0,N247))</f>
        <v>144.666666666667</v>
      </c>
      <c r="W247" s="47" t="n">
        <f aca="false">MAX(W246,IF(O247="",0,O247))</f>
        <v>99.1666666666667</v>
      </c>
      <c r="X247" s="47" t="n">
        <f aca="false">MAX(X246,IF(P247="",0,P247))</f>
        <v>175.666666666667</v>
      </c>
      <c r="Y247" s="47" t="n">
        <f aca="false">V247+W247+X247</f>
        <v>419.5</v>
      </c>
    </row>
    <row r="248" customFormat="false" ht="15" hidden="false" customHeight="false" outlineLevel="0" collapsed="false">
      <c r="A248" s="45"/>
      <c r="B248" s="31"/>
      <c r="C248" s="32"/>
      <c r="D248" s="31"/>
      <c r="E248" s="31"/>
      <c r="F248" s="29"/>
      <c r="G248" s="29" t="str">
        <f aca="false">IF(OR(D248="",E248="",F248=""),"",D248*E248*F248)</f>
        <v/>
      </c>
      <c r="H248" s="31"/>
      <c r="I248" s="36" t="str">
        <f aca="false">IF(OR(C248="",K248=""),"",IF(K248&gt;=_xlfn.MAXIFS($K$5:K247,$C$5:C247,C248),"Yes","No"))</f>
        <v/>
      </c>
      <c r="J248" s="32"/>
      <c r="K248" s="48" t="str">
        <f aca="false">IF(OR(E248="",F248=""),"",F248*(1+E248/30))</f>
        <v/>
      </c>
      <c r="L248" s="36" t="str">
        <f aca="false">IF(A248="","",INT((A248-StartDate)/7)+1)</f>
        <v/>
      </c>
      <c r="M248" s="36" t="str">
        <f aca="false">IF(A248="","",TEXT(A248,"mmm"))</f>
        <v/>
      </c>
      <c r="N248" s="48" t="str">
        <f aca="false">IFERROR(IF(ISNUMBER(SEARCH("squat",C248)),K248,""),"")</f>
        <v/>
      </c>
      <c r="O248" s="48" t="str">
        <f aca="false">IFERROR(IF(ISNUMBER(SEARCH("bench",C248)),K248,""),"")</f>
        <v/>
      </c>
      <c r="P248" s="48" t="str">
        <f aca="false">IFERROR(IF(ISNUMBER(SEARCH("deadlift",C248)),K248,""),"")</f>
        <v/>
      </c>
      <c r="V248" s="48" t="n">
        <f aca="false">MAX(V247,IF(N248="",0,N248))</f>
        <v>144.666666666667</v>
      </c>
      <c r="W248" s="48" t="n">
        <f aca="false">MAX(W247,IF(O248="",0,O248))</f>
        <v>99.1666666666667</v>
      </c>
      <c r="X248" s="48" t="n">
        <f aca="false">MAX(X247,IF(P248="",0,P248))</f>
        <v>175.666666666667</v>
      </c>
      <c r="Y248" s="48" t="n">
        <f aca="false">V248+W248+X248</f>
        <v>419.5</v>
      </c>
    </row>
    <row r="249" customFormat="false" ht="15" hidden="false" customHeight="false" outlineLevel="0" collapsed="false">
      <c r="A249" s="45"/>
      <c r="B249" s="31"/>
      <c r="C249" s="32"/>
      <c r="D249" s="31"/>
      <c r="E249" s="31"/>
      <c r="F249" s="29"/>
      <c r="G249" s="29" t="str">
        <f aca="false">IF(OR(D249="",E249="",F249=""),"",D249*E249*F249)</f>
        <v/>
      </c>
      <c r="H249" s="31"/>
      <c r="I249" s="46" t="str">
        <f aca="false">IF(OR(C249="",K249=""),"",IF(K249&gt;=_xlfn.MAXIFS($K$5:K248,$C$5:C248,C249),"Yes","No"))</f>
        <v/>
      </c>
      <c r="J249" s="32"/>
      <c r="K249" s="47" t="str">
        <f aca="false">IF(OR(E249="",F249=""),"",F249*(1+E249/30))</f>
        <v/>
      </c>
      <c r="L249" s="27" t="str">
        <f aca="false">IF(A249="","",INT((A249-StartDate)/7)+1)</f>
        <v/>
      </c>
      <c r="M249" s="27" t="str">
        <f aca="false">IF(A249="","",TEXT(A249,"mmm"))</f>
        <v/>
      </c>
      <c r="N249" s="47" t="str">
        <f aca="false">IFERROR(IF(ISNUMBER(SEARCH("squat",C249)),K249,""),"")</f>
        <v/>
      </c>
      <c r="O249" s="47" t="str">
        <f aca="false">IFERROR(IF(ISNUMBER(SEARCH("bench",C249)),K249,""),"")</f>
        <v/>
      </c>
      <c r="P249" s="47" t="str">
        <f aca="false">IFERROR(IF(ISNUMBER(SEARCH("deadlift",C249)),K249,""),"")</f>
        <v/>
      </c>
      <c r="V249" s="47" t="n">
        <f aca="false">MAX(V248,IF(N249="",0,N249))</f>
        <v>144.666666666667</v>
      </c>
      <c r="W249" s="47" t="n">
        <f aca="false">MAX(W248,IF(O249="",0,O249))</f>
        <v>99.1666666666667</v>
      </c>
      <c r="X249" s="47" t="n">
        <f aca="false">MAX(X248,IF(P249="",0,P249))</f>
        <v>175.666666666667</v>
      </c>
      <c r="Y249" s="47" t="n">
        <f aca="false">V249+W249+X249</f>
        <v>419.5</v>
      </c>
    </row>
    <row r="250" customFormat="false" ht="15" hidden="false" customHeight="false" outlineLevel="0" collapsed="false">
      <c r="A250" s="45"/>
      <c r="B250" s="31"/>
      <c r="C250" s="32"/>
      <c r="D250" s="31"/>
      <c r="E250" s="31"/>
      <c r="F250" s="29"/>
      <c r="G250" s="29" t="str">
        <f aca="false">IF(OR(D250="",E250="",F250=""),"",D250*E250*F250)</f>
        <v/>
      </c>
      <c r="H250" s="31"/>
      <c r="I250" s="36" t="str">
        <f aca="false">IF(OR(C250="",K250=""),"",IF(K250&gt;=_xlfn.MAXIFS($K$5:K249,$C$5:C249,C250),"Yes","No"))</f>
        <v/>
      </c>
      <c r="J250" s="32"/>
      <c r="K250" s="48" t="str">
        <f aca="false">IF(OR(E250="",F250=""),"",F250*(1+E250/30))</f>
        <v/>
      </c>
      <c r="L250" s="36" t="str">
        <f aca="false">IF(A250="","",INT((A250-StartDate)/7)+1)</f>
        <v/>
      </c>
      <c r="M250" s="36" t="str">
        <f aca="false">IF(A250="","",TEXT(A250,"mmm"))</f>
        <v/>
      </c>
      <c r="N250" s="48" t="str">
        <f aca="false">IFERROR(IF(ISNUMBER(SEARCH("squat",C250)),K250,""),"")</f>
        <v/>
      </c>
      <c r="O250" s="48" t="str">
        <f aca="false">IFERROR(IF(ISNUMBER(SEARCH("bench",C250)),K250,""),"")</f>
        <v/>
      </c>
      <c r="P250" s="48" t="str">
        <f aca="false">IFERROR(IF(ISNUMBER(SEARCH("deadlift",C250)),K250,""),"")</f>
        <v/>
      </c>
      <c r="V250" s="48" t="n">
        <f aca="false">MAX(V249,IF(N250="",0,N250))</f>
        <v>144.666666666667</v>
      </c>
      <c r="W250" s="48" t="n">
        <f aca="false">MAX(W249,IF(O250="",0,O250))</f>
        <v>99.1666666666667</v>
      </c>
      <c r="X250" s="48" t="n">
        <f aca="false">MAX(X249,IF(P250="",0,P250))</f>
        <v>175.666666666667</v>
      </c>
      <c r="Y250" s="48" t="n">
        <f aca="false">V250+W250+X250</f>
        <v>419.5</v>
      </c>
    </row>
    <row r="251" customFormat="false" ht="15" hidden="false" customHeight="false" outlineLevel="0" collapsed="false">
      <c r="A251" s="45"/>
      <c r="B251" s="31"/>
      <c r="C251" s="32"/>
      <c r="D251" s="31"/>
      <c r="E251" s="31"/>
      <c r="F251" s="29"/>
      <c r="G251" s="29" t="str">
        <f aca="false">IF(OR(D251="",E251="",F251=""),"",D251*E251*F251)</f>
        <v/>
      </c>
      <c r="H251" s="31"/>
      <c r="I251" s="46" t="str">
        <f aca="false">IF(OR(C251="",K251=""),"",IF(K251&gt;=_xlfn.MAXIFS($K$5:K250,$C$5:C250,C251),"Yes","No"))</f>
        <v/>
      </c>
      <c r="J251" s="32"/>
      <c r="K251" s="47" t="str">
        <f aca="false">IF(OR(E251="",F251=""),"",F251*(1+E251/30))</f>
        <v/>
      </c>
      <c r="L251" s="27" t="str">
        <f aca="false">IF(A251="","",INT((A251-StartDate)/7)+1)</f>
        <v/>
      </c>
      <c r="M251" s="27" t="str">
        <f aca="false">IF(A251="","",TEXT(A251,"mmm"))</f>
        <v/>
      </c>
      <c r="N251" s="47" t="str">
        <f aca="false">IFERROR(IF(ISNUMBER(SEARCH("squat",C251)),K251,""),"")</f>
        <v/>
      </c>
      <c r="O251" s="47" t="str">
        <f aca="false">IFERROR(IF(ISNUMBER(SEARCH("bench",C251)),K251,""),"")</f>
        <v/>
      </c>
      <c r="P251" s="47" t="str">
        <f aca="false">IFERROR(IF(ISNUMBER(SEARCH("deadlift",C251)),K251,""),"")</f>
        <v/>
      </c>
      <c r="V251" s="47" t="n">
        <f aca="false">MAX(V250,IF(N251="",0,N251))</f>
        <v>144.666666666667</v>
      </c>
      <c r="W251" s="47" t="n">
        <f aca="false">MAX(W250,IF(O251="",0,O251))</f>
        <v>99.1666666666667</v>
      </c>
      <c r="X251" s="47" t="n">
        <f aca="false">MAX(X250,IF(P251="",0,P251))</f>
        <v>175.666666666667</v>
      </c>
      <c r="Y251" s="47" t="n">
        <f aca="false">V251+W251+X251</f>
        <v>419.5</v>
      </c>
    </row>
    <row r="252" customFormat="false" ht="15" hidden="false" customHeight="false" outlineLevel="0" collapsed="false">
      <c r="A252" s="45"/>
      <c r="B252" s="31"/>
      <c r="C252" s="32"/>
      <c r="D252" s="31"/>
      <c r="E252" s="31"/>
      <c r="F252" s="29"/>
      <c r="G252" s="29" t="str">
        <f aca="false">IF(OR(D252="",E252="",F252=""),"",D252*E252*F252)</f>
        <v/>
      </c>
      <c r="H252" s="31"/>
      <c r="I252" s="36" t="str">
        <f aca="false">IF(OR(C252="",K252=""),"",IF(K252&gt;=_xlfn.MAXIFS($K$5:K251,$C$5:C251,C252),"Yes","No"))</f>
        <v/>
      </c>
      <c r="J252" s="32"/>
      <c r="K252" s="48" t="str">
        <f aca="false">IF(OR(E252="",F252=""),"",F252*(1+E252/30))</f>
        <v/>
      </c>
      <c r="L252" s="36" t="str">
        <f aca="false">IF(A252="","",INT((A252-StartDate)/7)+1)</f>
        <v/>
      </c>
      <c r="M252" s="36" t="str">
        <f aca="false">IF(A252="","",TEXT(A252,"mmm"))</f>
        <v/>
      </c>
      <c r="N252" s="48" t="str">
        <f aca="false">IFERROR(IF(ISNUMBER(SEARCH("squat",C252)),K252,""),"")</f>
        <v/>
      </c>
      <c r="O252" s="48" t="str">
        <f aca="false">IFERROR(IF(ISNUMBER(SEARCH("bench",C252)),K252,""),"")</f>
        <v/>
      </c>
      <c r="P252" s="48" t="str">
        <f aca="false">IFERROR(IF(ISNUMBER(SEARCH("deadlift",C252)),K252,""),"")</f>
        <v/>
      </c>
      <c r="V252" s="48" t="n">
        <f aca="false">MAX(V251,IF(N252="",0,N252))</f>
        <v>144.666666666667</v>
      </c>
      <c r="W252" s="48" t="n">
        <f aca="false">MAX(W251,IF(O252="",0,O252))</f>
        <v>99.1666666666667</v>
      </c>
      <c r="X252" s="48" t="n">
        <f aca="false">MAX(X251,IF(P252="",0,P252))</f>
        <v>175.666666666667</v>
      </c>
      <c r="Y252" s="48" t="n">
        <f aca="false">V252+W252+X252</f>
        <v>419.5</v>
      </c>
    </row>
    <row r="253" customFormat="false" ht="15" hidden="false" customHeight="false" outlineLevel="0" collapsed="false">
      <c r="A253" s="45"/>
      <c r="B253" s="31"/>
      <c r="C253" s="32"/>
      <c r="D253" s="31"/>
      <c r="E253" s="31"/>
      <c r="F253" s="29"/>
      <c r="G253" s="29" t="str">
        <f aca="false">IF(OR(D253="",E253="",F253=""),"",D253*E253*F253)</f>
        <v/>
      </c>
      <c r="H253" s="31"/>
      <c r="I253" s="46" t="str">
        <f aca="false">IF(OR(C253="",K253=""),"",IF(K253&gt;=_xlfn.MAXIFS($K$5:K252,$C$5:C252,C253),"Yes","No"))</f>
        <v/>
      </c>
      <c r="J253" s="32"/>
      <c r="K253" s="47" t="str">
        <f aca="false">IF(OR(E253="",F253=""),"",F253*(1+E253/30))</f>
        <v/>
      </c>
      <c r="L253" s="27" t="str">
        <f aca="false">IF(A253="","",INT((A253-StartDate)/7)+1)</f>
        <v/>
      </c>
      <c r="M253" s="27" t="str">
        <f aca="false">IF(A253="","",TEXT(A253,"mmm"))</f>
        <v/>
      </c>
      <c r="N253" s="47" t="str">
        <f aca="false">IFERROR(IF(ISNUMBER(SEARCH("squat",C253)),K253,""),"")</f>
        <v/>
      </c>
      <c r="O253" s="47" t="str">
        <f aca="false">IFERROR(IF(ISNUMBER(SEARCH("bench",C253)),K253,""),"")</f>
        <v/>
      </c>
      <c r="P253" s="47" t="str">
        <f aca="false">IFERROR(IF(ISNUMBER(SEARCH("deadlift",C253)),K253,""),"")</f>
        <v/>
      </c>
      <c r="V253" s="47" t="n">
        <f aca="false">MAX(V252,IF(N253="",0,N253))</f>
        <v>144.666666666667</v>
      </c>
      <c r="W253" s="47" t="n">
        <f aca="false">MAX(W252,IF(O253="",0,O253))</f>
        <v>99.1666666666667</v>
      </c>
      <c r="X253" s="47" t="n">
        <f aca="false">MAX(X252,IF(P253="",0,P253))</f>
        <v>175.666666666667</v>
      </c>
      <c r="Y253" s="47" t="n">
        <f aca="false">V253+W253+X253</f>
        <v>419.5</v>
      </c>
    </row>
    <row r="254" customFormat="false" ht="15" hidden="false" customHeight="false" outlineLevel="0" collapsed="false">
      <c r="A254" s="45"/>
      <c r="B254" s="31"/>
      <c r="C254" s="32"/>
      <c r="D254" s="31"/>
      <c r="E254" s="31"/>
      <c r="F254" s="29"/>
      <c r="G254" s="29" t="str">
        <f aca="false">IF(OR(D254="",E254="",F254=""),"",D254*E254*F254)</f>
        <v/>
      </c>
      <c r="H254" s="31"/>
      <c r="I254" s="36" t="str">
        <f aca="false">IF(OR(C254="",K254=""),"",IF(K254&gt;=_xlfn.MAXIFS($K$5:K253,$C$5:C253,C254),"Yes","No"))</f>
        <v/>
      </c>
      <c r="J254" s="32"/>
      <c r="K254" s="48" t="str">
        <f aca="false">IF(OR(E254="",F254=""),"",F254*(1+E254/30))</f>
        <v/>
      </c>
      <c r="L254" s="36" t="str">
        <f aca="false">IF(A254="","",INT((A254-StartDate)/7)+1)</f>
        <v/>
      </c>
      <c r="M254" s="36" t="str">
        <f aca="false">IF(A254="","",TEXT(A254,"mmm"))</f>
        <v/>
      </c>
      <c r="N254" s="48" t="str">
        <f aca="false">IFERROR(IF(ISNUMBER(SEARCH("squat",C254)),K254,""),"")</f>
        <v/>
      </c>
      <c r="O254" s="48" t="str">
        <f aca="false">IFERROR(IF(ISNUMBER(SEARCH("bench",C254)),K254,""),"")</f>
        <v/>
      </c>
      <c r="P254" s="48" t="str">
        <f aca="false">IFERROR(IF(ISNUMBER(SEARCH("deadlift",C254)),K254,""),"")</f>
        <v/>
      </c>
      <c r="V254" s="48" t="n">
        <f aca="false">MAX(V253,IF(N254="",0,N254))</f>
        <v>144.666666666667</v>
      </c>
      <c r="W254" s="48" t="n">
        <f aca="false">MAX(W253,IF(O254="",0,O254))</f>
        <v>99.1666666666667</v>
      </c>
      <c r="X254" s="48" t="n">
        <f aca="false">MAX(X253,IF(P254="",0,P254))</f>
        <v>175.666666666667</v>
      </c>
      <c r="Y254" s="48" t="n">
        <f aca="false">V254+W254+X254</f>
        <v>419.5</v>
      </c>
    </row>
    <row r="255" customFormat="false" ht="15" hidden="false" customHeight="false" outlineLevel="0" collapsed="false">
      <c r="A255" s="45"/>
      <c r="B255" s="31"/>
      <c r="C255" s="32"/>
      <c r="D255" s="31"/>
      <c r="E255" s="31"/>
      <c r="F255" s="29"/>
      <c r="G255" s="29" t="str">
        <f aca="false">IF(OR(D255="",E255="",F255=""),"",D255*E255*F255)</f>
        <v/>
      </c>
      <c r="H255" s="31"/>
      <c r="I255" s="46" t="str">
        <f aca="false">IF(OR(C255="",K255=""),"",IF(K255&gt;=_xlfn.MAXIFS($K$5:K254,$C$5:C254,C255),"Yes","No"))</f>
        <v/>
      </c>
      <c r="J255" s="32"/>
      <c r="K255" s="47" t="str">
        <f aca="false">IF(OR(E255="",F255=""),"",F255*(1+E255/30))</f>
        <v/>
      </c>
      <c r="L255" s="27" t="str">
        <f aca="false">IF(A255="","",INT((A255-StartDate)/7)+1)</f>
        <v/>
      </c>
      <c r="M255" s="27" t="str">
        <f aca="false">IF(A255="","",TEXT(A255,"mmm"))</f>
        <v/>
      </c>
      <c r="N255" s="47" t="str">
        <f aca="false">IFERROR(IF(ISNUMBER(SEARCH("squat",C255)),K255,""),"")</f>
        <v/>
      </c>
      <c r="O255" s="47" t="str">
        <f aca="false">IFERROR(IF(ISNUMBER(SEARCH("bench",C255)),K255,""),"")</f>
        <v/>
      </c>
      <c r="P255" s="47" t="str">
        <f aca="false">IFERROR(IF(ISNUMBER(SEARCH("deadlift",C255)),K255,""),"")</f>
        <v/>
      </c>
      <c r="V255" s="47" t="n">
        <f aca="false">MAX(V254,IF(N255="",0,N255))</f>
        <v>144.666666666667</v>
      </c>
      <c r="W255" s="47" t="n">
        <f aca="false">MAX(W254,IF(O255="",0,O255))</f>
        <v>99.1666666666667</v>
      </c>
      <c r="X255" s="47" t="n">
        <f aca="false">MAX(X254,IF(P255="",0,P255))</f>
        <v>175.666666666667</v>
      </c>
      <c r="Y255" s="47" t="n">
        <f aca="false">V255+W255+X255</f>
        <v>419.5</v>
      </c>
    </row>
    <row r="256" customFormat="false" ht="15" hidden="false" customHeight="false" outlineLevel="0" collapsed="false">
      <c r="A256" s="45"/>
      <c r="B256" s="31"/>
      <c r="C256" s="32"/>
      <c r="D256" s="31"/>
      <c r="E256" s="31"/>
      <c r="F256" s="29"/>
      <c r="G256" s="29" t="str">
        <f aca="false">IF(OR(D256="",E256="",F256=""),"",D256*E256*F256)</f>
        <v/>
      </c>
      <c r="H256" s="31"/>
      <c r="I256" s="36" t="str">
        <f aca="false">IF(OR(C256="",K256=""),"",IF(K256&gt;=_xlfn.MAXIFS($K$5:K255,$C$5:C255,C256),"Yes","No"))</f>
        <v/>
      </c>
      <c r="J256" s="32"/>
      <c r="K256" s="48" t="str">
        <f aca="false">IF(OR(E256="",F256=""),"",F256*(1+E256/30))</f>
        <v/>
      </c>
      <c r="L256" s="36" t="str">
        <f aca="false">IF(A256="","",INT((A256-StartDate)/7)+1)</f>
        <v/>
      </c>
      <c r="M256" s="36" t="str">
        <f aca="false">IF(A256="","",TEXT(A256,"mmm"))</f>
        <v/>
      </c>
      <c r="N256" s="48" t="str">
        <f aca="false">IFERROR(IF(ISNUMBER(SEARCH("squat",C256)),K256,""),"")</f>
        <v/>
      </c>
      <c r="O256" s="48" t="str">
        <f aca="false">IFERROR(IF(ISNUMBER(SEARCH("bench",C256)),K256,""),"")</f>
        <v/>
      </c>
      <c r="P256" s="48" t="str">
        <f aca="false">IFERROR(IF(ISNUMBER(SEARCH("deadlift",C256)),K256,""),"")</f>
        <v/>
      </c>
      <c r="V256" s="48" t="n">
        <f aca="false">MAX(V255,IF(N256="",0,N256))</f>
        <v>144.666666666667</v>
      </c>
      <c r="W256" s="48" t="n">
        <f aca="false">MAX(W255,IF(O256="",0,O256))</f>
        <v>99.1666666666667</v>
      </c>
      <c r="X256" s="48" t="n">
        <f aca="false">MAX(X255,IF(P256="",0,P256))</f>
        <v>175.666666666667</v>
      </c>
      <c r="Y256" s="48" t="n">
        <f aca="false">V256+W256+X256</f>
        <v>419.5</v>
      </c>
    </row>
    <row r="257" customFormat="false" ht="15" hidden="false" customHeight="false" outlineLevel="0" collapsed="false">
      <c r="A257" s="45"/>
      <c r="B257" s="31"/>
      <c r="C257" s="32"/>
      <c r="D257" s="31"/>
      <c r="E257" s="31"/>
      <c r="F257" s="29"/>
      <c r="G257" s="29" t="str">
        <f aca="false">IF(OR(D257="",E257="",F257=""),"",D257*E257*F257)</f>
        <v/>
      </c>
      <c r="H257" s="31"/>
      <c r="I257" s="46" t="str">
        <f aca="false">IF(OR(C257="",K257=""),"",IF(K257&gt;=_xlfn.MAXIFS($K$5:K256,$C$5:C256,C257),"Yes","No"))</f>
        <v/>
      </c>
      <c r="J257" s="32"/>
      <c r="K257" s="47" t="str">
        <f aca="false">IF(OR(E257="",F257=""),"",F257*(1+E257/30))</f>
        <v/>
      </c>
      <c r="L257" s="27" t="str">
        <f aca="false">IF(A257="","",INT((A257-StartDate)/7)+1)</f>
        <v/>
      </c>
      <c r="M257" s="27" t="str">
        <f aca="false">IF(A257="","",TEXT(A257,"mmm"))</f>
        <v/>
      </c>
      <c r="N257" s="47" t="str">
        <f aca="false">IFERROR(IF(ISNUMBER(SEARCH("squat",C257)),K257,""),"")</f>
        <v/>
      </c>
      <c r="O257" s="47" t="str">
        <f aca="false">IFERROR(IF(ISNUMBER(SEARCH("bench",C257)),K257,""),"")</f>
        <v/>
      </c>
      <c r="P257" s="47" t="str">
        <f aca="false">IFERROR(IF(ISNUMBER(SEARCH("deadlift",C257)),K257,""),"")</f>
        <v/>
      </c>
      <c r="V257" s="47" t="n">
        <f aca="false">MAX(V256,IF(N257="",0,N257))</f>
        <v>144.666666666667</v>
      </c>
      <c r="W257" s="47" t="n">
        <f aca="false">MAX(W256,IF(O257="",0,O257))</f>
        <v>99.1666666666667</v>
      </c>
      <c r="X257" s="47" t="n">
        <f aca="false">MAX(X256,IF(P257="",0,P257))</f>
        <v>175.666666666667</v>
      </c>
      <c r="Y257" s="47" t="n">
        <f aca="false">V257+W257+X257</f>
        <v>419.5</v>
      </c>
    </row>
    <row r="258" customFormat="false" ht="15" hidden="false" customHeight="false" outlineLevel="0" collapsed="false">
      <c r="A258" s="45"/>
      <c r="B258" s="31"/>
      <c r="C258" s="32"/>
      <c r="D258" s="31"/>
      <c r="E258" s="31"/>
      <c r="F258" s="29"/>
      <c r="G258" s="29" t="str">
        <f aca="false">IF(OR(D258="",E258="",F258=""),"",D258*E258*F258)</f>
        <v/>
      </c>
      <c r="H258" s="31"/>
      <c r="I258" s="36" t="str">
        <f aca="false">IF(OR(C258="",K258=""),"",IF(K258&gt;=_xlfn.MAXIFS($K$5:K257,$C$5:C257,C258),"Yes","No"))</f>
        <v/>
      </c>
      <c r="J258" s="32"/>
      <c r="K258" s="48" t="str">
        <f aca="false">IF(OR(E258="",F258=""),"",F258*(1+E258/30))</f>
        <v/>
      </c>
      <c r="L258" s="36" t="str">
        <f aca="false">IF(A258="","",INT((A258-StartDate)/7)+1)</f>
        <v/>
      </c>
      <c r="M258" s="36" t="str">
        <f aca="false">IF(A258="","",TEXT(A258,"mmm"))</f>
        <v/>
      </c>
      <c r="N258" s="48" t="str">
        <f aca="false">IFERROR(IF(ISNUMBER(SEARCH("squat",C258)),K258,""),"")</f>
        <v/>
      </c>
      <c r="O258" s="48" t="str">
        <f aca="false">IFERROR(IF(ISNUMBER(SEARCH("bench",C258)),K258,""),"")</f>
        <v/>
      </c>
      <c r="P258" s="48" t="str">
        <f aca="false">IFERROR(IF(ISNUMBER(SEARCH("deadlift",C258)),K258,""),"")</f>
        <v/>
      </c>
      <c r="V258" s="48" t="n">
        <f aca="false">MAX(V257,IF(N258="",0,N258))</f>
        <v>144.666666666667</v>
      </c>
      <c r="W258" s="48" t="n">
        <f aca="false">MAX(W257,IF(O258="",0,O258))</f>
        <v>99.1666666666667</v>
      </c>
      <c r="X258" s="48" t="n">
        <f aca="false">MAX(X257,IF(P258="",0,P258))</f>
        <v>175.666666666667</v>
      </c>
      <c r="Y258" s="48" t="n">
        <f aca="false">V258+W258+X258</f>
        <v>419.5</v>
      </c>
    </row>
    <row r="259" customFormat="false" ht="15" hidden="false" customHeight="false" outlineLevel="0" collapsed="false">
      <c r="A259" s="45"/>
      <c r="B259" s="31"/>
      <c r="C259" s="32"/>
      <c r="D259" s="31"/>
      <c r="E259" s="31"/>
      <c r="F259" s="29"/>
      <c r="G259" s="29" t="str">
        <f aca="false">IF(OR(D259="",E259="",F259=""),"",D259*E259*F259)</f>
        <v/>
      </c>
      <c r="H259" s="31"/>
      <c r="I259" s="46" t="str">
        <f aca="false">IF(OR(C259="",K259=""),"",IF(K259&gt;=_xlfn.MAXIFS($K$5:K258,$C$5:C258,C259),"Yes","No"))</f>
        <v/>
      </c>
      <c r="J259" s="32"/>
      <c r="K259" s="47" t="str">
        <f aca="false">IF(OR(E259="",F259=""),"",F259*(1+E259/30))</f>
        <v/>
      </c>
      <c r="L259" s="27" t="str">
        <f aca="false">IF(A259="","",INT((A259-StartDate)/7)+1)</f>
        <v/>
      </c>
      <c r="M259" s="27" t="str">
        <f aca="false">IF(A259="","",TEXT(A259,"mmm"))</f>
        <v/>
      </c>
      <c r="N259" s="47" t="str">
        <f aca="false">IFERROR(IF(ISNUMBER(SEARCH("squat",C259)),K259,""),"")</f>
        <v/>
      </c>
      <c r="O259" s="47" t="str">
        <f aca="false">IFERROR(IF(ISNUMBER(SEARCH("bench",C259)),K259,""),"")</f>
        <v/>
      </c>
      <c r="P259" s="47" t="str">
        <f aca="false">IFERROR(IF(ISNUMBER(SEARCH("deadlift",C259)),K259,""),"")</f>
        <v/>
      </c>
      <c r="V259" s="47" t="n">
        <f aca="false">MAX(V258,IF(N259="",0,N259))</f>
        <v>144.666666666667</v>
      </c>
      <c r="W259" s="47" t="n">
        <f aca="false">MAX(W258,IF(O259="",0,O259))</f>
        <v>99.1666666666667</v>
      </c>
      <c r="X259" s="47" t="n">
        <f aca="false">MAX(X258,IF(P259="",0,P259))</f>
        <v>175.666666666667</v>
      </c>
      <c r="Y259" s="47" t="n">
        <f aca="false">V259+W259+X259</f>
        <v>419.5</v>
      </c>
    </row>
    <row r="260" customFormat="false" ht="15" hidden="false" customHeight="false" outlineLevel="0" collapsed="false">
      <c r="A260" s="45"/>
      <c r="B260" s="31"/>
      <c r="C260" s="32"/>
      <c r="D260" s="31"/>
      <c r="E260" s="31"/>
      <c r="F260" s="29"/>
      <c r="G260" s="29" t="str">
        <f aca="false">IF(OR(D260="",E260="",F260=""),"",D260*E260*F260)</f>
        <v/>
      </c>
      <c r="H260" s="31"/>
      <c r="I260" s="36" t="str">
        <f aca="false">IF(OR(C260="",K260=""),"",IF(K260&gt;=_xlfn.MAXIFS($K$5:K259,$C$5:C259,C260),"Yes","No"))</f>
        <v/>
      </c>
      <c r="J260" s="32"/>
      <c r="K260" s="48" t="str">
        <f aca="false">IF(OR(E260="",F260=""),"",F260*(1+E260/30))</f>
        <v/>
      </c>
      <c r="L260" s="36" t="str">
        <f aca="false">IF(A260="","",INT((A260-StartDate)/7)+1)</f>
        <v/>
      </c>
      <c r="M260" s="36" t="str">
        <f aca="false">IF(A260="","",TEXT(A260,"mmm"))</f>
        <v/>
      </c>
      <c r="N260" s="48" t="str">
        <f aca="false">IFERROR(IF(ISNUMBER(SEARCH("squat",C260)),K260,""),"")</f>
        <v/>
      </c>
      <c r="O260" s="48" t="str">
        <f aca="false">IFERROR(IF(ISNUMBER(SEARCH("bench",C260)),K260,""),"")</f>
        <v/>
      </c>
      <c r="P260" s="48" t="str">
        <f aca="false">IFERROR(IF(ISNUMBER(SEARCH("deadlift",C260)),K260,""),"")</f>
        <v/>
      </c>
      <c r="V260" s="48" t="n">
        <f aca="false">MAX(V259,IF(N260="",0,N260))</f>
        <v>144.666666666667</v>
      </c>
      <c r="W260" s="48" t="n">
        <f aca="false">MAX(W259,IF(O260="",0,O260))</f>
        <v>99.1666666666667</v>
      </c>
      <c r="X260" s="48" t="n">
        <f aca="false">MAX(X259,IF(P260="",0,P260))</f>
        <v>175.666666666667</v>
      </c>
      <c r="Y260" s="48" t="n">
        <f aca="false">V260+W260+X260</f>
        <v>419.5</v>
      </c>
    </row>
    <row r="261" customFormat="false" ht="15" hidden="false" customHeight="false" outlineLevel="0" collapsed="false">
      <c r="A261" s="45"/>
      <c r="B261" s="31"/>
      <c r="C261" s="32"/>
      <c r="D261" s="31"/>
      <c r="E261" s="31"/>
      <c r="F261" s="29"/>
      <c r="G261" s="29" t="str">
        <f aca="false">IF(OR(D261="",E261="",F261=""),"",D261*E261*F261)</f>
        <v/>
      </c>
      <c r="H261" s="31"/>
      <c r="I261" s="46" t="str">
        <f aca="false">IF(OR(C261="",K261=""),"",IF(K261&gt;=_xlfn.MAXIFS($K$5:K260,$C$5:C260,C261),"Yes","No"))</f>
        <v/>
      </c>
      <c r="J261" s="32"/>
      <c r="K261" s="47" t="str">
        <f aca="false">IF(OR(E261="",F261=""),"",F261*(1+E261/30))</f>
        <v/>
      </c>
      <c r="L261" s="27" t="str">
        <f aca="false">IF(A261="","",INT((A261-StartDate)/7)+1)</f>
        <v/>
      </c>
      <c r="M261" s="27" t="str">
        <f aca="false">IF(A261="","",TEXT(A261,"mmm"))</f>
        <v/>
      </c>
      <c r="N261" s="47" t="str">
        <f aca="false">IFERROR(IF(ISNUMBER(SEARCH("squat",C261)),K261,""),"")</f>
        <v/>
      </c>
      <c r="O261" s="47" t="str">
        <f aca="false">IFERROR(IF(ISNUMBER(SEARCH("bench",C261)),K261,""),"")</f>
        <v/>
      </c>
      <c r="P261" s="47" t="str">
        <f aca="false">IFERROR(IF(ISNUMBER(SEARCH("deadlift",C261)),K261,""),"")</f>
        <v/>
      </c>
      <c r="V261" s="47" t="n">
        <f aca="false">MAX(V260,IF(N261="",0,N261))</f>
        <v>144.666666666667</v>
      </c>
      <c r="W261" s="47" t="n">
        <f aca="false">MAX(W260,IF(O261="",0,O261))</f>
        <v>99.1666666666667</v>
      </c>
      <c r="X261" s="47" t="n">
        <f aca="false">MAX(X260,IF(P261="",0,P261))</f>
        <v>175.666666666667</v>
      </c>
      <c r="Y261" s="47" t="n">
        <f aca="false">V261+W261+X261</f>
        <v>419.5</v>
      </c>
    </row>
    <row r="262" customFormat="false" ht="15" hidden="false" customHeight="false" outlineLevel="0" collapsed="false">
      <c r="A262" s="45"/>
      <c r="B262" s="31"/>
      <c r="C262" s="32"/>
      <c r="D262" s="31"/>
      <c r="E262" s="31"/>
      <c r="F262" s="29"/>
      <c r="G262" s="29" t="str">
        <f aca="false">IF(OR(D262="",E262="",F262=""),"",D262*E262*F262)</f>
        <v/>
      </c>
      <c r="H262" s="31"/>
      <c r="I262" s="36" t="str">
        <f aca="false">IF(OR(C262="",K262=""),"",IF(K262&gt;=_xlfn.MAXIFS($K$5:K261,$C$5:C261,C262),"Yes","No"))</f>
        <v/>
      </c>
      <c r="J262" s="32"/>
      <c r="K262" s="48" t="str">
        <f aca="false">IF(OR(E262="",F262=""),"",F262*(1+E262/30))</f>
        <v/>
      </c>
      <c r="L262" s="36" t="str">
        <f aca="false">IF(A262="","",INT((A262-StartDate)/7)+1)</f>
        <v/>
      </c>
      <c r="M262" s="36" t="str">
        <f aca="false">IF(A262="","",TEXT(A262,"mmm"))</f>
        <v/>
      </c>
      <c r="N262" s="48" t="str">
        <f aca="false">IFERROR(IF(ISNUMBER(SEARCH("squat",C262)),K262,""),"")</f>
        <v/>
      </c>
      <c r="O262" s="48" t="str">
        <f aca="false">IFERROR(IF(ISNUMBER(SEARCH("bench",C262)),K262,""),"")</f>
        <v/>
      </c>
      <c r="P262" s="48" t="str">
        <f aca="false">IFERROR(IF(ISNUMBER(SEARCH("deadlift",C262)),K262,""),"")</f>
        <v/>
      </c>
      <c r="V262" s="48" t="n">
        <f aca="false">MAX(V261,IF(N262="",0,N262))</f>
        <v>144.666666666667</v>
      </c>
      <c r="W262" s="48" t="n">
        <f aca="false">MAX(W261,IF(O262="",0,O262))</f>
        <v>99.1666666666667</v>
      </c>
      <c r="X262" s="48" t="n">
        <f aca="false">MAX(X261,IF(P262="",0,P262))</f>
        <v>175.666666666667</v>
      </c>
      <c r="Y262" s="48" t="n">
        <f aca="false">V262+W262+X262</f>
        <v>419.5</v>
      </c>
    </row>
    <row r="263" customFormat="false" ht="15" hidden="false" customHeight="false" outlineLevel="0" collapsed="false">
      <c r="A263" s="45"/>
      <c r="B263" s="31"/>
      <c r="C263" s="32"/>
      <c r="D263" s="31"/>
      <c r="E263" s="31"/>
      <c r="F263" s="29"/>
      <c r="G263" s="29" t="str">
        <f aca="false">IF(OR(D263="",E263="",F263=""),"",D263*E263*F263)</f>
        <v/>
      </c>
      <c r="H263" s="31"/>
      <c r="I263" s="46" t="str">
        <f aca="false">IF(OR(C263="",K263=""),"",IF(K263&gt;=_xlfn.MAXIFS($K$5:K262,$C$5:C262,C263),"Yes","No"))</f>
        <v/>
      </c>
      <c r="J263" s="32"/>
      <c r="K263" s="47" t="str">
        <f aca="false">IF(OR(E263="",F263=""),"",F263*(1+E263/30))</f>
        <v/>
      </c>
      <c r="L263" s="27" t="str">
        <f aca="false">IF(A263="","",INT((A263-StartDate)/7)+1)</f>
        <v/>
      </c>
      <c r="M263" s="27" t="str">
        <f aca="false">IF(A263="","",TEXT(A263,"mmm"))</f>
        <v/>
      </c>
      <c r="N263" s="47" t="str">
        <f aca="false">IFERROR(IF(ISNUMBER(SEARCH("squat",C263)),K263,""),"")</f>
        <v/>
      </c>
      <c r="O263" s="47" t="str">
        <f aca="false">IFERROR(IF(ISNUMBER(SEARCH("bench",C263)),K263,""),"")</f>
        <v/>
      </c>
      <c r="P263" s="47" t="str">
        <f aca="false">IFERROR(IF(ISNUMBER(SEARCH("deadlift",C263)),K263,""),"")</f>
        <v/>
      </c>
      <c r="V263" s="47" t="n">
        <f aca="false">MAX(V262,IF(N263="",0,N263))</f>
        <v>144.666666666667</v>
      </c>
      <c r="W263" s="47" t="n">
        <f aca="false">MAX(W262,IF(O263="",0,O263))</f>
        <v>99.1666666666667</v>
      </c>
      <c r="X263" s="47" t="n">
        <f aca="false">MAX(X262,IF(P263="",0,P263))</f>
        <v>175.666666666667</v>
      </c>
      <c r="Y263" s="47" t="n">
        <f aca="false">V263+W263+X263</f>
        <v>419.5</v>
      </c>
    </row>
    <row r="264" customFormat="false" ht="15" hidden="false" customHeight="false" outlineLevel="0" collapsed="false">
      <c r="A264" s="45"/>
      <c r="B264" s="31"/>
      <c r="C264" s="32"/>
      <c r="D264" s="31"/>
      <c r="E264" s="31"/>
      <c r="F264" s="29"/>
      <c r="G264" s="29" t="str">
        <f aca="false">IF(OR(D264="",E264="",F264=""),"",D264*E264*F264)</f>
        <v/>
      </c>
      <c r="H264" s="31"/>
      <c r="I264" s="36" t="str">
        <f aca="false">IF(OR(C264="",K264=""),"",IF(K264&gt;=_xlfn.MAXIFS($K$5:K263,$C$5:C263,C264),"Yes","No"))</f>
        <v/>
      </c>
      <c r="J264" s="32"/>
      <c r="K264" s="48" t="str">
        <f aca="false">IF(OR(E264="",F264=""),"",F264*(1+E264/30))</f>
        <v/>
      </c>
      <c r="L264" s="36" t="str">
        <f aca="false">IF(A264="","",INT((A264-StartDate)/7)+1)</f>
        <v/>
      </c>
      <c r="M264" s="36" t="str">
        <f aca="false">IF(A264="","",TEXT(A264,"mmm"))</f>
        <v/>
      </c>
      <c r="N264" s="48" t="str">
        <f aca="false">IFERROR(IF(ISNUMBER(SEARCH("squat",C264)),K264,""),"")</f>
        <v/>
      </c>
      <c r="O264" s="48" t="str">
        <f aca="false">IFERROR(IF(ISNUMBER(SEARCH("bench",C264)),K264,""),"")</f>
        <v/>
      </c>
      <c r="P264" s="48" t="str">
        <f aca="false">IFERROR(IF(ISNUMBER(SEARCH("deadlift",C264)),K264,""),"")</f>
        <v/>
      </c>
      <c r="V264" s="48" t="n">
        <f aca="false">MAX(V263,IF(N264="",0,N264))</f>
        <v>144.666666666667</v>
      </c>
      <c r="W264" s="48" t="n">
        <f aca="false">MAX(W263,IF(O264="",0,O264))</f>
        <v>99.1666666666667</v>
      </c>
      <c r="X264" s="48" t="n">
        <f aca="false">MAX(X263,IF(P264="",0,P264))</f>
        <v>175.666666666667</v>
      </c>
      <c r="Y264" s="48" t="n">
        <f aca="false">V264+W264+X264</f>
        <v>419.5</v>
      </c>
    </row>
    <row r="265" customFormat="false" ht="15" hidden="false" customHeight="false" outlineLevel="0" collapsed="false">
      <c r="A265" s="45"/>
      <c r="B265" s="31"/>
      <c r="C265" s="32"/>
      <c r="D265" s="31"/>
      <c r="E265" s="31"/>
      <c r="F265" s="29"/>
      <c r="G265" s="29" t="str">
        <f aca="false">IF(OR(D265="",E265="",F265=""),"",D265*E265*F265)</f>
        <v/>
      </c>
      <c r="H265" s="31"/>
      <c r="I265" s="46" t="str">
        <f aca="false">IF(OR(C265="",K265=""),"",IF(K265&gt;=_xlfn.MAXIFS($K$5:K264,$C$5:C264,C265),"Yes","No"))</f>
        <v/>
      </c>
      <c r="J265" s="32"/>
      <c r="K265" s="47" t="str">
        <f aca="false">IF(OR(E265="",F265=""),"",F265*(1+E265/30))</f>
        <v/>
      </c>
      <c r="L265" s="27" t="str">
        <f aca="false">IF(A265="","",INT((A265-StartDate)/7)+1)</f>
        <v/>
      </c>
      <c r="M265" s="27" t="str">
        <f aca="false">IF(A265="","",TEXT(A265,"mmm"))</f>
        <v/>
      </c>
      <c r="N265" s="47" t="str">
        <f aca="false">IFERROR(IF(ISNUMBER(SEARCH("squat",C265)),K265,""),"")</f>
        <v/>
      </c>
      <c r="O265" s="47" t="str">
        <f aca="false">IFERROR(IF(ISNUMBER(SEARCH("bench",C265)),K265,""),"")</f>
        <v/>
      </c>
      <c r="P265" s="47" t="str">
        <f aca="false">IFERROR(IF(ISNUMBER(SEARCH("deadlift",C265)),K265,""),"")</f>
        <v/>
      </c>
      <c r="V265" s="47" t="n">
        <f aca="false">MAX(V264,IF(N265="",0,N265))</f>
        <v>144.666666666667</v>
      </c>
      <c r="W265" s="47" t="n">
        <f aca="false">MAX(W264,IF(O265="",0,O265))</f>
        <v>99.1666666666667</v>
      </c>
      <c r="X265" s="47" t="n">
        <f aca="false">MAX(X264,IF(P265="",0,P265))</f>
        <v>175.666666666667</v>
      </c>
      <c r="Y265" s="47" t="n">
        <f aca="false">V265+W265+X265</f>
        <v>419.5</v>
      </c>
    </row>
    <row r="266" customFormat="false" ht="15" hidden="false" customHeight="false" outlineLevel="0" collapsed="false">
      <c r="A266" s="45"/>
      <c r="B266" s="31"/>
      <c r="C266" s="32"/>
      <c r="D266" s="31"/>
      <c r="E266" s="31"/>
      <c r="F266" s="29"/>
      <c r="G266" s="29" t="str">
        <f aca="false">IF(OR(D266="",E266="",F266=""),"",D266*E266*F266)</f>
        <v/>
      </c>
      <c r="H266" s="31"/>
      <c r="I266" s="36" t="str">
        <f aca="false">IF(OR(C266="",K266=""),"",IF(K266&gt;=_xlfn.MAXIFS($K$5:K265,$C$5:C265,C266),"Yes","No"))</f>
        <v/>
      </c>
      <c r="J266" s="32"/>
      <c r="K266" s="48" t="str">
        <f aca="false">IF(OR(E266="",F266=""),"",F266*(1+E266/30))</f>
        <v/>
      </c>
      <c r="L266" s="36" t="str">
        <f aca="false">IF(A266="","",INT((A266-StartDate)/7)+1)</f>
        <v/>
      </c>
      <c r="M266" s="36" t="str">
        <f aca="false">IF(A266="","",TEXT(A266,"mmm"))</f>
        <v/>
      </c>
      <c r="N266" s="48" t="str">
        <f aca="false">IFERROR(IF(ISNUMBER(SEARCH("squat",C266)),K266,""),"")</f>
        <v/>
      </c>
      <c r="O266" s="48" t="str">
        <f aca="false">IFERROR(IF(ISNUMBER(SEARCH("bench",C266)),K266,""),"")</f>
        <v/>
      </c>
      <c r="P266" s="48" t="str">
        <f aca="false">IFERROR(IF(ISNUMBER(SEARCH("deadlift",C266)),K266,""),"")</f>
        <v/>
      </c>
      <c r="V266" s="48" t="n">
        <f aca="false">MAX(V265,IF(N266="",0,N266))</f>
        <v>144.666666666667</v>
      </c>
      <c r="W266" s="48" t="n">
        <f aca="false">MAX(W265,IF(O266="",0,O266))</f>
        <v>99.1666666666667</v>
      </c>
      <c r="X266" s="48" t="n">
        <f aca="false">MAX(X265,IF(P266="",0,P266))</f>
        <v>175.666666666667</v>
      </c>
      <c r="Y266" s="48" t="n">
        <f aca="false">V266+W266+X266</f>
        <v>419.5</v>
      </c>
    </row>
    <row r="267" customFormat="false" ht="15" hidden="false" customHeight="false" outlineLevel="0" collapsed="false">
      <c r="A267" s="45"/>
      <c r="B267" s="31"/>
      <c r="C267" s="32"/>
      <c r="D267" s="31"/>
      <c r="E267" s="31"/>
      <c r="F267" s="29"/>
      <c r="G267" s="29" t="str">
        <f aca="false">IF(OR(D267="",E267="",F267=""),"",D267*E267*F267)</f>
        <v/>
      </c>
      <c r="H267" s="31"/>
      <c r="I267" s="46" t="str">
        <f aca="false">IF(OR(C267="",K267=""),"",IF(K267&gt;=_xlfn.MAXIFS($K$5:K266,$C$5:C266,C267),"Yes","No"))</f>
        <v/>
      </c>
      <c r="J267" s="32"/>
      <c r="K267" s="47" t="str">
        <f aca="false">IF(OR(E267="",F267=""),"",F267*(1+E267/30))</f>
        <v/>
      </c>
      <c r="L267" s="27" t="str">
        <f aca="false">IF(A267="","",INT((A267-StartDate)/7)+1)</f>
        <v/>
      </c>
      <c r="M267" s="27" t="str">
        <f aca="false">IF(A267="","",TEXT(A267,"mmm"))</f>
        <v/>
      </c>
      <c r="N267" s="47" t="str">
        <f aca="false">IFERROR(IF(ISNUMBER(SEARCH("squat",C267)),K267,""),"")</f>
        <v/>
      </c>
      <c r="O267" s="47" t="str">
        <f aca="false">IFERROR(IF(ISNUMBER(SEARCH("bench",C267)),K267,""),"")</f>
        <v/>
      </c>
      <c r="P267" s="47" t="str">
        <f aca="false">IFERROR(IF(ISNUMBER(SEARCH("deadlift",C267)),K267,""),"")</f>
        <v/>
      </c>
      <c r="V267" s="47" t="n">
        <f aca="false">MAX(V266,IF(N267="",0,N267))</f>
        <v>144.666666666667</v>
      </c>
      <c r="W267" s="47" t="n">
        <f aca="false">MAX(W266,IF(O267="",0,O267))</f>
        <v>99.1666666666667</v>
      </c>
      <c r="X267" s="47" t="n">
        <f aca="false">MAX(X266,IF(P267="",0,P267))</f>
        <v>175.666666666667</v>
      </c>
      <c r="Y267" s="47" t="n">
        <f aca="false">V267+W267+X267</f>
        <v>419.5</v>
      </c>
    </row>
    <row r="268" customFormat="false" ht="15" hidden="false" customHeight="false" outlineLevel="0" collapsed="false">
      <c r="A268" s="45"/>
      <c r="B268" s="31"/>
      <c r="C268" s="32"/>
      <c r="D268" s="31"/>
      <c r="E268" s="31"/>
      <c r="F268" s="29"/>
      <c r="G268" s="29" t="str">
        <f aca="false">IF(OR(D268="",E268="",F268=""),"",D268*E268*F268)</f>
        <v/>
      </c>
      <c r="H268" s="31"/>
      <c r="I268" s="36" t="str">
        <f aca="false">IF(OR(C268="",K268=""),"",IF(K268&gt;=_xlfn.MAXIFS($K$5:K267,$C$5:C267,C268),"Yes","No"))</f>
        <v/>
      </c>
      <c r="J268" s="32"/>
      <c r="K268" s="48" t="str">
        <f aca="false">IF(OR(E268="",F268=""),"",F268*(1+E268/30))</f>
        <v/>
      </c>
      <c r="L268" s="36" t="str">
        <f aca="false">IF(A268="","",INT((A268-StartDate)/7)+1)</f>
        <v/>
      </c>
      <c r="M268" s="36" t="str">
        <f aca="false">IF(A268="","",TEXT(A268,"mmm"))</f>
        <v/>
      </c>
      <c r="N268" s="48" t="str">
        <f aca="false">IFERROR(IF(ISNUMBER(SEARCH("squat",C268)),K268,""),"")</f>
        <v/>
      </c>
      <c r="O268" s="48" t="str">
        <f aca="false">IFERROR(IF(ISNUMBER(SEARCH("bench",C268)),K268,""),"")</f>
        <v/>
      </c>
      <c r="P268" s="48" t="str">
        <f aca="false">IFERROR(IF(ISNUMBER(SEARCH("deadlift",C268)),K268,""),"")</f>
        <v/>
      </c>
      <c r="V268" s="48" t="n">
        <f aca="false">MAX(V267,IF(N268="",0,N268))</f>
        <v>144.666666666667</v>
      </c>
      <c r="W268" s="48" t="n">
        <f aca="false">MAX(W267,IF(O268="",0,O268))</f>
        <v>99.1666666666667</v>
      </c>
      <c r="X268" s="48" t="n">
        <f aca="false">MAX(X267,IF(P268="",0,P268))</f>
        <v>175.666666666667</v>
      </c>
      <c r="Y268" s="48" t="n">
        <f aca="false">V268+W268+X268</f>
        <v>419.5</v>
      </c>
    </row>
    <row r="269" customFormat="false" ht="15" hidden="false" customHeight="false" outlineLevel="0" collapsed="false">
      <c r="A269" s="45"/>
      <c r="B269" s="31"/>
      <c r="C269" s="32"/>
      <c r="D269" s="31"/>
      <c r="E269" s="31"/>
      <c r="F269" s="29"/>
      <c r="G269" s="29" t="str">
        <f aca="false">IF(OR(D269="",E269="",F269=""),"",D269*E269*F269)</f>
        <v/>
      </c>
      <c r="H269" s="31"/>
      <c r="I269" s="46" t="str">
        <f aca="false">IF(OR(C269="",K269=""),"",IF(K269&gt;=_xlfn.MAXIFS($K$5:K268,$C$5:C268,C269),"Yes","No"))</f>
        <v/>
      </c>
      <c r="J269" s="32"/>
      <c r="K269" s="47" t="str">
        <f aca="false">IF(OR(E269="",F269=""),"",F269*(1+E269/30))</f>
        <v/>
      </c>
      <c r="L269" s="27" t="str">
        <f aca="false">IF(A269="","",INT((A269-StartDate)/7)+1)</f>
        <v/>
      </c>
      <c r="M269" s="27" t="str">
        <f aca="false">IF(A269="","",TEXT(A269,"mmm"))</f>
        <v/>
      </c>
      <c r="N269" s="47" t="str">
        <f aca="false">IFERROR(IF(ISNUMBER(SEARCH("squat",C269)),K269,""),"")</f>
        <v/>
      </c>
      <c r="O269" s="47" t="str">
        <f aca="false">IFERROR(IF(ISNUMBER(SEARCH("bench",C269)),K269,""),"")</f>
        <v/>
      </c>
      <c r="P269" s="47" t="str">
        <f aca="false">IFERROR(IF(ISNUMBER(SEARCH("deadlift",C269)),K269,""),"")</f>
        <v/>
      </c>
      <c r="V269" s="47" t="n">
        <f aca="false">MAX(V268,IF(N269="",0,N269))</f>
        <v>144.666666666667</v>
      </c>
      <c r="W269" s="47" t="n">
        <f aca="false">MAX(W268,IF(O269="",0,O269))</f>
        <v>99.1666666666667</v>
      </c>
      <c r="X269" s="47" t="n">
        <f aca="false">MAX(X268,IF(P269="",0,P269))</f>
        <v>175.666666666667</v>
      </c>
      <c r="Y269" s="47" t="n">
        <f aca="false">V269+W269+X269</f>
        <v>419.5</v>
      </c>
    </row>
    <row r="270" customFormat="false" ht="15" hidden="false" customHeight="false" outlineLevel="0" collapsed="false">
      <c r="A270" s="45"/>
      <c r="B270" s="31"/>
      <c r="C270" s="32"/>
      <c r="D270" s="31"/>
      <c r="E270" s="31"/>
      <c r="F270" s="29"/>
      <c r="G270" s="29" t="str">
        <f aca="false">IF(OR(D270="",E270="",F270=""),"",D270*E270*F270)</f>
        <v/>
      </c>
      <c r="H270" s="31"/>
      <c r="I270" s="36" t="str">
        <f aca="false">IF(OR(C270="",K270=""),"",IF(K270&gt;=_xlfn.MAXIFS($K$5:K269,$C$5:C269,C270),"Yes","No"))</f>
        <v/>
      </c>
      <c r="J270" s="32"/>
      <c r="K270" s="48" t="str">
        <f aca="false">IF(OR(E270="",F270=""),"",F270*(1+E270/30))</f>
        <v/>
      </c>
      <c r="L270" s="36" t="str">
        <f aca="false">IF(A270="","",INT((A270-StartDate)/7)+1)</f>
        <v/>
      </c>
      <c r="M270" s="36" t="str">
        <f aca="false">IF(A270="","",TEXT(A270,"mmm"))</f>
        <v/>
      </c>
      <c r="N270" s="48" t="str">
        <f aca="false">IFERROR(IF(ISNUMBER(SEARCH("squat",C270)),K270,""),"")</f>
        <v/>
      </c>
      <c r="O270" s="48" t="str">
        <f aca="false">IFERROR(IF(ISNUMBER(SEARCH("bench",C270)),K270,""),"")</f>
        <v/>
      </c>
      <c r="P270" s="48" t="str">
        <f aca="false">IFERROR(IF(ISNUMBER(SEARCH("deadlift",C270)),K270,""),"")</f>
        <v/>
      </c>
      <c r="V270" s="48" t="n">
        <f aca="false">MAX(V269,IF(N270="",0,N270))</f>
        <v>144.666666666667</v>
      </c>
      <c r="W270" s="48" t="n">
        <f aca="false">MAX(W269,IF(O270="",0,O270))</f>
        <v>99.1666666666667</v>
      </c>
      <c r="X270" s="48" t="n">
        <f aca="false">MAX(X269,IF(P270="",0,P270))</f>
        <v>175.666666666667</v>
      </c>
      <c r="Y270" s="48" t="n">
        <f aca="false">V270+W270+X270</f>
        <v>419.5</v>
      </c>
    </row>
    <row r="271" customFormat="false" ht="15" hidden="false" customHeight="false" outlineLevel="0" collapsed="false">
      <c r="A271" s="45"/>
      <c r="B271" s="31"/>
      <c r="C271" s="32"/>
      <c r="D271" s="31"/>
      <c r="E271" s="31"/>
      <c r="F271" s="29"/>
      <c r="G271" s="29" t="str">
        <f aca="false">IF(OR(D271="",E271="",F271=""),"",D271*E271*F271)</f>
        <v/>
      </c>
      <c r="H271" s="31"/>
      <c r="I271" s="46" t="str">
        <f aca="false">IF(OR(C271="",K271=""),"",IF(K271&gt;=_xlfn.MAXIFS($K$5:K270,$C$5:C270,C271),"Yes","No"))</f>
        <v/>
      </c>
      <c r="J271" s="32"/>
      <c r="K271" s="47" t="str">
        <f aca="false">IF(OR(E271="",F271=""),"",F271*(1+E271/30))</f>
        <v/>
      </c>
      <c r="L271" s="27" t="str">
        <f aca="false">IF(A271="","",INT((A271-StartDate)/7)+1)</f>
        <v/>
      </c>
      <c r="M271" s="27" t="str">
        <f aca="false">IF(A271="","",TEXT(A271,"mmm"))</f>
        <v/>
      </c>
      <c r="N271" s="47" t="str">
        <f aca="false">IFERROR(IF(ISNUMBER(SEARCH("squat",C271)),K271,""),"")</f>
        <v/>
      </c>
      <c r="O271" s="47" t="str">
        <f aca="false">IFERROR(IF(ISNUMBER(SEARCH("bench",C271)),K271,""),"")</f>
        <v/>
      </c>
      <c r="P271" s="47" t="str">
        <f aca="false">IFERROR(IF(ISNUMBER(SEARCH("deadlift",C271)),K271,""),"")</f>
        <v/>
      </c>
      <c r="V271" s="47" t="n">
        <f aca="false">MAX(V270,IF(N271="",0,N271))</f>
        <v>144.666666666667</v>
      </c>
      <c r="W271" s="47" t="n">
        <f aca="false">MAX(W270,IF(O271="",0,O271))</f>
        <v>99.1666666666667</v>
      </c>
      <c r="X271" s="47" t="n">
        <f aca="false">MAX(X270,IF(P271="",0,P271))</f>
        <v>175.666666666667</v>
      </c>
      <c r="Y271" s="47" t="n">
        <f aca="false">V271+W271+X271</f>
        <v>419.5</v>
      </c>
    </row>
    <row r="272" customFormat="false" ht="15" hidden="false" customHeight="false" outlineLevel="0" collapsed="false">
      <c r="A272" s="45"/>
      <c r="B272" s="31"/>
      <c r="C272" s="32"/>
      <c r="D272" s="31"/>
      <c r="E272" s="31"/>
      <c r="F272" s="29"/>
      <c r="G272" s="29" t="str">
        <f aca="false">IF(OR(D272="",E272="",F272=""),"",D272*E272*F272)</f>
        <v/>
      </c>
      <c r="H272" s="31"/>
      <c r="I272" s="36" t="str">
        <f aca="false">IF(OR(C272="",K272=""),"",IF(K272&gt;=_xlfn.MAXIFS($K$5:K271,$C$5:C271,C272),"Yes","No"))</f>
        <v/>
      </c>
      <c r="J272" s="32"/>
      <c r="K272" s="48" t="str">
        <f aca="false">IF(OR(E272="",F272=""),"",F272*(1+E272/30))</f>
        <v/>
      </c>
      <c r="L272" s="36" t="str">
        <f aca="false">IF(A272="","",INT((A272-StartDate)/7)+1)</f>
        <v/>
      </c>
      <c r="M272" s="36" t="str">
        <f aca="false">IF(A272="","",TEXT(A272,"mmm"))</f>
        <v/>
      </c>
      <c r="N272" s="48" t="str">
        <f aca="false">IFERROR(IF(ISNUMBER(SEARCH("squat",C272)),K272,""),"")</f>
        <v/>
      </c>
      <c r="O272" s="48" t="str">
        <f aca="false">IFERROR(IF(ISNUMBER(SEARCH("bench",C272)),K272,""),"")</f>
        <v/>
      </c>
      <c r="P272" s="48" t="str">
        <f aca="false">IFERROR(IF(ISNUMBER(SEARCH("deadlift",C272)),K272,""),"")</f>
        <v/>
      </c>
      <c r="V272" s="48" t="n">
        <f aca="false">MAX(V271,IF(N272="",0,N272))</f>
        <v>144.666666666667</v>
      </c>
      <c r="W272" s="48" t="n">
        <f aca="false">MAX(W271,IF(O272="",0,O272))</f>
        <v>99.1666666666667</v>
      </c>
      <c r="X272" s="48" t="n">
        <f aca="false">MAX(X271,IF(P272="",0,P272))</f>
        <v>175.666666666667</v>
      </c>
      <c r="Y272" s="48" t="n">
        <f aca="false">V272+W272+X272</f>
        <v>419.5</v>
      </c>
    </row>
    <row r="273" customFormat="false" ht="15" hidden="false" customHeight="false" outlineLevel="0" collapsed="false">
      <c r="A273" s="45"/>
      <c r="B273" s="31"/>
      <c r="C273" s="32"/>
      <c r="D273" s="31"/>
      <c r="E273" s="31"/>
      <c r="F273" s="29"/>
      <c r="G273" s="29" t="str">
        <f aca="false">IF(OR(D273="",E273="",F273=""),"",D273*E273*F273)</f>
        <v/>
      </c>
      <c r="H273" s="31"/>
      <c r="I273" s="46" t="str">
        <f aca="false">IF(OR(C273="",K273=""),"",IF(K273&gt;=_xlfn.MAXIFS($K$5:K272,$C$5:C272,C273),"Yes","No"))</f>
        <v/>
      </c>
      <c r="J273" s="32"/>
      <c r="K273" s="47" t="str">
        <f aca="false">IF(OR(E273="",F273=""),"",F273*(1+E273/30))</f>
        <v/>
      </c>
      <c r="L273" s="27" t="str">
        <f aca="false">IF(A273="","",INT((A273-StartDate)/7)+1)</f>
        <v/>
      </c>
      <c r="M273" s="27" t="str">
        <f aca="false">IF(A273="","",TEXT(A273,"mmm"))</f>
        <v/>
      </c>
      <c r="N273" s="47" t="str">
        <f aca="false">IFERROR(IF(ISNUMBER(SEARCH("squat",C273)),K273,""),"")</f>
        <v/>
      </c>
      <c r="O273" s="47" t="str">
        <f aca="false">IFERROR(IF(ISNUMBER(SEARCH("bench",C273)),K273,""),"")</f>
        <v/>
      </c>
      <c r="P273" s="47" t="str">
        <f aca="false">IFERROR(IF(ISNUMBER(SEARCH("deadlift",C273)),K273,""),"")</f>
        <v/>
      </c>
      <c r="V273" s="47" t="n">
        <f aca="false">MAX(V272,IF(N273="",0,N273))</f>
        <v>144.666666666667</v>
      </c>
      <c r="W273" s="47" t="n">
        <f aca="false">MAX(W272,IF(O273="",0,O273))</f>
        <v>99.1666666666667</v>
      </c>
      <c r="X273" s="47" t="n">
        <f aca="false">MAX(X272,IF(P273="",0,P273))</f>
        <v>175.666666666667</v>
      </c>
      <c r="Y273" s="47" t="n">
        <f aca="false">V273+W273+X273</f>
        <v>419.5</v>
      </c>
    </row>
    <row r="274" customFormat="false" ht="15" hidden="false" customHeight="false" outlineLevel="0" collapsed="false">
      <c r="A274" s="45"/>
      <c r="B274" s="31"/>
      <c r="C274" s="32"/>
      <c r="D274" s="31"/>
      <c r="E274" s="31"/>
      <c r="F274" s="29"/>
      <c r="G274" s="29" t="str">
        <f aca="false">IF(OR(D274="",E274="",F274=""),"",D274*E274*F274)</f>
        <v/>
      </c>
      <c r="H274" s="31"/>
      <c r="I274" s="36" t="str">
        <f aca="false">IF(OR(C274="",K274=""),"",IF(K274&gt;=_xlfn.MAXIFS($K$5:K273,$C$5:C273,C274),"Yes","No"))</f>
        <v/>
      </c>
      <c r="J274" s="32"/>
      <c r="K274" s="48" t="str">
        <f aca="false">IF(OR(E274="",F274=""),"",F274*(1+E274/30))</f>
        <v/>
      </c>
      <c r="L274" s="36" t="str">
        <f aca="false">IF(A274="","",INT((A274-StartDate)/7)+1)</f>
        <v/>
      </c>
      <c r="M274" s="36" t="str">
        <f aca="false">IF(A274="","",TEXT(A274,"mmm"))</f>
        <v/>
      </c>
      <c r="N274" s="48" t="str">
        <f aca="false">IFERROR(IF(ISNUMBER(SEARCH("squat",C274)),K274,""),"")</f>
        <v/>
      </c>
      <c r="O274" s="48" t="str">
        <f aca="false">IFERROR(IF(ISNUMBER(SEARCH("bench",C274)),K274,""),"")</f>
        <v/>
      </c>
      <c r="P274" s="48" t="str">
        <f aca="false">IFERROR(IF(ISNUMBER(SEARCH("deadlift",C274)),K274,""),"")</f>
        <v/>
      </c>
      <c r="V274" s="48" t="n">
        <f aca="false">MAX(V273,IF(N274="",0,N274))</f>
        <v>144.666666666667</v>
      </c>
      <c r="W274" s="48" t="n">
        <f aca="false">MAX(W273,IF(O274="",0,O274))</f>
        <v>99.1666666666667</v>
      </c>
      <c r="X274" s="48" t="n">
        <f aca="false">MAX(X273,IF(P274="",0,P274))</f>
        <v>175.666666666667</v>
      </c>
      <c r="Y274" s="48" t="n">
        <f aca="false">V274+W274+X274</f>
        <v>419.5</v>
      </c>
    </row>
    <row r="275" customFormat="false" ht="15" hidden="false" customHeight="false" outlineLevel="0" collapsed="false">
      <c r="A275" s="45"/>
      <c r="B275" s="31"/>
      <c r="C275" s="32"/>
      <c r="D275" s="31"/>
      <c r="E275" s="31"/>
      <c r="F275" s="29"/>
      <c r="G275" s="29" t="str">
        <f aca="false">IF(OR(D275="",E275="",F275=""),"",D275*E275*F275)</f>
        <v/>
      </c>
      <c r="H275" s="31"/>
      <c r="I275" s="46" t="str">
        <f aca="false">IF(OR(C275="",K275=""),"",IF(K275&gt;=_xlfn.MAXIFS($K$5:K274,$C$5:C274,C275),"Yes","No"))</f>
        <v/>
      </c>
      <c r="J275" s="32"/>
      <c r="K275" s="47" t="str">
        <f aca="false">IF(OR(E275="",F275=""),"",F275*(1+E275/30))</f>
        <v/>
      </c>
      <c r="L275" s="27" t="str">
        <f aca="false">IF(A275="","",INT((A275-StartDate)/7)+1)</f>
        <v/>
      </c>
      <c r="M275" s="27" t="str">
        <f aca="false">IF(A275="","",TEXT(A275,"mmm"))</f>
        <v/>
      </c>
      <c r="N275" s="47" t="str">
        <f aca="false">IFERROR(IF(ISNUMBER(SEARCH("squat",C275)),K275,""),"")</f>
        <v/>
      </c>
      <c r="O275" s="47" t="str">
        <f aca="false">IFERROR(IF(ISNUMBER(SEARCH("bench",C275)),K275,""),"")</f>
        <v/>
      </c>
      <c r="P275" s="47" t="str">
        <f aca="false">IFERROR(IF(ISNUMBER(SEARCH("deadlift",C275)),K275,""),"")</f>
        <v/>
      </c>
      <c r="V275" s="47" t="n">
        <f aca="false">MAX(V274,IF(N275="",0,N275))</f>
        <v>144.666666666667</v>
      </c>
      <c r="W275" s="47" t="n">
        <f aca="false">MAX(W274,IF(O275="",0,O275))</f>
        <v>99.1666666666667</v>
      </c>
      <c r="X275" s="47" t="n">
        <f aca="false">MAX(X274,IF(P275="",0,P275))</f>
        <v>175.666666666667</v>
      </c>
      <c r="Y275" s="47" t="n">
        <f aca="false">V275+W275+X275</f>
        <v>419.5</v>
      </c>
    </row>
    <row r="276" customFormat="false" ht="15" hidden="false" customHeight="false" outlineLevel="0" collapsed="false">
      <c r="A276" s="45"/>
      <c r="B276" s="31"/>
      <c r="C276" s="32"/>
      <c r="D276" s="31"/>
      <c r="E276" s="31"/>
      <c r="F276" s="29"/>
      <c r="G276" s="29" t="str">
        <f aca="false">IF(OR(D276="",E276="",F276=""),"",D276*E276*F276)</f>
        <v/>
      </c>
      <c r="H276" s="31"/>
      <c r="I276" s="36" t="str">
        <f aca="false">IF(OR(C276="",K276=""),"",IF(K276&gt;=_xlfn.MAXIFS($K$5:K275,$C$5:C275,C276),"Yes","No"))</f>
        <v/>
      </c>
      <c r="J276" s="32"/>
      <c r="K276" s="48" t="str">
        <f aca="false">IF(OR(E276="",F276=""),"",F276*(1+E276/30))</f>
        <v/>
      </c>
      <c r="L276" s="36" t="str">
        <f aca="false">IF(A276="","",INT((A276-StartDate)/7)+1)</f>
        <v/>
      </c>
      <c r="M276" s="36" t="str">
        <f aca="false">IF(A276="","",TEXT(A276,"mmm"))</f>
        <v/>
      </c>
      <c r="N276" s="48" t="str">
        <f aca="false">IFERROR(IF(ISNUMBER(SEARCH("squat",C276)),K276,""),"")</f>
        <v/>
      </c>
      <c r="O276" s="48" t="str">
        <f aca="false">IFERROR(IF(ISNUMBER(SEARCH("bench",C276)),K276,""),"")</f>
        <v/>
      </c>
      <c r="P276" s="48" t="str">
        <f aca="false">IFERROR(IF(ISNUMBER(SEARCH("deadlift",C276)),K276,""),"")</f>
        <v/>
      </c>
      <c r="V276" s="48" t="n">
        <f aca="false">MAX(V275,IF(N276="",0,N276))</f>
        <v>144.666666666667</v>
      </c>
      <c r="W276" s="48" t="n">
        <f aca="false">MAX(W275,IF(O276="",0,O276))</f>
        <v>99.1666666666667</v>
      </c>
      <c r="X276" s="48" t="n">
        <f aca="false">MAX(X275,IF(P276="",0,P276))</f>
        <v>175.666666666667</v>
      </c>
      <c r="Y276" s="48" t="n">
        <f aca="false">V276+W276+X276</f>
        <v>419.5</v>
      </c>
    </row>
    <row r="277" customFormat="false" ht="15" hidden="false" customHeight="false" outlineLevel="0" collapsed="false">
      <c r="A277" s="45"/>
      <c r="B277" s="31"/>
      <c r="C277" s="32"/>
      <c r="D277" s="31"/>
      <c r="E277" s="31"/>
      <c r="F277" s="29"/>
      <c r="G277" s="29" t="str">
        <f aca="false">IF(OR(D277="",E277="",F277=""),"",D277*E277*F277)</f>
        <v/>
      </c>
      <c r="H277" s="31"/>
      <c r="I277" s="46" t="str">
        <f aca="false">IF(OR(C277="",K277=""),"",IF(K277&gt;=_xlfn.MAXIFS($K$5:K276,$C$5:C276,C277),"Yes","No"))</f>
        <v/>
      </c>
      <c r="J277" s="32"/>
      <c r="K277" s="47" t="str">
        <f aca="false">IF(OR(E277="",F277=""),"",F277*(1+E277/30))</f>
        <v/>
      </c>
      <c r="L277" s="27" t="str">
        <f aca="false">IF(A277="","",INT((A277-StartDate)/7)+1)</f>
        <v/>
      </c>
      <c r="M277" s="27" t="str">
        <f aca="false">IF(A277="","",TEXT(A277,"mmm"))</f>
        <v/>
      </c>
      <c r="N277" s="47" t="str">
        <f aca="false">IFERROR(IF(ISNUMBER(SEARCH("squat",C277)),K277,""),"")</f>
        <v/>
      </c>
      <c r="O277" s="47" t="str">
        <f aca="false">IFERROR(IF(ISNUMBER(SEARCH("bench",C277)),K277,""),"")</f>
        <v/>
      </c>
      <c r="P277" s="47" t="str">
        <f aca="false">IFERROR(IF(ISNUMBER(SEARCH("deadlift",C277)),K277,""),"")</f>
        <v/>
      </c>
      <c r="V277" s="47" t="n">
        <f aca="false">MAX(V276,IF(N277="",0,N277))</f>
        <v>144.666666666667</v>
      </c>
      <c r="W277" s="47" t="n">
        <f aca="false">MAX(W276,IF(O277="",0,O277))</f>
        <v>99.1666666666667</v>
      </c>
      <c r="X277" s="47" t="n">
        <f aca="false">MAX(X276,IF(P277="",0,P277))</f>
        <v>175.666666666667</v>
      </c>
      <c r="Y277" s="47" t="n">
        <f aca="false">V277+W277+X277</f>
        <v>419.5</v>
      </c>
    </row>
    <row r="278" customFormat="false" ht="15" hidden="false" customHeight="false" outlineLevel="0" collapsed="false">
      <c r="A278" s="45"/>
      <c r="B278" s="31"/>
      <c r="C278" s="32"/>
      <c r="D278" s="31"/>
      <c r="E278" s="31"/>
      <c r="F278" s="29"/>
      <c r="G278" s="29" t="str">
        <f aca="false">IF(OR(D278="",E278="",F278=""),"",D278*E278*F278)</f>
        <v/>
      </c>
      <c r="H278" s="31"/>
      <c r="I278" s="36" t="str">
        <f aca="false">IF(OR(C278="",K278=""),"",IF(K278&gt;=_xlfn.MAXIFS($K$5:K277,$C$5:C277,C278),"Yes","No"))</f>
        <v/>
      </c>
      <c r="J278" s="32"/>
      <c r="K278" s="48" t="str">
        <f aca="false">IF(OR(E278="",F278=""),"",F278*(1+E278/30))</f>
        <v/>
      </c>
      <c r="L278" s="36" t="str">
        <f aca="false">IF(A278="","",INT((A278-StartDate)/7)+1)</f>
        <v/>
      </c>
      <c r="M278" s="36" t="str">
        <f aca="false">IF(A278="","",TEXT(A278,"mmm"))</f>
        <v/>
      </c>
      <c r="N278" s="48" t="str">
        <f aca="false">IFERROR(IF(ISNUMBER(SEARCH("squat",C278)),K278,""),"")</f>
        <v/>
      </c>
      <c r="O278" s="48" t="str">
        <f aca="false">IFERROR(IF(ISNUMBER(SEARCH("bench",C278)),K278,""),"")</f>
        <v/>
      </c>
      <c r="P278" s="48" t="str">
        <f aca="false">IFERROR(IF(ISNUMBER(SEARCH("deadlift",C278)),K278,""),"")</f>
        <v/>
      </c>
      <c r="V278" s="48" t="n">
        <f aca="false">MAX(V277,IF(N278="",0,N278))</f>
        <v>144.666666666667</v>
      </c>
      <c r="W278" s="48" t="n">
        <f aca="false">MAX(W277,IF(O278="",0,O278))</f>
        <v>99.1666666666667</v>
      </c>
      <c r="X278" s="48" t="n">
        <f aca="false">MAX(X277,IF(P278="",0,P278))</f>
        <v>175.666666666667</v>
      </c>
      <c r="Y278" s="48" t="n">
        <f aca="false">V278+W278+X278</f>
        <v>419.5</v>
      </c>
    </row>
    <row r="279" customFormat="false" ht="15" hidden="false" customHeight="false" outlineLevel="0" collapsed="false">
      <c r="A279" s="45"/>
      <c r="B279" s="31"/>
      <c r="C279" s="32"/>
      <c r="D279" s="31"/>
      <c r="E279" s="31"/>
      <c r="F279" s="29"/>
      <c r="G279" s="29" t="str">
        <f aca="false">IF(OR(D279="",E279="",F279=""),"",D279*E279*F279)</f>
        <v/>
      </c>
      <c r="H279" s="31"/>
      <c r="I279" s="46" t="str">
        <f aca="false">IF(OR(C279="",K279=""),"",IF(K279&gt;=_xlfn.MAXIFS($K$5:K278,$C$5:C278,C279),"Yes","No"))</f>
        <v/>
      </c>
      <c r="J279" s="32"/>
      <c r="K279" s="47" t="str">
        <f aca="false">IF(OR(E279="",F279=""),"",F279*(1+E279/30))</f>
        <v/>
      </c>
      <c r="L279" s="27" t="str">
        <f aca="false">IF(A279="","",INT((A279-StartDate)/7)+1)</f>
        <v/>
      </c>
      <c r="M279" s="27" t="str">
        <f aca="false">IF(A279="","",TEXT(A279,"mmm"))</f>
        <v/>
      </c>
      <c r="N279" s="47" t="str">
        <f aca="false">IFERROR(IF(ISNUMBER(SEARCH("squat",C279)),K279,""),"")</f>
        <v/>
      </c>
      <c r="O279" s="47" t="str">
        <f aca="false">IFERROR(IF(ISNUMBER(SEARCH("bench",C279)),K279,""),"")</f>
        <v/>
      </c>
      <c r="P279" s="47" t="str">
        <f aca="false">IFERROR(IF(ISNUMBER(SEARCH("deadlift",C279)),K279,""),"")</f>
        <v/>
      </c>
      <c r="V279" s="47" t="n">
        <f aca="false">MAX(V278,IF(N279="",0,N279))</f>
        <v>144.666666666667</v>
      </c>
      <c r="W279" s="47" t="n">
        <f aca="false">MAX(W278,IF(O279="",0,O279))</f>
        <v>99.1666666666667</v>
      </c>
      <c r="X279" s="47" t="n">
        <f aca="false">MAX(X278,IF(P279="",0,P279))</f>
        <v>175.666666666667</v>
      </c>
      <c r="Y279" s="47" t="n">
        <f aca="false">V279+W279+X279</f>
        <v>419.5</v>
      </c>
    </row>
    <row r="280" customFormat="false" ht="15" hidden="false" customHeight="false" outlineLevel="0" collapsed="false">
      <c r="A280" s="45"/>
      <c r="B280" s="31"/>
      <c r="C280" s="32"/>
      <c r="D280" s="31"/>
      <c r="E280" s="31"/>
      <c r="F280" s="29"/>
      <c r="G280" s="29" t="str">
        <f aca="false">IF(OR(D280="",E280="",F280=""),"",D280*E280*F280)</f>
        <v/>
      </c>
      <c r="H280" s="31"/>
      <c r="I280" s="36" t="str">
        <f aca="false">IF(OR(C280="",K280=""),"",IF(K280&gt;=_xlfn.MAXIFS($K$5:K279,$C$5:C279,C280),"Yes","No"))</f>
        <v/>
      </c>
      <c r="J280" s="32"/>
      <c r="K280" s="48" t="str">
        <f aca="false">IF(OR(E280="",F280=""),"",F280*(1+E280/30))</f>
        <v/>
      </c>
      <c r="L280" s="36" t="str">
        <f aca="false">IF(A280="","",INT((A280-StartDate)/7)+1)</f>
        <v/>
      </c>
      <c r="M280" s="36" t="str">
        <f aca="false">IF(A280="","",TEXT(A280,"mmm"))</f>
        <v/>
      </c>
      <c r="N280" s="48" t="str">
        <f aca="false">IFERROR(IF(ISNUMBER(SEARCH("squat",C280)),K280,""),"")</f>
        <v/>
      </c>
      <c r="O280" s="48" t="str">
        <f aca="false">IFERROR(IF(ISNUMBER(SEARCH("bench",C280)),K280,""),"")</f>
        <v/>
      </c>
      <c r="P280" s="48" t="str">
        <f aca="false">IFERROR(IF(ISNUMBER(SEARCH("deadlift",C280)),K280,""),"")</f>
        <v/>
      </c>
      <c r="V280" s="48" t="n">
        <f aca="false">MAX(V279,IF(N280="",0,N280))</f>
        <v>144.666666666667</v>
      </c>
      <c r="W280" s="48" t="n">
        <f aca="false">MAX(W279,IF(O280="",0,O280))</f>
        <v>99.1666666666667</v>
      </c>
      <c r="X280" s="48" t="n">
        <f aca="false">MAX(X279,IF(P280="",0,P280))</f>
        <v>175.666666666667</v>
      </c>
      <c r="Y280" s="48" t="n">
        <f aca="false">V280+W280+X280</f>
        <v>419.5</v>
      </c>
    </row>
    <row r="281" customFormat="false" ht="15" hidden="false" customHeight="false" outlineLevel="0" collapsed="false">
      <c r="A281" s="45"/>
      <c r="B281" s="31"/>
      <c r="C281" s="32"/>
      <c r="D281" s="31"/>
      <c r="E281" s="31"/>
      <c r="F281" s="29"/>
      <c r="G281" s="29" t="str">
        <f aca="false">IF(OR(D281="",E281="",F281=""),"",D281*E281*F281)</f>
        <v/>
      </c>
      <c r="H281" s="31"/>
      <c r="I281" s="46" t="str">
        <f aca="false">IF(OR(C281="",K281=""),"",IF(K281&gt;=_xlfn.MAXIFS($K$5:K280,$C$5:C280,C281),"Yes","No"))</f>
        <v/>
      </c>
      <c r="J281" s="32"/>
      <c r="K281" s="47" t="str">
        <f aca="false">IF(OR(E281="",F281=""),"",F281*(1+E281/30))</f>
        <v/>
      </c>
      <c r="L281" s="27" t="str">
        <f aca="false">IF(A281="","",INT((A281-StartDate)/7)+1)</f>
        <v/>
      </c>
      <c r="M281" s="27" t="str">
        <f aca="false">IF(A281="","",TEXT(A281,"mmm"))</f>
        <v/>
      </c>
      <c r="N281" s="47" t="str">
        <f aca="false">IFERROR(IF(ISNUMBER(SEARCH("squat",C281)),K281,""),"")</f>
        <v/>
      </c>
      <c r="O281" s="47" t="str">
        <f aca="false">IFERROR(IF(ISNUMBER(SEARCH("bench",C281)),K281,""),"")</f>
        <v/>
      </c>
      <c r="P281" s="47" t="str">
        <f aca="false">IFERROR(IF(ISNUMBER(SEARCH("deadlift",C281)),K281,""),"")</f>
        <v/>
      </c>
      <c r="V281" s="47" t="n">
        <f aca="false">MAX(V280,IF(N281="",0,N281))</f>
        <v>144.666666666667</v>
      </c>
      <c r="W281" s="47" t="n">
        <f aca="false">MAX(W280,IF(O281="",0,O281))</f>
        <v>99.1666666666667</v>
      </c>
      <c r="X281" s="47" t="n">
        <f aca="false">MAX(X280,IF(P281="",0,P281))</f>
        <v>175.666666666667</v>
      </c>
      <c r="Y281" s="47" t="n">
        <f aca="false">V281+W281+X281</f>
        <v>419.5</v>
      </c>
    </row>
    <row r="282" customFormat="false" ht="15" hidden="false" customHeight="false" outlineLevel="0" collapsed="false">
      <c r="A282" s="45"/>
      <c r="B282" s="31"/>
      <c r="C282" s="32"/>
      <c r="D282" s="31"/>
      <c r="E282" s="31"/>
      <c r="F282" s="29"/>
      <c r="G282" s="29" t="str">
        <f aca="false">IF(OR(D282="",E282="",F282=""),"",D282*E282*F282)</f>
        <v/>
      </c>
      <c r="H282" s="31"/>
      <c r="I282" s="36" t="str">
        <f aca="false">IF(OR(C282="",K282=""),"",IF(K282&gt;=_xlfn.MAXIFS($K$5:K281,$C$5:C281,C282),"Yes","No"))</f>
        <v/>
      </c>
      <c r="J282" s="32"/>
      <c r="K282" s="48" t="str">
        <f aca="false">IF(OR(E282="",F282=""),"",F282*(1+E282/30))</f>
        <v/>
      </c>
      <c r="L282" s="36" t="str">
        <f aca="false">IF(A282="","",INT((A282-StartDate)/7)+1)</f>
        <v/>
      </c>
      <c r="M282" s="36" t="str">
        <f aca="false">IF(A282="","",TEXT(A282,"mmm"))</f>
        <v/>
      </c>
      <c r="N282" s="48" t="str">
        <f aca="false">IFERROR(IF(ISNUMBER(SEARCH("squat",C282)),K282,""),"")</f>
        <v/>
      </c>
      <c r="O282" s="48" t="str">
        <f aca="false">IFERROR(IF(ISNUMBER(SEARCH("bench",C282)),K282,""),"")</f>
        <v/>
      </c>
      <c r="P282" s="48" t="str">
        <f aca="false">IFERROR(IF(ISNUMBER(SEARCH("deadlift",C282)),K282,""),"")</f>
        <v/>
      </c>
      <c r="V282" s="48" t="n">
        <f aca="false">MAX(V281,IF(N282="",0,N282))</f>
        <v>144.666666666667</v>
      </c>
      <c r="W282" s="48" t="n">
        <f aca="false">MAX(W281,IF(O282="",0,O282))</f>
        <v>99.1666666666667</v>
      </c>
      <c r="X282" s="48" t="n">
        <f aca="false">MAX(X281,IF(P282="",0,P282))</f>
        <v>175.666666666667</v>
      </c>
      <c r="Y282" s="48" t="n">
        <f aca="false">V282+W282+X282</f>
        <v>419.5</v>
      </c>
    </row>
    <row r="283" customFormat="false" ht="15" hidden="false" customHeight="false" outlineLevel="0" collapsed="false">
      <c r="A283" s="45"/>
      <c r="B283" s="31"/>
      <c r="C283" s="32"/>
      <c r="D283" s="31"/>
      <c r="E283" s="31"/>
      <c r="F283" s="29"/>
      <c r="G283" s="29" t="str">
        <f aca="false">IF(OR(D283="",E283="",F283=""),"",D283*E283*F283)</f>
        <v/>
      </c>
      <c r="H283" s="31"/>
      <c r="I283" s="46" t="str">
        <f aca="false">IF(OR(C283="",K283=""),"",IF(K283&gt;=_xlfn.MAXIFS($K$5:K282,$C$5:C282,C283),"Yes","No"))</f>
        <v/>
      </c>
      <c r="J283" s="32"/>
      <c r="K283" s="47" t="str">
        <f aca="false">IF(OR(E283="",F283=""),"",F283*(1+E283/30))</f>
        <v/>
      </c>
      <c r="L283" s="27" t="str">
        <f aca="false">IF(A283="","",INT((A283-StartDate)/7)+1)</f>
        <v/>
      </c>
      <c r="M283" s="27" t="str">
        <f aca="false">IF(A283="","",TEXT(A283,"mmm"))</f>
        <v/>
      </c>
      <c r="N283" s="47" t="str">
        <f aca="false">IFERROR(IF(ISNUMBER(SEARCH("squat",C283)),K283,""),"")</f>
        <v/>
      </c>
      <c r="O283" s="47" t="str">
        <f aca="false">IFERROR(IF(ISNUMBER(SEARCH("bench",C283)),K283,""),"")</f>
        <v/>
      </c>
      <c r="P283" s="47" t="str">
        <f aca="false">IFERROR(IF(ISNUMBER(SEARCH("deadlift",C283)),K283,""),"")</f>
        <v/>
      </c>
      <c r="V283" s="47" t="n">
        <f aca="false">MAX(V282,IF(N283="",0,N283))</f>
        <v>144.666666666667</v>
      </c>
      <c r="W283" s="47" t="n">
        <f aca="false">MAX(W282,IF(O283="",0,O283))</f>
        <v>99.1666666666667</v>
      </c>
      <c r="X283" s="47" t="n">
        <f aca="false">MAX(X282,IF(P283="",0,P283))</f>
        <v>175.666666666667</v>
      </c>
      <c r="Y283" s="47" t="n">
        <f aca="false">V283+W283+X283</f>
        <v>419.5</v>
      </c>
    </row>
    <row r="284" customFormat="false" ht="15" hidden="false" customHeight="false" outlineLevel="0" collapsed="false">
      <c r="A284" s="45"/>
      <c r="B284" s="31"/>
      <c r="C284" s="32"/>
      <c r="D284" s="31"/>
      <c r="E284" s="31"/>
      <c r="F284" s="29"/>
      <c r="G284" s="29" t="str">
        <f aca="false">IF(OR(D284="",E284="",F284=""),"",D284*E284*F284)</f>
        <v/>
      </c>
      <c r="H284" s="31"/>
      <c r="I284" s="36" t="str">
        <f aca="false">IF(OR(C284="",K284=""),"",IF(K284&gt;=_xlfn.MAXIFS($K$5:K283,$C$5:C283,C284),"Yes","No"))</f>
        <v/>
      </c>
      <c r="J284" s="32"/>
      <c r="K284" s="48" t="str">
        <f aca="false">IF(OR(E284="",F284=""),"",F284*(1+E284/30))</f>
        <v/>
      </c>
      <c r="L284" s="36" t="str">
        <f aca="false">IF(A284="","",INT((A284-StartDate)/7)+1)</f>
        <v/>
      </c>
      <c r="M284" s="36" t="str">
        <f aca="false">IF(A284="","",TEXT(A284,"mmm"))</f>
        <v/>
      </c>
      <c r="N284" s="48" t="str">
        <f aca="false">IFERROR(IF(ISNUMBER(SEARCH("squat",C284)),K284,""),"")</f>
        <v/>
      </c>
      <c r="O284" s="48" t="str">
        <f aca="false">IFERROR(IF(ISNUMBER(SEARCH("bench",C284)),K284,""),"")</f>
        <v/>
      </c>
      <c r="P284" s="48" t="str">
        <f aca="false">IFERROR(IF(ISNUMBER(SEARCH("deadlift",C284)),K284,""),"")</f>
        <v/>
      </c>
      <c r="V284" s="48" t="n">
        <f aca="false">MAX(V283,IF(N284="",0,N284))</f>
        <v>144.666666666667</v>
      </c>
      <c r="W284" s="48" t="n">
        <f aca="false">MAX(W283,IF(O284="",0,O284))</f>
        <v>99.1666666666667</v>
      </c>
      <c r="X284" s="48" t="n">
        <f aca="false">MAX(X283,IF(P284="",0,P284))</f>
        <v>175.666666666667</v>
      </c>
      <c r="Y284" s="48" t="n">
        <f aca="false">V284+W284+X284</f>
        <v>419.5</v>
      </c>
    </row>
    <row r="285" customFormat="false" ht="15" hidden="false" customHeight="false" outlineLevel="0" collapsed="false">
      <c r="A285" s="45"/>
      <c r="B285" s="31"/>
      <c r="C285" s="32"/>
      <c r="D285" s="31"/>
      <c r="E285" s="31"/>
      <c r="F285" s="29"/>
      <c r="G285" s="29" t="str">
        <f aca="false">IF(OR(D285="",E285="",F285=""),"",D285*E285*F285)</f>
        <v/>
      </c>
      <c r="H285" s="31"/>
      <c r="I285" s="46" t="str">
        <f aca="false">IF(OR(C285="",K285=""),"",IF(K285&gt;=_xlfn.MAXIFS($K$5:K284,$C$5:C284,C285),"Yes","No"))</f>
        <v/>
      </c>
      <c r="J285" s="32"/>
      <c r="K285" s="47" t="str">
        <f aca="false">IF(OR(E285="",F285=""),"",F285*(1+E285/30))</f>
        <v/>
      </c>
      <c r="L285" s="27" t="str">
        <f aca="false">IF(A285="","",INT((A285-StartDate)/7)+1)</f>
        <v/>
      </c>
      <c r="M285" s="27" t="str">
        <f aca="false">IF(A285="","",TEXT(A285,"mmm"))</f>
        <v/>
      </c>
      <c r="N285" s="47" t="str">
        <f aca="false">IFERROR(IF(ISNUMBER(SEARCH("squat",C285)),K285,""),"")</f>
        <v/>
      </c>
      <c r="O285" s="47" t="str">
        <f aca="false">IFERROR(IF(ISNUMBER(SEARCH("bench",C285)),K285,""),"")</f>
        <v/>
      </c>
      <c r="P285" s="47" t="str">
        <f aca="false">IFERROR(IF(ISNUMBER(SEARCH("deadlift",C285)),K285,""),"")</f>
        <v/>
      </c>
      <c r="V285" s="47" t="n">
        <f aca="false">MAX(V284,IF(N285="",0,N285))</f>
        <v>144.666666666667</v>
      </c>
      <c r="W285" s="47" t="n">
        <f aca="false">MAX(W284,IF(O285="",0,O285))</f>
        <v>99.1666666666667</v>
      </c>
      <c r="X285" s="47" t="n">
        <f aca="false">MAX(X284,IF(P285="",0,P285))</f>
        <v>175.666666666667</v>
      </c>
      <c r="Y285" s="47" t="n">
        <f aca="false">V285+W285+X285</f>
        <v>419.5</v>
      </c>
    </row>
    <row r="286" customFormat="false" ht="15" hidden="false" customHeight="false" outlineLevel="0" collapsed="false">
      <c r="A286" s="45"/>
      <c r="B286" s="31"/>
      <c r="C286" s="32"/>
      <c r="D286" s="31"/>
      <c r="E286" s="31"/>
      <c r="F286" s="29"/>
      <c r="G286" s="29" t="str">
        <f aca="false">IF(OR(D286="",E286="",F286=""),"",D286*E286*F286)</f>
        <v/>
      </c>
      <c r="H286" s="31"/>
      <c r="I286" s="36" t="str">
        <f aca="false">IF(OR(C286="",K286=""),"",IF(K286&gt;=_xlfn.MAXIFS($K$5:K285,$C$5:C285,C286),"Yes","No"))</f>
        <v/>
      </c>
      <c r="J286" s="32"/>
      <c r="K286" s="48" t="str">
        <f aca="false">IF(OR(E286="",F286=""),"",F286*(1+E286/30))</f>
        <v/>
      </c>
      <c r="L286" s="36" t="str">
        <f aca="false">IF(A286="","",INT((A286-StartDate)/7)+1)</f>
        <v/>
      </c>
      <c r="M286" s="36" t="str">
        <f aca="false">IF(A286="","",TEXT(A286,"mmm"))</f>
        <v/>
      </c>
      <c r="N286" s="48" t="str">
        <f aca="false">IFERROR(IF(ISNUMBER(SEARCH("squat",C286)),K286,""),"")</f>
        <v/>
      </c>
      <c r="O286" s="48" t="str">
        <f aca="false">IFERROR(IF(ISNUMBER(SEARCH("bench",C286)),K286,""),"")</f>
        <v/>
      </c>
      <c r="P286" s="48" t="str">
        <f aca="false">IFERROR(IF(ISNUMBER(SEARCH("deadlift",C286)),K286,""),"")</f>
        <v/>
      </c>
      <c r="V286" s="48" t="n">
        <f aca="false">MAX(V285,IF(N286="",0,N286))</f>
        <v>144.666666666667</v>
      </c>
      <c r="W286" s="48" t="n">
        <f aca="false">MAX(W285,IF(O286="",0,O286))</f>
        <v>99.1666666666667</v>
      </c>
      <c r="X286" s="48" t="n">
        <f aca="false">MAX(X285,IF(P286="",0,P286))</f>
        <v>175.666666666667</v>
      </c>
      <c r="Y286" s="48" t="n">
        <f aca="false">V286+W286+X286</f>
        <v>419.5</v>
      </c>
    </row>
    <row r="287" customFormat="false" ht="15" hidden="false" customHeight="false" outlineLevel="0" collapsed="false">
      <c r="A287" s="45"/>
      <c r="B287" s="31"/>
      <c r="C287" s="32"/>
      <c r="D287" s="31"/>
      <c r="E287" s="31"/>
      <c r="F287" s="29"/>
      <c r="G287" s="29" t="str">
        <f aca="false">IF(OR(D287="",E287="",F287=""),"",D287*E287*F287)</f>
        <v/>
      </c>
      <c r="H287" s="31"/>
      <c r="I287" s="46" t="str">
        <f aca="false">IF(OR(C287="",K287=""),"",IF(K287&gt;=_xlfn.MAXIFS($K$5:K286,$C$5:C286,C287),"Yes","No"))</f>
        <v/>
      </c>
      <c r="J287" s="32"/>
      <c r="K287" s="47" t="str">
        <f aca="false">IF(OR(E287="",F287=""),"",F287*(1+E287/30))</f>
        <v/>
      </c>
      <c r="L287" s="27" t="str">
        <f aca="false">IF(A287="","",INT((A287-StartDate)/7)+1)</f>
        <v/>
      </c>
      <c r="M287" s="27" t="str">
        <f aca="false">IF(A287="","",TEXT(A287,"mmm"))</f>
        <v/>
      </c>
      <c r="N287" s="47" t="str">
        <f aca="false">IFERROR(IF(ISNUMBER(SEARCH("squat",C287)),K287,""),"")</f>
        <v/>
      </c>
      <c r="O287" s="47" t="str">
        <f aca="false">IFERROR(IF(ISNUMBER(SEARCH("bench",C287)),K287,""),"")</f>
        <v/>
      </c>
      <c r="P287" s="47" t="str">
        <f aca="false">IFERROR(IF(ISNUMBER(SEARCH("deadlift",C287)),K287,""),"")</f>
        <v/>
      </c>
      <c r="V287" s="47" t="n">
        <f aca="false">MAX(V286,IF(N287="",0,N287))</f>
        <v>144.666666666667</v>
      </c>
      <c r="W287" s="47" t="n">
        <f aca="false">MAX(W286,IF(O287="",0,O287))</f>
        <v>99.1666666666667</v>
      </c>
      <c r="X287" s="47" t="n">
        <f aca="false">MAX(X286,IF(P287="",0,P287))</f>
        <v>175.666666666667</v>
      </c>
      <c r="Y287" s="47" t="n">
        <f aca="false">V287+W287+X287</f>
        <v>419.5</v>
      </c>
    </row>
    <row r="288" customFormat="false" ht="15" hidden="false" customHeight="false" outlineLevel="0" collapsed="false">
      <c r="A288" s="45"/>
      <c r="B288" s="31"/>
      <c r="C288" s="32"/>
      <c r="D288" s="31"/>
      <c r="E288" s="31"/>
      <c r="F288" s="29"/>
      <c r="G288" s="29" t="str">
        <f aca="false">IF(OR(D288="",E288="",F288=""),"",D288*E288*F288)</f>
        <v/>
      </c>
      <c r="H288" s="31"/>
      <c r="I288" s="36" t="str">
        <f aca="false">IF(OR(C288="",K288=""),"",IF(K288&gt;=_xlfn.MAXIFS($K$5:K287,$C$5:C287,C288),"Yes","No"))</f>
        <v/>
      </c>
      <c r="J288" s="32"/>
      <c r="K288" s="48" t="str">
        <f aca="false">IF(OR(E288="",F288=""),"",F288*(1+E288/30))</f>
        <v/>
      </c>
      <c r="L288" s="36" t="str">
        <f aca="false">IF(A288="","",INT((A288-StartDate)/7)+1)</f>
        <v/>
      </c>
      <c r="M288" s="36" t="str">
        <f aca="false">IF(A288="","",TEXT(A288,"mmm"))</f>
        <v/>
      </c>
      <c r="N288" s="48" t="str">
        <f aca="false">IFERROR(IF(ISNUMBER(SEARCH("squat",C288)),K288,""),"")</f>
        <v/>
      </c>
      <c r="O288" s="48" t="str">
        <f aca="false">IFERROR(IF(ISNUMBER(SEARCH("bench",C288)),K288,""),"")</f>
        <v/>
      </c>
      <c r="P288" s="48" t="str">
        <f aca="false">IFERROR(IF(ISNUMBER(SEARCH("deadlift",C288)),K288,""),"")</f>
        <v/>
      </c>
      <c r="V288" s="48" t="n">
        <f aca="false">MAX(V287,IF(N288="",0,N288))</f>
        <v>144.666666666667</v>
      </c>
      <c r="W288" s="48" t="n">
        <f aca="false">MAX(W287,IF(O288="",0,O288))</f>
        <v>99.1666666666667</v>
      </c>
      <c r="X288" s="48" t="n">
        <f aca="false">MAX(X287,IF(P288="",0,P288))</f>
        <v>175.666666666667</v>
      </c>
      <c r="Y288" s="48" t="n">
        <f aca="false">V288+W288+X288</f>
        <v>419.5</v>
      </c>
    </row>
    <row r="289" customFormat="false" ht="15" hidden="false" customHeight="false" outlineLevel="0" collapsed="false">
      <c r="A289" s="45"/>
      <c r="B289" s="31"/>
      <c r="C289" s="32"/>
      <c r="D289" s="31"/>
      <c r="E289" s="31"/>
      <c r="F289" s="29"/>
      <c r="G289" s="29" t="str">
        <f aca="false">IF(OR(D289="",E289="",F289=""),"",D289*E289*F289)</f>
        <v/>
      </c>
      <c r="H289" s="31"/>
      <c r="I289" s="46" t="str">
        <f aca="false">IF(OR(C289="",K289=""),"",IF(K289&gt;=_xlfn.MAXIFS($K$5:K288,$C$5:C288,C289),"Yes","No"))</f>
        <v/>
      </c>
      <c r="J289" s="32"/>
      <c r="K289" s="47" t="str">
        <f aca="false">IF(OR(E289="",F289=""),"",F289*(1+E289/30))</f>
        <v/>
      </c>
      <c r="L289" s="27" t="str">
        <f aca="false">IF(A289="","",INT((A289-StartDate)/7)+1)</f>
        <v/>
      </c>
      <c r="M289" s="27" t="str">
        <f aca="false">IF(A289="","",TEXT(A289,"mmm"))</f>
        <v/>
      </c>
      <c r="N289" s="47" t="str">
        <f aca="false">IFERROR(IF(ISNUMBER(SEARCH("squat",C289)),K289,""),"")</f>
        <v/>
      </c>
      <c r="O289" s="47" t="str">
        <f aca="false">IFERROR(IF(ISNUMBER(SEARCH("bench",C289)),K289,""),"")</f>
        <v/>
      </c>
      <c r="P289" s="47" t="str">
        <f aca="false">IFERROR(IF(ISNUMBER(SEARCH("deadlift",C289)),K289,""),"")</f>
        <v/>
      </c>
      <c r="V289" s="47" t="n">
        <f aca="false">MAX(V288,IF(N289="",0,N289))</f>
        <v>144.666666666667</v>
      </c>
      <c r="W289" s="47" t="n">
        <f aca="false">MAX(W288,IF(O289="",0,O289))</f>
        <v>99.1666666666667</v>
      </c>
      <c r="X289" s="47" t="n">
        <f aca="false">MAX(X288,IF(P289="",0,P289))</f>
        <v>175.666666666667</v>
      </c>
      <c r="Y289" s="47" t="n">
        <f aca="false">V289+W289+X289</f>
        <v>419.5</v>
      </c>
    </row>
    <row r="290" customFormat="false" ht="15" hidden="false" customHeight="false" outlineLevel="0" collapsed="false">
      <c r="A290" s="45"/>
      <c r="B290" s="31"/>
      <c r="C290" s="32"/>
      <c r="D290" s="31"/>
      <c r="E290" s="31"/>
      <c r="F290" s="29"/>
      <c r="G290" s="29" t="str">
        <f aca="false">IF(OR(D290="",E290="",F290=""),"",D290*E290*F290)</f>
        <v/>
      </c>
      <c r="H290" s="31"/>
      <c r="I290" s="36" t="str">
        <f aca="false">IF(OR(C290="",K290=""),"",IF(K290&gt;=_xlfn.MAXIFS($K$5:K289,$C$5:C289,C290),"Yes","No"))</f>
        <v/>
      </c>
      <c r="J290" s="32"/>
      <c r="K290" s="48" t="str">
        <f aca="false">IF(OR(E290="",F290=""),"",F290*(1+E290/30))</f>
        <v/>
      </c>
      <c r="L290" s="36" t="str">
        <f aca="false">IF(A290="","",INT((A290-StartDate)/7)+1)</f>
        <v/>
      </c>
      <c r="M290" s="36" t="str">
        <f aca="false">IF(A290="","",TEXT(A290,"mmm"))</f>
        <v/>
      </c>
      <c r="N290" s="48" t="str">
        <f aca="false">IFERROR(IF(ISNUMBER(SEARCH("squat",C290)),K290,""),"")</f>
        <v/>
      </c>
      <c r="O290" s="48" t="str">
        <f aca="false">IFERROR(IF(ISNUMBER(SEARCH("bench",C290)),K290,""),"")</f>
        <v/>
      </c>
      <c r="P290" s="48" t="str">
        <f aca="false">IFERROR(IF(ISNUMBER(SEARCH("deadlift",C290)),K290,""),"")</f>
        <v/>
      </c>
      <c r="V290" s="48" t="n">
        <f aca="false">MAX(V289,IF(N290="",0,N290))</f>
        <v>144.666666666667</v>
      </c>
      <c r="W290" s="48" t="n">
        <f aca="false">MAX(W289,IF(O290="",0,O290))</f>
        <v>99.1666666666667</v>
      </c>
      <c r="X290" s="48" t="n">
        <f aca="false">MAX(X289,IF(P290="",0,P290))</f>
        <v>175.666666666667</v>
      </c>
      <c r="Y290" s="48" t="n">
        <f aca="false">V290+W290+X290</f>
        <v>419.5</v>
      </c>
    </row>
    <row r="291" customFormat="false" ht="15" hidden="false" customHeight="false" outlineLevel="0" collapsed="false">
      <c r="A291" s="45"/>
      <c r="B291" s="31"/>
      <c r="C291" s="32"/>
      <c r="D291" s="31"/>
      <c r="E291" s="31"/>
      <c r="F291" s="29"/>
      <c r="G291" s="29" t="str">
        <f aca="false">IF(OR(D291="",E291="",F291=""),"",D291*E291*F291)</f>
        <v/>
      </c>
      <c r="H291" s="31"/>
      <c r="I291" s="46" t="str">
        <f aca="false">IF(OR(C291="",K291=""),"",IF(K291&gt;=_xlfn.MAXIFS($K$5:K290,$C$5:C290,C291),"Yes","No"))</f>
        <v/>
      </c>
      <c r="J291" s="32"/>
      <c r="K291" s="47" t="str">
        <f aca="false">IF(OR(E291="",F291=""),"",F291*(1+E291/30))</f>
        <v/>
      </c>
      <c r="L291" s="27" t="str">
        <f aca="false">IF(A291="","",INT((A291-StartDate)/7)+1)</f>
        <v/>
      </c>
      <c r="M291" s="27" t="str">
        <f aca="false">IF(A291="","",TEXT(A291,"mmm"))</f>
        <v/>
      </c>
      <c r="N291" s="47" t="str">
        <f aca="false">IFERROR(IF(ISNUMBER(SEARCH("squat",C291)),K291,""),"")</f>
        <v/>
      </c>
      <c r="O291" s="47" t="str">
        <f aca="false">IFERROR(IF(ISNUMBER(SEARCH("bench",C291)),K291,""),"")</f>
        <v/>
      </c>
      <c r="P291" s="47" t="str">
        <f aca="false">IFERROR(IF(ISNUMBER(SEARCH("deadlift",C291)),K291,""),"")</f>
        <v/>
      </c>
      <c r="V291" s="47" t="n">
        <f aca="false">MAX(V290,IF(N291="",0,N291))</f>
        <v>144.666666666667</v>
      </c>
      <c r="W291" s="47" t="n">
        <f aca="false">MAX(W290,IF(O291="",0,O291))</f>
        <v>99.1666666666667</v>
      </c>
      <c r="X291" s="47" t="n">
        <f aca="false">MAX(X290,IF(P291="",0,P291))</f>
        <v>175.666666666667</v>
      </c>
      <c r="Y291" s="47" t="n">
        <f aca="false">V291+W291+X291</f>
        <v>419.5</v>
      </c>
    </row>
    <row r="292" customFormat="false" ht="15" hidden="false" customHeight="false" outlineLevel="0" collapsed="false">
      <c r="A292" s="45"/>
      <c r="B292" s="31"/>
      <c r="C292" s="32"/>
      <c r="D292" s="31"/>
      <c r="E292" s="31"/>
      <c r="F292" s="29"/>
      <c r="G292" s="29" t="str">
        <f aca="false">IF(OR(D292="",E292="",F292=""),"",D292*E292*F292)</f>
        <v/>
      </c>
      <c r="H292" s="31"/>
      <c r="I292" s="36" t="str">
        <f aca="false">IF(OR(C292="",K292=""),"",IF(K292&gt;=_xlfn.MAXIFS($K$5:K291,$C$5:C291,C292),"Yes","No"))</f>
        <v/>
      </c>
      <c r="J292" s="32"/>
      <c r="K292" s="48" t="str">
        <f aca="false">IF(OR(E292="",F292=""),"",F292*(1+E292/30))</f>
        <v/>
      </c>
      <c r="L292" s="36" t="str">
        <f aca="false">IF(A292="","",INT((A292-StartDate)/7)+1)</f>
        <v/>
      </c>
      <c r="M292" s="36" t="str">
        <f aca="false">IF(A292="","",TEXT(A292,"mmm"))</f>
        <v/>
      </c>
      <c r="N292" s="48" t="str">
        <f aca="false">IFERROR(IF(ISNUMBER(SEARCH("squat",C292)),K292,""),"")</f>
        <v/>
      </c>
      <c r="O292" s="48" t="str">
        <f aca="false">IFERROR(IF(ISNUMBER(SEARCH("bench",C292)),K292,""),"")</f>
        <v/>
      </c>
      <c r="P292" s="48" t="str">
        <f aca="false">IFERROR(IF(ISNUMBER(SEARCH("deadlift",C292)),K292,""),"")</f>
        <v/>
      </c>
      <c r="V292" s="48" t="n">
        <f aca="false">MAX(V291,IF(N292="",0,N292))</f>
        <v>144.666666666667</v>
      </c>
      <c r="W292" s="48" t="n">
        <f aca="false">MAX(W291,IF(O292="",0,O292))</f>
        <v>99.1666666666667</v>
      </c>
      <c r="X292" s="48" t="n">
        <f aca="false">MAX(X291,IF(P292="",0,P292))</f>
        <v>175.666666666667</v>
      </c>
      <c r="Y292" s="48" t="n">
        <f aca="false">V292+W292+X292</f>
        <v>419.5</v>
      </c>
    </row>
    <row r="293" customFormat="false" ht="15" hidden="false" customHeight="false" outlineLevel="0" collapsed="false">
      <c r="A293" s="45"/>
      <c r="B293" s="31"/>
      <c r="C293" s="32"/>
      <c r="D293" s="31"/>
      <c r="E293" s="31"/>
      <c r="F293" s="29"/>
      <c r="G293" s="29" t="str">
        <f aca="false">IF(OR(D293="",E293="",F293=""),"",D293*E293*F293)</f>
        <v/>
      </c>
      <c r="H293" s="31"/>
      <c r="I293" s="46" t="str">
        <f aca="false">IF(OR(C293="",K293=""),"",IF(K293&gt;=_xlfn.MAXIFS($K$5:K292,$C$5:C292,C293),"Yes","No"))</f>
        <v/>
      </c>
      <c r="J293" s="32"/>
      <c r="K293" s="47" t="str">
        <f aca="false">IF(OR(E293="",F293=""),"",F293*(1+E293/30))</f>
        <v/>
      </c>
      <c r="L293" s="27" t="str">
        <f aca="false">IF(A293="","",INT((A293-StartDate)/7)+1)</f>
        <v/>
      </c>
      <c r="M293" s="27" t="str">
        <f aca="false">IF(A293="","",TEXT(A293,"mmm"))</f>
        <v/>
      </c>
      <c r="N293" s="47" t="str">
        <f aca="false">IFERROR(IF(ISNUMBER(SEARCH("squat",C293)),K293,""),"")</f>
        <v/>
      </c>
      <c r="O293" s="47" t="str">
        <f aca="false">IFERROR(IF(ISNUMBER(SEARCH("bench",C293)),K293,""),"")</f>
        <v/>
      </c>
      <c r="P293" s="47" t="str">
        <f aca="false">IFERROR(IF(ISNUMBER(SEARCH("deadlift",C293)),K293,""),"")</f>
        <v/>
      </c>
      <c r="V293" s="47" t="n">
        <f aca="false">MAX(V292,IF(N293="",0,N293))</f>
        <v>144.666666666667</v>
      </c>
      <c r="W293" s="47" t="n">
        <f aca="false">MAX(W292,IF(O293="",0,O293))</f>
        <v>99.1666666666667</v>
      </c>
      <c r="X293" s="47" t="n">
        <f aca="false">MAX(X292,IF(P293="",0,P293))</f>
        <v>175.666666666667</v>
      </c>
      <c r="Y293" s="47" t="n">
        <f aca="false">V293+W293+X293</f>
        <v>419.5</v>
      </c>
    </row>
    <row r="294" customFormat="false" ht="15" hidden="false" customHeight="false" outlineLevel="0" collapsed="false">
      <c r="A294" s="45"/>
      <c r="B294" s="31"/>
      <c r="C294" s="32"/>
      <c r="D294" s="31"/>
      <c r="E294" s="31"/>
      <c r="F294" s="29"/>
      <c r="G294" s="29" t="str">
        <f aca="false">IF(OR(D294="",E294="",F294=""),"",D294*E294*F294)</f>
        <v/>
      </c>
      <c r="H294" s="31"/>
      <c r="I294" s="36" t="str">
        <f aca="false">IF(OR(C294="",K294=""),"",IF(K294&gt;=_xlfn.MAXIFS($K$5:K293,$C$5:C293,C294),"Yes","No"))</f>
        <v/>
      </c>
      <c r="J294" s="32"/>
      <c r="K294" s="48" t="str">
        <f aca="false">IF(OR(E294="",F294=""),"",F294*(1+E294/30))</f>
        <v/>
      </c>
      <c r="L294" s="36" t="str">
        <f aca="false">IF(A294="","",INT((A294-StartDate)/7)+1)</f>
        <v/>
      </c>
      <c r="M294" s="36" t="str">
        <f aca="false">IF(A294="","",TEXT(A294,"mmm"))</f>
        <v/>
      </c>
      <c r="N294" s="48" t="str">
        <f aca="false">IFERROR(IF(ISNUMBER(SEARCH("squat",C294)),K294,""),"")</f>
        <v/>
      </c>
      <c r="O294" s="48" t="str">
        <f aca="false">IFERROR(IF(ISNUMBER(SEARCH("bench",C294)),K294,""),"")</f>
        <v/>
      </c>
      <c r="P294" s="48" t="str">
        <f aca="false">IFERROR(IF(ISNUMBER(SEARCH("deadlift",C294)),K294,""),"")</f>
        <v/>
      </c>
      <c r="V294" s="48" t="n">
        <f aca="false">MAX(V293,IF(N294="",0,N294))</f>
        <v>144.666666666667</v>
      </c>
      <c r="W294" s="48" t="n">
        <f aca="false">MAX(W293,IF(O294="",0,O294))</f>
        <v>99.1666666666667</v>
      </c>
      <c r="X294" s="48" t="n">
        <f aca="false">MAX(X293,IF(P294="",0,P294))</f>
        <v>175.666666666667</v>
      </c>
      <c r="Y294" s="48" t="n">
        <f aca="false">V294+W294+X294</f>
        <v>419.5</v>
      </c>
    </row>
    <row r="295" customFormat="false" ht="15" hidden="false" customHeight="false" outlineLevel="0" collapsed="false">
      <c r="A295" s="45"/>
      <c r="B295" s="31"/>
      <c r="C295" s="32"/>
      <c r="D295" s="31"/>
      <c r="E295" s="31"/>
      <c r="F295" s="29"/>
      <c r="G295" s="29" t="str">
        <f aca="false">IF(OR(D295="",E295="",F295=""),"",D295*E295*F295)</f>
        <v/>
      </c>
      <c r="H295" s="31"/>
      <c r="I295" s="46" t="str">
        <f aca="false">IF(OR(C295="",K295=""),"",IF(K295&gt;=_xlfn.MAXIFS($K$5:K294,$C$5:C294,C295),"Yes","No"))</f>
        <v/>
      </c>
      <c r="J295" s="32"/>
      <c r="K295" s="47" t="str">
        <f aca="false">IF(OR(E295="",F295=""),"",F295*(1+E295/30))</f>
        <v/>
      </c>
      <c r="L295" s="27" t="str">
        <f aca="false">IF(A295="","",INT((A295-StartDate)/7)+1)</f>
        <v/>
      </c>
      <c r="M295" s="27" t="str">
        <f aca="false">IF(A295="","",TEXT(A295,"mmm"))</f>
        <v/>
      </c>
      <c r="N295" s="47" t="str">
        <f aca="false">IFERROR(IF(ISNUMBER(SEARCH("squat",C295)),K295,""),"")</f>
        <v/>
      </c>
      <c r="O295" s="47" t="str">
        <f aca="false">IFERROR(IF(ISNUMBER(SEARCH("bench",C295)),K295,""),"")</f>
        <v/>
      </c>
      <c r="P295" s="47" t="str">
        <f aca="false">IFERROR(IF(ISNUMBER(SEARCH("deadlift",C295)),K295,""),"")</f>
        <v/>
      </c>
      <c r="V295" s="47" t="n">
        <f aca="false">MAX(V294,IF(N295="",0,N295))</f>
        <v>144.666666666667</v>
      </c>
      <c r="W295" s="47" t="n">
        <f aca="false">MAX(W294,IF(O295="",0,O295))</f>
        <v>99.1666666666667</v>
      </c>
      <c r="X295" s="47" t="n">
        <f aca="false">MAX(X294,IF(P295="",0,P295))</f>
        <v>175.666666666667</v>
      </c>
      <c r="Y295" s="47" t="n">
        <f aca="false">V295+W295+X295</f>
        <v>419.5</v>
      </c>
    </row>
    <row r="296" customFormat="false" ht="15" hidden="false" customHeight="false" outlineLevel="0" collapsed="false">
      <c r="A296" s="45"/>
      <c r="B296" s="31"/>
      <c r="C296" s="32"/>
      <c r="D296" s="31"/>
      <c r="E296" s="31"/>
      <c r="F296" s="29"/>
      <c r="G296" s="29" t="str">
        <f aca="false">IF(OR(D296="",E296="",F296=""),"",D296*E296*F296)</f>
        <v/>
      </c>
      <c r="H296" s="31"/>
      <c r="I296" s="36" t="str">
        <f aca="false">IF(OR(C296="",K296=""),"",IF(K296&gt;=_xlfn.MAXIFS($K$5:K295,$C$5:C295,C296),"Yes","No"))</f>
        <v/>
      </c>
      <c r="J296" s="32"/>
      <c r="K296" s="48" t="str">
        <f aca="false">IF(OR(E296="",F296=""),"",F296*(1+E296/30))</f>
        <v/>
      </c>
      <c r="L296" s="36" t="str">
        <f aca="false">IF(A296="","",INT((A296-StartDate)/7)+1)</f>
        <v/>
      </c>
      <c r="M296" s="36" t="str">
        <f aca="false">IF(A296="","",TEXT(A296,"mmm"))</f>
        <v/>
      </c>
      <c r="N296" s="48" t="str">
        <f aca="false">IFERROR(IF(ISNUMBER(SEARCH("squat",C296)),K296,""),"")</f>
        <v/>
      </c>
      <c r="O296" s="48" t="str">
        <f aca="false">IFERROR(IF(ISNUMBER(SEARCH("bench",C296)),K296,""),"")</f>
        <v/>
      </c>
      <c r="P296" s="48" t="str">
        <f aca="false">IFERROR(IF(ISNUMBER(SEARCH("deadlift",C296)),K296,""),"")</f>
        <v/>
      </c>
      <c r="V296" s="48" t="n">
        <f aca="false">MAX(V295,IF(N296="",0,N296))</f>
        <v>144.666666666667</v>
      </c>
      <c r="W296" s="48" t="n">
        <f aca="false">MAX(W295,IF(O296="",0,O296))</f>
        <v>99.1666666666667</v>
      </c>
      <c r="X296" s="48" t="n">
        <f aca="false">MAX(X295,IF(P296="",0,P296))</f>
        <v>175.666666666667</v>
      </c>
      <c r="Y296" s="48" t="n">
        <f aca="false">V296+W296+X296</f>
        <v>419.5</v>
      </c>
    </row>
    <row r="297" customFormat="false" ht="15" hidden="false" customHeight="false" outlineLevel="0" collapsed="false">
      <c r="A297" s="45"/>
      <c r="B297" s="31"/>
      <c r="C297" s="32"/>
      <c r="D297" s="31"/>
      <c r="E297" s="31"/>
      <c r="F297" s="29"/>
      <c r="G297" s="29" t="str">
        <f aca="false">IF(OR(D297="",E297="",F297=""),"",D297*E297*F297)</f>
        <v/>
      </c>
      <c r="H297" s="31"/>
      <c r="I297" s="46" t="str">
        <f aca="false">IF(OR(C297="",K297=""),"",IF(K297&gt;=_xlfn.MAXIFS($K$5:K296,$C$5:C296,C297),"Yes","No"))</f>
        <v/>
      </c>
      <c r="J297" s="32"/>
      <c r="K297" s="47" t="str">
        <f aca="false">IF(OR(E297="",F297=""),"",F297*(1+E297/30))</f>
        <v/>
      </c>
      <c r="L297" s="27" t="str">
        <f aca="false">IF(A297="","",INT((A297-StartDate)/7)+1)</f>
        <v/>
      </c>
      <c r="M297" s="27" t="str">
        <f aca="false">IF(A297="","",TEXT(A297,"mmm"))</f>
        <v/>
      </c>
      <c r="N297" s="47" t="str">
        <f aca="false">IFERROR(IF(ISNUMBER(SEARCH("squat",C297)),K297,""),"")</f>
        <v/>
      </c>
      <c r="O297" s="47" t="str">
        <f aca="false">IFERROR(IF(ISNUMBER(SEARCH("bench",C297)),K297,""),"")</f>
        <v/>
      </c>
      <c r="P297" s="47" t="str">
        <f aca="false">IFERROR(IF(ISNUMBER(SEARCH("deadlift",C297)),K297,""),"")</f>
        <v/>
      </c>
      <c r="V297" s="47" t="n">
        <f aca="false">MAX(V296,IF(N297="",0,N297))</f>
        <v>144.666666666667</v>
      </c>
      <c r="W297" s="47" t="n">
        <f aca="false">MAX(W296,IF(O297="",0,O297))</f>
        <v>99.1666666666667</v>
      </c>
      <c r="X297" s="47" t="n">
        <f aca="false">MAX(X296,IF(P297="",0,P297))</f>
        <v>175.666666666667</v>
      </c>
      <c r="Y297" s="47" t="n">
        <f aca="false">V297+W297+X297</f>
        <v>419.5</v>
      </c>
    </row>
    <row r="298" customFormat="false" ht="15" hidden="false" customHeight="false" outlineLevel="0" collapsed="false">
      <c r="A298" s="45"/>
      <c r="B298" s="31"/>
      <c r="C298" s="32"/>
      <c r="D298" s="31"/>
      <c r="E298" s="31"/>
      <c r="F298" s="29"/>
      <c r="G298" s="29" t="str">
        <f aca="false">IF(OR(D298="",E298="",F298=""),"",D298*E298*F298)</f>
        <v/>
      </c>
      <c r="H298" s="31"/>
      <c r="I298" s="36" t="str">
        <f aca="false">IF(OR(C298="",K298=""),"",IF(K298&gt;=_xlfn.MAXIFS($K$5:K297,$C$5:C297,C298),"Yes","No"))</f>
        <v/>
      </c>
      <c r="J298" s="32"/>
      <c r="K298" s="48" t="str">
        <f aca="false">IF(OR(E298="",F298=""),"",F298*(1+E298/30))</f>
        <v/>
      </c>
      <c r="L298" s="36" t="str">
        <f aca="false">IF(A298="","",INT((A298-StartDate)/7)+1)</f>
        <v/>
      </c>
      <c r="M298" s="36" t="str">
        <f aca="false">IF(A298="","",TEXT(A298,"mmm"))</f>
        <v/>
      </c>
      <c r="N298" s="48" t="str">
        <f aca="false">IFERROR(IF(ISNUMBER(SEARCH("squat",C298)),K298,""),"")</f>
        <v/>
      </c>
      <c r="O298" s="48" t="str">
        <f aca="false">IFERROR(IF(ISNUMBER(SEARCH("bench",C298)),K298,""),"")</f>
        <v/>
      </c>
      <c r="P298" s="48" t="str">
        <f aca="false">IFERROR(IF(ISNUMBER(SEARCH("deadlift",C298)),K298,""),"")</f>
        <v/>
      </c>
      <c r="V298" s="48" t="n">
        <f aca="false">MAX(V297,IF(N298="",0,N298))</f>
        <v>144.666666666667</v>
      </c>
      <c r="W298" s="48" t="n">
        <f aca="false">MAX(W297,IF(O298="",0,O298))</f>
        <v>99.1666666666667</v>
      </c>
      <c r="X298" s="48" t="n">
        <f aca="false">MAX(X297,IF(P298="",0,P298))</f>
        <v>175.666666666667</v>
      </c>
      <c r="Y298" s="48" t="n">
        <f aca="false">V298+W298+X298</f>
        <v>419.5</v>
      </c>
    </row>
    <row r="299" customFormat="false" ht="15" hidden="false" customHeight="false" outlineLevel="0" collapsed="false">
      <c r="A299" s="45"/>
      <c r="B299" s="31"/>
      <c r="C299" s="32"/>
      <c r="D299" s="31"/>
      <c r="E299" s="31"/>
      <c r="F299" s="29"/>
      <c r="G299" s="29" t="str">
        <f aca="false">IF(OR(D299="",E299="",F299=""),"",D299*E299*F299)</f>
        <v/>
      </c>
      <c r="H299" s="31"/>
      <c r="I299" s="46" t="str">
        <f aca="false">IF(OR(C299="",K299=""),"",IF(K299&gt;=_xlfn.MAXIFS($K$5:K298,$C$5:C298,C299),"Yes","No"))</f>
        <v/>
      </c>
      <c r="J299" s="32"/>
      <c r="K299" s="47" t="str">
        <f aca="false">IF(OR(E299="",F299=""),"",F299*(1+E299/30))</f>
        <v/>
      </c>
      <c r="L299" s="27" t="str">
        <f aca="false">IF(A299="","",INT((A299-StartDate)/7)+1)</f>
        <v/>
      </c>
      <c r="M299" s="27" t="str">
        <f aca="false">IF(A299="","",TEXT(A299,"mmm"))</f>
        <v/>
      </c>
      <c r="N299" s="47" t="str">
        <f aca="false">IFERROR(IF(ISNUMBER(SEARCH("squat",C299)),K299,""),"")</f>
        <v/>
      </c>
      <c r="O299" s="47" t="str">
        <f aca="false">IFERROR(IF(ISNUMBER(SEARCH("bench",C299)),K299,""),"")</f>
        <v/>
      </c>
      <c r="P299" s="47" t="str">
        <f aca="false">IFERROR(IF(ISNUMBER(SEARCH("deadlift",C299)),K299,""),"")</f>
        <v/>
      </c>
      <c r="V299" s="47" t="n">
        <f aca="false">MAX(V298,IF(N299="",0,N299))</f>
        <v>144.666666666667</v>
      </c>
      <c r="W299" s="47" t="n">
        <f aca="false">MAX(W298,IF(O299="",0,O299))</f>
        <v>99.1666666666667</v>
      </c>
      <c r="X299" s="47" t="n">
        <f aca="false">MAX(X298,IF(P299="",0,P299))</f>
        <v>175.666666666667</v>
      </c>
      <c r="Y299" s="47" t="n">
        <f aca="false">V299+W299+X299</f>
        <v>419.5</v>
      </c>
    </row>
    <row r="300" customFormat="false" ht="15" hidden="false" customHeight="false" outlineLevel="0" collapsed="false">
      <c r="A300" s="45"/>
      <c r="B300" s="31"/>
      <c r="C300" s="32"/>
      <c r="D300" s="31"/>
      <c r="E300" s="31"/>
      <c r="F300" s="29"/>
      <c r="G300" s="29" t="str">
        <f aca="false">IF(OR(D300="",E300="",F300=""),"",D300*E300*F300)</f>
        <v/>
      </c>
      <c r="H300" s="31"/>
      <c r="I300" s="36" t="str">
        <f aca="false">IF(OR(C300="",K300=""),"",IF(K300&gt;=_xlfn.MAXIFS($K$5:K299,$C$5:C299,C300),"Yes","No"))</f>
        <v/>
      </c>
      <c r="J300" s="32"/>
      <c r="K300" s="48" t="str">
        <f aca="false">IF(OR(E300="",F300=""),"",F300*(1+E300/30))</f>
        <v/>
      </c>
      <c r="L300" s="36" t="str">
        <f aca="false">IF(A300="","",INT((A300-StartDate)/7)+1)</f>
        <v/>
      </c>
      <c r="M300" s="36" t="str">
        <f aca="false">IF(A300="","",TEXT(A300,"mmm"))</f>
        <v/>
      </c>
      <c r="N300" s="48" t="str">
        <f aca="false">IFERROR(IF(ISNUMBER(SEARCH("squat",C300)),K300,""),"")</f>
        <v/>
      </c>
      <c r="O300" s="48" t="str">
        <f aca="false">IFERROR(IF(ISNUMBER(SEARCH("bench",C300)),K300,""),"")</f>
        <v/>
      </c>
      <c r="P300" s="48" t="str">
        <f aca="false">IFERROR(IF(ISNUMBER(SEARCH("deadlift",C300)),K300,""),"")</f>
        <v/>
      </c>
      <c r="V300" s="48" t="n">
        <f aca="false">MAX(V299,IF(N300="",0,N300))</f>
        <v>144.666666666667</v>
      </c>
      <c r="W300" s="48" t="n">
        <f aca="false">MAX(W299,IF(O300="",0,O300))</f>
        <v>99.1666666666667</v>
      </c>
      <c r="X300" s="48" t="n">
        <f aca="false">MAX(X299,IF(P300="",0,P300))</f>
        <v>175.666666666667</v>
      </c>
      <c r="Y300" s="48" t="n">
        <f aca="false">V300+W300+X300</f>
        <v>419.5</v>
      </c>
    </row>
    <row r="301" customFormat="false" ht="15" hidden="false" customHeight="false" outlineLevel="0" collapsed="false">
      <c r="A301" s="45"/>
      <c r="B301" s="31"/>
      <c r="C301" s="32"/>
      <c r="D301" s="31"/>
      <c r="E301" s="31"/>
      <c r="F301" s="29"/>
      <c r="G301" s="29" t="str">
        <f aca="false">IF(OR(D301="",E301="",F301=""),"",D301*E301*F301)</f>
        <v/>
      </c>
      <c r="H301" s="31"/>
      <c r="I301" s="46" t="str">
        <f aca="false">IF(OR(C301="",K301=""),"",IF(K301&gt;=_xlfn.MAXIFS($K$5:K300,$C$5:C300,C301),"Yes","No"))</f>
        <v/>
      </c>
      <c r="J301" s="32"/>
      <c r="K301" s="47" t="str">
        <f aca="false">IF(OR(E301="",F301=""),"",F301*(1+E301/30))</f>
        <v/>
      </c>
      <c r="L301" s="27" t="str">
        <f aca="false">IF(A301="","",INT((A301-StartDate)/7)+1)</f>
        <v/>
      </c>
      <c r="M301" s="27" t="str">
        <f aca="false">IF(A301="","",TEXT(A301,"mmm"))</f>
        <v/>
      </c>
      <c r="N301" s="47" t="str">
        <f aca="false">IFERROR(IF(ISNUMBER(SEARCH("squat",C301)),K301,""),"")</f>
        <v/>
      </c>
      <c r="O301" s="47" t="str">
        <f aca="false">IFERROR(IF(ISNUMBER(SEARCH("bench",C301)),K301,""),"")</f>
        <v/>
      </c>
      <c r="P301" s="47" t="str">
        <f aca="false">IFERROR(IF(ISNUMBER(SEARCH("deadlift",C301)),K301,""),"")</f>
        <v/>
      </c>
      <c r="V301" s="47" t="n">
        <f aca="false">MAX(V300,IF(N301="",0,N301))</f>
        <v>144.666666666667</v>
      </c>
      <c r="W301" s="47" t="n">
        <f aca="false">MAX(W300,IF(O301="",0,O301))</f>
        <v>99.1666666666667</v>
      </c>
      <c r="X301" s="47" t="n">
        <f aca="false">MAX(X300,IF(P301="",0,P301))</f>
        <v>175.666666666667</v>
      </c>
      <c r="Y301" s="47" t="n">
        <f aca="false">V301+W301+X301</f>
        <v>419.5</v>
      </c>
    </row>
    <row r="302" customFormat="false" ht="15" hidden="false" customHeight="false" outlineLevel="0" collapsed="false">
      <c r="A302" s="45"/>
      <c r="B302" s="31"/>
      <c r="C302" s="32"/>
      <c r="D302" s="31"/>
      <c r="E302" s="31"/>
      <c r="F302" s="29"/>
      <c r="G302" s="29" t="str">
        <f aca="false">IF(OR(D302="",E302="",F302=""),"",D302*E302*F302)</f>
        <v/>
      </c>
      <c r="H302" s="31"/>
      <c r="I302" s="36" t="str">
        <f aca="false">IF(OR(C302="",K302=""),"",IF(K302&gt;=_xlfn.MAXIFS($K$5:K301,$C$5:C301,C302),"Yes","No"))</f>
        <v/>
      </c>
      <c r="J302" s="32"/>
      <c r="K302" s="48" t="str">
        <f aca="false">IF(OR(E302="",F302=""),"",F302*(1+E302/30))</f>
        <v/>
      </c>
      <c r="L302" s="36" t="str">
        <f aca="false">IF(A302="","",INT((A302-StartDate)/7)+1)</f>
        <v/>
      </c>
      <c r="M302" s="36" t="str">
        <f aca="false">IF(A302="","",TEXT(A302,"mmm"))</f>
        <v/>
      </c>
      <c r="N302" s="48" t="str">
        <f aca="false">IFERROR(IF(ISNUMBER(SEARCH("squat",C302)),K302,""),"")</f>
        <v/>
      </c>
      <c r="O302" s="48" t="str">
        <f aca="false">IFERROR(IF(ISNUMBER(SEARCH("bench",C302)),K302,""),"")</f>
        <v/>
      </c>
      <c r="P302" s="48" t="str">
        <f aca="false">IFERROR(IF(ISNUMBER(SEARCH("deadlift",C302)),K302,""),"")</f>
        <v/>
      </c>
      <c r="V302" s="48" t="n">
        <f aca="false">MAX(V301,IF(N302="",0,N302))</f>
        <v>144.666666666667</v>
      </c>
      <c r="W302" s="48" t="n">
        <f aca="false">MAX(W301,IF(O302="",0,O302))</f>
        <v>99.1666666666667</v>
      </c>
      <c r="X302" s="48" t="n">
        <f aca="false">MAX(X301,IF(P302="",0,P302))</f>
        <v>175.666666666667</v>
      </c>
      <c r="Y302" s="48" t="n">
        <f aca="false">V302+W302+X302</f>
        <v>419.5</v>
      </c>
    </row>
    <row r="303" customFormat="false" ht="15" hidden="false" customHeight="false" outlineLevel="0" collapsed="false">
      <c r="A303" s="45"/>
      <c r="B303" s="31"/>
      <c r="C303" s="32"/>
      <c r="D303" s="31"/>
      <c r="E303" s="31"/>
      <c r="F303" s="29"/>
      <c r="G303" s="29" t="str">
        <f aca="false">IF(OR(D303="",E303="",F303=""),"",D303*E303*F303)</f>
        <v/>
      </c>
      <c r="H303" s="31"/>
      <c r="I303" s="46" t="str">
        <f aca="false">IF(OR(C303="",K303=""),"",IF(K303&gt;=_xlfn.MAXIFS($K$5:K302,$C$5:C302,C303),"Yes","No"))</f>
        <v/>
      </c>
      <c r="J303" s="32"/>
      <c r="K303" s="47" t="str">
        <f aca="false">IF(OR(E303="",F303=""),"",F303*(1+E303/30))</f>
        <v/>
      </c>
      <c r="L303" s="27" t="str">
        <f aca="false">IF(A303="","",INT((A303-StartDate)/7)+1)</f>
        <v/>
      </c>
      <c r="M303" s="27" t="str">
        <f aca="false">IF(A303="","",TEXT(A303,"mmm"))</f>
        <v/>
      </c>
      <c r="N303" s="47" t="str">
        <f aca="false">IFERROR(IF(ISNUMBER(SEARCH("squat",C303)),K303,""),"")</f>
        <v/>
      </c>
      <c r="O303" s="47" t="str">
        <f aca="false">IFERROR(IF(ISNUMBER(SEARCH("bench",C303)),K303,""),"")</f>
        <v/>
      </c>
      <c r="P303" s="47" t="str">
        <f aca="false">IFERROR(IF(ISNUMBER(SEARCH("deadlift",C303)),K303,""),"")</f>
        <v/>
      </c>
      <c r="V303" s="47" t="n">
        <f aca="false">MAX(V302,IF(N303="",0,N303))</f>
        <v>144.666666666667</v>
      </c>
      <c r="W303" s="47" t="n">
        <f aca="false">MAX(W302,IF(O303="",0,O303))</f>
        <v>99.1666666666667</v>
      </c>
      <c r="X303" s="47" t="n">
        <f aca="false">MAX(X302,IF(P303="",0,P303))</f>
        <v>175.666666666667</v>
      </c>
      <c r="Y303" s="47" t="n">
        <f aca="false">V303+W303+X303</f>
        <v>419.5</v>
      </c>
    </row>
    <row r="304" customFormat="false" ht="15" hidden="false" customHeight="false" outlineLevel="0" collapsed="false">
      <c r="A304" s="45"/>
      <c r="B304" s="31"/>
      <c r="C304" s="32"/>
      <c r="D304" s="31"/>
      <c r="E304" s="31"/>
      <c r="F304" s="29"/>
      <c r="G304" s="29" t="str">
        <f aca="false">IF(OR(D304="",E304="",F304=""),"",D304*E304*F304)</f>
        <v/>
      </c>
      <c r="H304" s="31"/>
      <c r="I304" s="36" t="str">
        <f aca="false">IF(OR(C304="",K304=""),"",IF(K304&gt;=_xlfn.MAXIFS($K$5:K303,$C$5:C303,C304),"Yes","No"))</f>
        <v/>
      </c>
      <c r="J304" s="32"/>
      <c r="K304" s="48" t="str">
        <f aca="false">IF(OR(E304="",F304=""),"",F304*(1+E304/30))</f>
        <v/>
      </c>
      <c r="L304" s="36" t="str">
        <f aca="false">IF(A304="","",INT((A304-StartDate)/7)+1)</f>
        <v/>
      </c>
      <c r="M304" s="36" t="str">
        <f aca="false">IF(A304="","",TEXT(A304,"mmm"))</f>
        <v/>
      </c>
      <c r="N304" s="48" t="str">
        <f aca="false">IFERROR(IF(ISNUMBER(SEARCH("squat",C304)),K304,""),"")</f>
        <v/>
      </c>
      <c r="O304" s="48" t="str">
        <f aca="false">IFERROR(IF(ISNUMBER(SEARCH("bench",C304)),K304,""),"")</f>
        <v/>
      </c>
      <c r="P304" s="48" t="str">
        <f aca="false">IFERROR(IF(ISNUMBER(SEARCH("deadlift",C304)),K304,""),"")</f>
        <v/>
      </c>
      <c r="V304" s="48" t="n">
        <f aca="false">MAX(V303,IF(N304="",0,N304))</f>
        <v>144.666666666667</v>
      </c>
      <c r="W304" s="48" t="n">
        <f aca="false">MAX(W303,IF(O304="",0,O304))</f>
        <v>99.1666666666667</v>
      </c>
      <c r="X304" s="48" t="n">
        <f aca="false">MAX(X303,IF(P304="",0,P304))</f>
        <v>175.666666666667</v>
      </c>
      <c r="Y304" s="48" t="n">
        <f aca="false">V304+W304+X304</f>
        <v>419.5</v>
      </c>
    </row>
    <row r="305" customFormat="false" ht="15" hidden="false" customHeight="false" outlineLevel="0" collapsed="false">
      <c r="A305" s="45"/>
      <c r="B305" s="31"/>
      <c r="C305" s="32"/>
      <c r="D305" s="31"/>
      <c r="E305" s="31"/>
      <c r="F305" s="29"/>
      <c r="G305" s="29" t="str">
        <f aca="false">IF(OR(D305="",E305="",F305=""),"",D305*E305*F305)</f>
        <v/>
      </c>
      <c r="H305" s="31"/>
      <c r="I305" s="46" t="str">
        <f aca="false">IF(OR(C305="",K305=""),"",IF(K305&gt;=_xlfn.MAXIFS($K$5:K304,$C$5:C304,C305),"Yes","No"))</f>
        <v/>
      </c>
      <c r="J305" s="32"/>
      <c r="K305" s="47" t="str">
        <f aca="false">IF(OR(E305="",F305=""),"",F305*(1+E305/30))</f>
        <v/>
      </c>
      <c r="L305" s="27" t="str">
        <f aca="false">IF(A305="","",INT((A305-StartDate)/7)+1)</f>
        <v/>
      </c>
      <c r="M305" s="27" t="str">
        <f aca="false">IF(A305="","",TEXT(A305,"mmm"))</f>
        <v/>
      </c>
      <c r="N305" s="47" t="str">
        <f aca="false">IFERROR(IF(ISNUMBER(SEARCH("squat",C305)),K305,""),"")</f>
        <v/>
      </c>
      <c r="O305" s="47" t="str">
        <f aca="false">IFERROR(IF(ISNUMBER(SEARCH("bench",C305)),K305,""),"")</f>
        <v/>
      </c>
      <c r="P305" s="47" t="str">
        <f aca="false">IFERROR(IF(ISNUMBER(SEARCH("deadlift",C305)),K305,""),"")</f>
        <v/>
      </c>
      <c r="V305" s="47" t="n">
        <f aca="false">MAX(V304,IF(N305="",0,N305))</f>
        <v>144.666666666667</v>
      </c>
      <c r="W305" s="47" t="n">
        <f aca="false">MAX(W304,IF(O305="",0,O305))</f>
        <v>99.1666666666667</v>
      </c>
      <c r="X305" s="47" t="n">
        <f aca="false">MAX(X304,IF(P305="",0,P305))</f>
        <v>175.666666666667</v>
      </c>
      <c r="Y305" s="47" t="n">
        <f aca="false">V305+W305+X305</f>
        <v>419.5</v>
      </c>
    </row>
    <row r="306" customFormat="false" ht="15" hidden="false" customHeight="false" outlineLevel="0" collapsed="false">
      <c r="A306" s="45"/>
      <c r="B306" s="31"/>
      <c r="C306" s="32"/>
      <c r="D306" s="31"/>
      <c r="E306" s="31"/>
      <c r="F306" s="29"/>
      <c r="G306" s="29" t="str">
        <f aca="false">IF(OR(D306="",E306="",F306=""),"",D306*E306*F306)</f>
        <v/>
      </c>
      <c r="H306" s="31"/>
      <c r="I306" s="36" t="str">
        <f aca="false">IF(OR(C306="",K306=""),"",IF(K306&gt;=_xlfn.MAXIFS($K$5:K305,$C$5:C305,C306),"Yes","No"))</f>
        <v/>
      </c>
      <c r="J306" s="32"/>
      <c r="K306" s="48" t="str">
        <f aca="false">IF(OR(E306="",F306=""),"",F306*(1+E306/30))</f>
        <v/>
      </c>
      <c r="L306" s="36" t="str">
        <f aca="false">IF(A306="","",INT((A306-StartDate)/7)+1)</f>
        <v/>
      </c>
      <c r="M306" s="36" t="str">
        <f aca="false">IF(A306="","",TEXT(A306,"mmm"))</f>
        <v/>
      </c>
      <c r="N306" s="48" t="str">
        <f aca="false">IFERROR(IF(ISNUMBER(SEARCH("squat",C306)),K306,""),"")</f>
        <v/>
      </c>
      <c r="O306" s="48" t="str">
        <f aca="false">IFERROR(IF(ISNUMBER(SEARCH("bench",C306)),K306,""),"")</f>
        <v/>
      </c>
      <c r="P306" s="48" t="str">
        <f aca="false">IFERROR(IF(ISNUMBER(SEARCH("deadlift",C306)),K306,""),"")</f>
        <v/>
      </c>
      <c r="V306" s="48" t="n">
        <f aca="false">MAX(V305,IF(N306="",0,N306))</f>
        <v>144.666666666667</v>
      </c>
      <c r="W306" s="48" t="n">
        <f aca="false">MAX(W305,IF(O306="",0,O306))</f>
        <v>99.1666666666667</v>
      </c>
      <c r="X306" s="48" t="n">
        <f aca="false">MAX(X305,IF(P306="",0,P306))</f>
        <v>175.666666666667</v>
      </c>
      <c r="Y306" s="48" t="n">
        <f aca="false">V306+W306+X306</f>
        <v>419.5</v>
      </c>
    </row>
    <row r="307" customFormat="false" ht="15" hidden="false" customHeight="false" outlineLevel="0" collapsed="false">
      <c r="A307" s="45"/>
      <c r="B307" s="31"/>
      <c r="C307" s="32"/>
      <c r="D307" s="31"/>
      <c r="E307" s="31"/>
      <c r="F307" s="29"/>
      <c r="G307" s="29" t="str">
        <f aca="false">IF(OR(D307="",E307="",F307=""),"",D307*E307*F307)</f>
        <v/>
      </c>
      <c r="H307" s="31"/>
      <c r="I307" s="46" t="str">
        <f aca="false">IF(OR(C307="",K307=""),"",IF(K307&gt;=_xlfn.MAXIFS($K$5:K306,$C$5:C306,C307),"Yes","No"))</f>
        <v/>
      </c>
      <c r="J307" s="32"/>
      <c r="K307" s="47" t="str">
        <f aca="false">IF(OR(E307="",F307=""),"",F307*(1+E307/30))</f>
        <v/>
      </c>
      <c r="L307" s="27" t="str">
        <f aca="false">IF(A307="","",INT((A307-StartDate)/7)+1)</f>
        <v/>
      </c>
      <c r="M307" s="27" t="str">
        <f aca="false">IF(A307="","",TEXT(A307,"mmm"))</f>
        <v/>
      </c>
      <c r="N307" s="47" t="str">
        <f aca="false">IFERROR(IF(ISNUMBER(SEARCH("squat",C307)),K307,""),"")</f>
        <v/>
      </c>
      <c r="O307" s="47" t="str">
        <f aca="false">IFERROR(IF(ISNUMBER(SEARCH("bench",C307)),K307,""),"")</f>
        <v/>
      </c>
      <c r="P307" s="47" t="str">
        <f aca="false">IFERROR(IF(ISNUMBER(SEARCH("deadlift",C307)),K307,""),"")</f>
        <v/>
      </c>
      <c r="V307" s="47" t="n">
        <f aca="false">MAX(V306,IF(N307="",0,N307))</f>
        <v>144.666666666667</v>
      </c>
      <c r="W307" s="47" t="n">
        <f aca="false">MAX(W306,IF(O307="",0,O307))</f>
        <v>99.1666666666667</v>
      </c>
      <c r="X307" s="47" t="n">
        <f aca="false">MAX(X306,IF(P307="",0,P307))</f>
        <v>175.666666666667</v>
      </c>
      <c r="Y307" s="47" t="n">
        <f aca="false">V307+W307+X307</f>
        <v>419.5</v>
      </c>
    </row>
    <row r="308" customFormat="false" ht="15" hidden="false" customHeight="false" outlineLevel="0" collapsed="false">
      <c r="A308" s="45"/>
      <c r="B308" s="31"/>
      <c r="C308" s="32"/>
      <c r="D308" s="31"/>
      <c r="E308" s="31"/>
      <c r="F308" s="29"/>
      <c r="G308" s="29" t="str">
        <f aca="false">IF(OR(D308="",E308="",F308=""),"",D308*E308*F308)</f>
        <v/>
      </c>
      <c r="H308" s="31"/>
      <c r="I308" s="36" t="str">
        <f aca="false">IF(OR(C308="",K308=""),"",IF(K308&gt;=_xlfn.MAXIFS($K$5:K307,$C$5:C307,C308),"Yes","No"))</f>
        <v/>
      </c>
      <c r="J308" s="32"/>
      <c r="K308" s="48" t="str">
        <f aca="false">IF(OR(E308="",F308=""),"",F308*(1+E308/30))</f>
        <v/>
      </c>
      <c r="L308" s="36" t="str">
        <f aca="false">IF(A308="","",INT((A308-StartDate)/7)+1)</f>
        <v/>
      </c>
      <c r="M308" s="36" t="str">
        <f aca="false">IF(A308="","",TEXT(A308,"mmm"))</f>
        <v/>
      </c>
      <c r="N308" s="48" t="str">
        <f aca="false">IFERROR(IF(ISNUMBER(SEARCH("squat",C308)),K308,""),"")</f>
        <v/>
      </c>
      <c r="O308" s="48" t="str">
        <f aca="false">IFERROR(IF(ISNUMBER(SEARCH("bench",C308)),K308,""),"")</f>
        <v/>
      </c>
      <c r="P308" s="48" t="str">
        <f aca="false">IFERROR(IF(ISNUMBER(SEARCH("deadlift",C308)),K308,""),"")</f>
        <v/>
      </c>
      <c r="V308" s="48" t="n">
        <f aca="false">MAX(V307,IF(N308="",0,N308))</f>
        <v>144.666666666667</v>
      </c>
      <c r="W308" s="48" t="n">
        <f aca="false">MAX(W307,IF(O308="",0,O308))</f>
        <v>99.1666666666667</v>
      </c>
      <c r="X308" s="48" t="n">
        <f aca="false">MAX(X307,IF(P308="",0,P308))</f>
        <v>175.666666666667</v>
      </c>
      <c r="Y308" s="48" t="n">
        <f aca="false">V308+W308+X308</f>
        <v>419.5</v>
      </c>
    </row>
    <row r="309" customFormat="false" ht="15" hidden="false" customHeight="false" outlineLevel="0" collapsed="false">
      <c r="A309" s="45"/>
      <c r="B309" s="31"/>
      <c r="C309" s="32"/>
      <c r="D309" s="31"/>
      <c r="E309" s="31"/>
      <c r="F309" s="29"/>
      <c r="G309" s="29" t="str">
        <f aca="false">IF(OR(D309="",E309="",F309=""),"",D309*E309*F309)</f>
        <v/>
      </c>
      <c r="H309" s="31"/>
      <c r="I309" s="46" t="str">
        <f aca="false">IF(OR(C309="",K309=""),"",IF(K309&gt;=_xlfn.MAXIFS($K$5:K308,$C$5:C308,C309),"Yes","No"))</f>
        <v/>
      </c>
      <c r="J309" s="32"/>
      <c r="K309" s="47" t="str">
        <f aca="false">IF(OR(E309="",F309=""),"",F309*(1+E309/30))</f>
        <v/>
      </c>
      <c r="L309" s="27" t="str">
        <f aca="false">IF(A309="","",INT((A309-StartDate)/7)+1)</f>
        <v/>
      </c>
      <c r="M309" s="27" t="str">
        <f aca="false">IF(A309="","",TEXT(A309,"mmm"))</f>
        <v/>
      </c>
      <c r="N309" s="47" t="str">
        <f aca="false">IFERROR(IF(ISNUMBER(SEARCH("squat",C309)),K309,""),"")</f>
        <v/>
      </c>
      <c r="O309" s="47" t="str">
        <f aca="false">IFERROR(IF(ISNUMBER(SEARCH("bench",C309)),K309,""),"")</f>
        <v/>
      </c>
      <c r="P309" s="47" t="str">
        <f aca="false">IFERROR(IF(ISNUMBER(SEARCH("deadlift",C309)),K309,""),"")</f>
        <v/>
      </c>
      <c r="V309" s="47" t="n">
        <f aca="false">MAX(V308,IF(N309="",0,N309))</f>
        <v>144.666666666667</v>
      </c>
      <c r="W309" s="47" t="n">
        <f aca="false">MAX(W308,IF(O309="",0,O309))</f>
        <v>99.1666666666667</v>
      </c>
      <c r="X309" s="47" t="n">
        <f aca="false">MAX(X308,IF(P309="",0,P309))</f>
        <v>175.666666666667</v>
      </c>
      <c r="Y309" s="47" t="n">
        <f aca="false">V309+W309+X309</f>
        <v>419.5</v>
      </c>
    </row>
    <row r="310" customFormat="false" ht="15" hidden="false" customHeight="false" outlineLevel="0" collapsed="false">
      <c r="A310" s="45"/>
      <c r="B310" s="31"/>
      <c r="C310" s="32"/>
      <c r="D310" s="31"/>
      <c r="E310" s="31"/>
      <c r="F310" s="29"/>
      <c r="G310" s="29" t="str">
        <f aca="false">IF(OR(D310="",E310="",F310=""),"",D310*E310*F310)</f>
        <v/>
      </c>
      <c r="H310" s="31"/>
      <c r="I310" s="36" t="str">
        <f aca="false">IF(OR(C310="",K310=""),"",IF(K310&gt;=_xlfn.MAXIFS($K$5:K309,$C$5:C309,C310),"Yes","No"))</f>
        <v/>
      </c>
      <c r="J310" s="32"/>
      <c r="K310" s="48" t="str">
        <f aca="false">IF(OR(E310="",F310=""),"",F310*(1+E310/30))</f>
        <v/>
      </c>
      <c r="L310" s="36" t="str">
        <f aca="false">IF(A310="","",INT((A310-StartDate)/7)+1)</f>
        <v/>
      </c>
      <c r="M310" s="36" t="str">
        <f aca="false">IF(A310="","",TEXT(A310,"mmm"))</f>
        <v/>
      </c>
      <c r="N310" s="48" t="str">
        <f aca="false">IFERROR(IF(ISNUMBER(SEARCH("squat",C310)),K310,""),"")</f>
        <v/>
      </c>
      <c r="O310" s="48" t="str">
        <f aca="false">IFERROR(IF(ISNUMBER(SEARCH("bench",C310)),K310,""),"")</f>
        <v/>
      </c>
      <c r="P310" s="48" t="str">
        <f aca="false">IFERROR(IF(ISNUMBER(SEARCH("deadlift",C310)),K310,""),"")</f>
        <v/>
      </c>
      <c r="V310" s="48" t="n">
        <f aca="false">MAX(V309,IF(N310="",0,N310))</f>
        <v>144.666666666667</v>
      </c>
      <c r="W310" s="48" t="n">
        <f aca="false">MAX(W309,IF(O310="",0,O310))</f>
        <v>99.1666666666667</v>
      </c>
      <c r="X310" s="48" t="n">
        <f aca="false">MAX(X309,IF(P310="",0,P310))</f>
        <v>175.666666666667</v>
      </c>
      <c r="Y310" s="48" t="n">
        <f aca="false">V310+W310+X310</f>
        <v>419.5</v>
      </c>
    </row>
    <row r="311" customFormat="false" ht="15" hidden="false" customHeight="false" outlineLevel="0" collapsed="false">
      <c r="A311" s="45"/>
      <c r="B311" s="31"/>
      <c r="C311" s="32"/>
      <c r="D311" s="31"/>
      <c r="E311" s="31"/>
      <c r="F311" s="29"/>
      <c r="G311" s="29" t="str">
        <f aca="false">IF(OR(D311="",E311="",F311=""),"",D311*E311*F311)</f>
        <v/>
      </c>
      <c r="H311" s="31"/>
      <c r="I311" s="46" t="str">
        <f aca="false">IF(OR(C311="",K311=""),"",IF(K311&gt;=_xlfn.MAXIFS($K$5:K310,$C$5:C310,C311),"Yes","No"))</f>
        <v/>
      </c>
      <c r="J311" s="32"/>
      <c r="K311" s="47" t="str">
        <f aca="false">IF(OR(E311="",F311=""),"",F311*(1+E311/30))</f>
        <v/>
      </c>
      <c r="L311" s="27" t="str">
        <f aca="false">IF(A311="","",INT((A311-StartDate)/7)+1)</f>
        <v/>
      </c>
      <c r="M311" s="27" t="str">
        <f aca="false">IF(A311="","",TEXT(A311,"mmm"))</f>
        <v/>
      </c>
      <c r="N311" s="47" t="str">
        <f aca="false">IFERROR(IF(ISNUMBER(SEARCH("squat",C311)),K311,""),"")</f>
        <v/>
      </c>
      <c r="O311" s="47" t="str">
        <f aca="false">IFERROR(IF(ISNUMBER(SEARCH("bench",C311)),K311,""),"")</f>
        <v/>
      </c>
      <c r="P311" s="47" t="str">
        <f aca="false">IFERROR(IF(ISNUMBER(SEARCH("deadlift",C311)),K311,""),"")</f>
        <v/>
      </c>
      <c r="V311" s="47" t="n">
        <f aca="false">MAX(V310,IF(N311="",0,N311))</f>
        <v>144.666666666667</v>
      </c>
      <c r="W311" s="47" t="n">
        <f aca="false">MAX(W310,IF(O311="",0,O311))</f>
        <v>99.1666666666667</v>
      </c>
      <c r="X311" s="47" t="n">
        <f aca="false">MAX(X310,IF(P311="",0,P311))</f>
        <v>175.666666666667</v>
      </c>
      <c r="Y311" s="47" t="n">
        <f aca="false">V311+W311+X311</f>
        <v>419.5</v>
      </c>
    </row>
    <row r="312" customFormat="false" ht="15" hidden="false" customHeight="false" outlineLevel="0" collapsed="false">
      <c r="A312" s="45"/>
      <c r="B312" s="31"/>
      <c r="C312" s="32"/>
      <c r="D312" s="31"/>
      <c r="E312" s="31"/>
      <c r="F312" s="29"/>
      <c r="G312" s="29" t="str">
        <f aca="false">IF(OR(D312="",E312="",F312=""),"",D312*E312*F312)</f>
        <v/>
      </c>
      <c r="H312" s="31"/>
      <c r="I312" s="36" t="str">
        <f aca="false">IF(OR(C312="",K312=""),"",IF(K312&gt;=_xlfn.MAXIFS($K$5:K311,$C$5:C311,C312),"Yes","No"))</f>
        <v/>
      </c>
      <c r="J312" s="32"/>
      <c r="K312" s="48" t="str">
        <f aca="false">IF(OR(E312="",F312=""),"",F312*(1+E312/30))</f>
        <v/>
      </c>
      <c r="L312" s="36" t="str">
        <f aca="false">IF(A312="","",INT((A312-StartDate)/7)+1)</f>
        <v/>
      </c>
      <c r="M312" s="36" t="str">
        <f aca="false">IF(A312="","",TEXT(A312,"mmm"))</f>
        <v/>
      </c>
      <c r="N312" s="48" t="str">
        <f aca="false">IFERROR(IF(ISNUMBER(SEARCH("squat",C312)),K312,""),"")</f>
        <v/>
      </c>
      <c r="O312" s="48" t="str">
        <f aca="false">IFERROR(IF(ISNUMBER(SEARCH("bench",C312)),K312,""),"")</f>
        <v/>
      </c>
      <c r="P312" s="48" t="str">
        <f aca="false">IFERROR(IF(ISNUMBER(SEARCH("deadlift",C312)),K312,""),"")</f>
        <v/>
      </c>
      <c r="V312" s="48" t="n">
        <f aca="false">MAX(V311,IF(N312="",0,N312))</f>
        <v>144.666666666667</v>
      </c>
      <c r="W312" s="48" t="n">
        <f aca="false">MAX(W311,IF(O312="",0,O312))</f>
        <v>99.1666666666667</v>
      </c>
      <c r="X312" s="48" t="n">
        <f aca="false">MAX(X311,IF(P312="",0,P312))</f>
        <v>175.666666666667</v>
      </c>
      <c r="Y312" s="48" t="n">
        <f aca="false">V312+W312+X312</f>
        <v>419.5</v>
      </c>
    </row>
    <row r="313" customFormat="false" ht="15" hidden="false" customHeight="false" outlineLevel="0" collapsed="false">
      <c r="A313" s="45"/>
      <c r="B313" s="31"/>
      <c r="C313" s="32"/>
      <c r="D313" s="31"/>
      <c r="E313" s="31"/>
      <c r="F313" s="29"/>
      <c r="G313" s="29" t="str">
        <f aca="false">IF(OR(D313="",E313="",F313=""),"",D313*E313*F313)</f>
        <v/>
      </c>
      <c r="H313" s="31"/>
      <c r="I313" s="46" t="str">
        <f aca="false">IF(OR(C313="",K313=""),"",IF(K313&gt;=_xlfn.MAXIFS($K$5:K312,$C$5:C312,C313),"Yes","No"))</f>
        <v/>
      </c>
      <c r="J313" s="32"/>
      <c r="K313" s="47" t="str">
        <f aca="false">IF(OR(E313="",F313=""),"",F313*(1+E313/30))</f>
        <v/>
      </c>
      <c r="L313" s="27" t="str">
        <f aca="false">IF(A313="","",INT((A313-StartDate)/7)+1)</f>
        <v/>
      </c>
      <c r="M313" s="27" t="str">
        <f aca="false">IF(A313="","",TEXT(A313,"mmm"))</f>
        <v/>
      </c>
      <c r="N313" s="47" t="str">
        <f aca="false">IFERROR(IF(ISNUMBER(SEARCH("squat",C313)),K313,""),"")</f>
        <v/>
      </c>
      <c r="O313" s="47" t="str">
        <f aca="false">IFERROR(IF(ISNUMBER(SEARCH("bench",C313)),K313,""),"")</f>
        <v/>
      </c>
      <c r="P313" s="47" t="str">
        <f aca="false">IFERROR(IF(ISNUMBER(SEARCH("deadlift",C313)),K313,""),"")</f>
        <v/>
      </c>
      <c r="V313" s="47" t="n">
        <f aca="false">MAX(V312,IF(N313="",0,N313))</f>
        <v>144.666666666667</v>
      </c>
      <c r="W313" s="47" t="n">
        <f aca="false">MAX(W312,IF(O313="",0,O313))</f>
        <v>99.1666666666667</v>
      </c>
      <c r="X313" s="47" t="n">
        <f aca="false">MAX(X312,IF(P313="",0,P313))</f>
        <v>175.666666666667</v>
      </c>
      <c r="Y313" s="47" t="n">
        <f aca="false">V313+W313+X313</f>
        <v>419.5</v>
      </c>
    </row>
    <row r="314" customFormat="false" ht="15" hidden="false" customHeight="false" outlineLevel="0" collapsed="false">
      <c r="A314" s="45"/>
      <c r="B314" s="31"/>
      <c r="C314" s="32"/>
      <c r="D314" s="31"/>
      <c r="E314" s="31"/>
      <c r="F314" s="29"/>
      <c r="G314" s="29" t="str">
        <f aca="false">IF(OR(D314="",E314="",F314=""),"",D314*E314*F314)</f>
        <v/>
      </c>
      <c r="H314" s="31"/>
      <c r="I314" s="36" t="str">
        <f aca="false">IF(OR(C314="",K314=""),"",IF(K314&gt;=_xlfn.MAXIFS($K$5:K313,$C$5:C313,C314),"Yes","No"))</f>
        <v/>
      </c>
      <c r="J314" s="32"/>
      <c r="K314" s="48" t="str">
        <f aca="false">IF(OR(E314="",F314=""),"",F314*(1+E314/30))</f>
        <v/>
      </c>
      <c r="L314" s="36" t="str">
        <f aca="false">IF(A314="","",INT((A314-StartDate)/7)+1)</f>
        <v/>
      </c>
      <c r="M314" s="36" t="str">
        <f aca="false">IF(A314="","",TEXT(A314,"mmm"))</f>
        <v/>
      </c>
      <c r="N314" s="48" t="str">
        <f aca="false">IFERROR(IF(ISNUMBER(SEARCH("squat",C314)),K314,""),"")</f>
        <v/>
      </c>
      <c r="O314" s="48" t="str">
        <f aca="false">IFERROR(IF(ISNUMBER(SEARCH("bench",C314)),K314,""),"")</f>
        <v/>
      </c>
      <c r="P314" s="48" t="str">
        <f aca="false">IFERROR(IF(ISNUMBER(SEARCH("deadlift",C314)),K314,""),"")</f>
        <v/>
      </c>
      <c r="V314" s="48" t="n">
        <f aca="false">MAX(V313,IF(N314="",0,N314))</f>
        <v>144.666666666667</v>
      </c>
      <c r="W314" s="48" t="n">
        <f aca="false">MAX(W313,IF(O314="",0,O314))</f>
        <v>99.1666666666667</v>
      </c>
      <c r="X314" s="48" t="n">
        <f aca="false">MAX(X313,IF(P314="",0,P314))</f>
        <v>175.666666666667</v>
      </c>
      <c r="Y314" s="48" t="n">
        <f aca="false">V314+W314+X314</f>
        <v>419.5</v>
      </c>
    </row>
    <row r="315" customFormat="false" ht="15" hidden="false" customHeight="false" outlineLevel="0" collapsed="false">
      <c r="A315" s="45"/>
      <c r="B315" s="31"/>
      <c r="C315" s="32"/>
      <c r="D315" s="31"/>
      <c r="E315" s="31"/>
      <c r="F315" s="29"/>
      <c r="G315" s="29" t="str">
        <f aca="false">IF(OR(D315="",E315="",F315=""),"",D315*E315*F315)</f>
        <v/>
      </c>
      <c r="H315" s="31"/>
      <c r="I315" s="46" t="str">
        <f aca="false">IF(OR(C315="",K315=""),"",IF(K315&gt;=_xlfn.MAXIFS($K$5:K314,$C$5:C314,C315),"Yes","No"))</f>
        <v/>
      </c>
      <c r="J315" s="32"/>
      <c r="K315" s="47" t="str">
        <f aca="false">IF(OR(E315="",F315=""),"",F315*(1+E315/30))</f>
        <v/>
      </c>
      <c r="L315" s="27" t="str">
        <f aca="false">IF(A315="","",INT((A315-StartDate)/7)+1)</f>
        <v/>
      </c>
      <c r="M315" s="27" t="str">
        <f aca="false">IF(A315="","",TEXT(A315,"mmm"))</f>
        <v/>
      </c>
      <c r="N315" s="47" t="str">
        <f aca="false">IFERROR(IF(ISNUMBER(SEARCH("squat",C315)),K315,""),"")</f>
        <v/>
      </c>
      <c r="O315" s="47" t="str">
        <f aca="false">IFERROR(IF(ISNUMBER(SEARCH("bench",C315)),K315,""),"")</f>
        <v/>
      </c>
      <c r="P315" s="47" t="str">
        <f aca="false">IFERROR(IF(ISNUMBER(SEARCH("deadlift",C315)),K315,""),"")</f>
        <v/>
      </c>
      <c r="V315" s="47" t="n">
        <f aca="false">MAX(V314,IF(N315="",0,N315))</f>
        <v>144.666666666667</v>
      </c>
      <c r="W315" s="47" t="n">
        <f aca="false">MAX(W314,IF(O315="",0,O315))</f>
        <v>99.1666666666667</v>
      </c>
      <c r="X315" s="47" t="n">
        <f aca="false">MAX(X314,IF(P315="",0,P315))</f>
        <v>175.666666666667</v>
      </c>
      <c r="Y315" s="47" t="n">
        <f aca="false">V315+W315+X315</f>
        <v>419.5</v>
      </c>
    </row>
    <row r="316" customFormat="false" ht="15" hidden="false" customHeight="false" outlineLevel="0" collapsed="false">
      <c r="A316" s="45"/>
      <c r="B316" s="31"/>
      <c r="C316" s="32"/>
      <c r="D316" s="31"/>
      <c r="E316" s="31"/>
      <c r="F316" s="29"/>
      <c r="G316" s="29" t="str">
        <f aca="false">IF(OR(D316="",E316="",F316=""),"",D316*E316*F316)</f>
        <v/>
      </c>
      <c r="H316" s="31"/>
      <c r="I316" s="36" t="str">
        <f aca="false">IF(OR(C316="",K316=""),"",IF(K316&gt;=_xlfn.MAXIFS($K$5:K315,$C$5:C315,C316),"Yes","No"))</f>
        <v/>
      </c>
      <c r="J316" s="32"/>
      <c r="K316" s="48" t="str">
        <f aca="false">IF(OR(E316="",F316=""),"",F316*(1+E316/30))</f>
        <v/>
      </c>
      <c r="L316" s="36" t="str">
        <f aca="false">IF(A316="","",INT((A316-StartDate)/7)+1)</f>
        <v/>
      </c>
      <c r="M316" s="36" t="str">
        <f aca="false">IF(A316="","",TEXT(A316,"mmm"))</f>
        <v/>
      </c>
      <c r="N316" s="48" t="str">
        <f aca="false">IFERROR(IF(ISNUMBER(SEARCH("squat",C316)),K316,""),"")</f>
        <v/>
      </c>
      <c r="O316" s="48" t="str">
        <f aca="false">IFERROR(IF(ISNUMBER(SEARCH("bench",C316)),K316,""),"")</f>
        <v/>
      </c>
      <c r="P316" s="48" t="str">
        <f aca="false">IFERROR(IF(ISNUMBER(SEARCH("deadlift",C316)),K316,""),"")</f>
        <v/>
      </c>
      <c r="V316" s="48" t="n">
        <f aca="false">MAX(V315,IF(N316="",0,N316))</f>
        <v>144.666666666667</v>
      </c>
      <c r="W316" s="48" t="n">
        <f aca="false">MAX(W315,IF(O316="",0,O316))</f>
        <v>99.1666666666667</v>
      </c>
      <c r="X316" s="48" t="n">
        <f aca="false">MAX(X315,IF(P316="",0,P316))</f>
        <v>175.666666666667</v>
      </c>
      <c r="Y316" s="48" t="n">
        <f aca="false">V316+W316+X316</f>
        <v>419.5</v>
      </c>
    </row>
    <row r="317" customFormat="false" ht="15" hidden="false" customHeight="false" outlineLevel="0" collapsed="false">
      <c r="A317" s="45"/>
      <c r="B317" s="31"/>
      <c r="C317" s="32"/>
      <c r="D317" s="31"/>
      <c r="E317" s="31"/>
      <c r="F317" s="29"/>
      <c r="G317" s="29" t="str">
        <f aca="false">IF(OR(D317="",E317="",F317=""),"",D317*E317*F317)</f>
        <v/>
      </c>
      <c r="H317" s="31"/>
      <c r="I317" s="46" t="str">
        <f aca="false">IF(OR(C317="",K317=""),"",IF(K317&gt;=_xlfn.MAXIFS($K$5:K316,$C$5:C316,C317),"Yes","No"))</f>
        <v/>
      </c>
      <c r="J317" s="32"/>
      <c r="K317" s="47" t="str">
        <f aca="false">IF(OR(E317="",F317=""),"",F317*(1+E317/30))</f>
        <v/>
      </c>
      <c r="L317" s="27" t="str">
        <f aca="false">IF(A317="","",INT((A317-StartDate)/7)+1)</f>
        <v/>
      </c>
      <c r="M317" s="27" t="str">
        <f aca="false">IF(A317="","",TEXT(A317,"mmm"))</f>
        <v/>
      </c>
      <c r="N317" s="47" t="str">
        <f aca="false">IFERROR(IF(ISNUMBER(SEARCH("squat",C317)),K317,""),"")</f>
        <v/>
      </c>
      <c r="O317" s="47" t="str">
        <f aca="false">IFERROR(IF(ISNUMBER(SEARCH("bench",C317)),K317,""),"")</f>
        <v/>
      </c>
      <c r="P317" s="47" t="str">
        <f aca="false">IFERROR(IF(ISNUMBER(SEARCH("deadlift",C317)),K317,""),"")</f>
        <v/>
      </c>
      <c r="V317" s="47" t="n">
        <f aca="false">MAX(V316,IF(N317="",0,N317))</f>
        <v>144.666666666667</v>
      </c>
      <c r="W317" s="47" t="n">
        <f aca="false">MAX(W316,IF(O317="",0,O317))</f>
        <v>99.1666666666667</v>
      </c>
      <c r="X317" s="47" t="n">
        <f aca="false">MAX(X316,IF(P317="",0,P317))</f>
        <v>175.666666666667</v>
      </c>
      <c r="Y317" s="47" t="n">
        <f aca="false">V317+W317+X317</f>
        <v>419.5</v>
      </c>
    </row>
    <row r="318" customFormat="false" ht="15" hidden="false" customHeight="false" outlineLevel="0" collapsed="false">
      <c r="A318" s="45"/>
      <c r="B318" s="31"/>
      <c r="C318" s="32"/>
      <c r="D318" s="31"/>
      <c r="E318" s="31"/>
      <c r="F318" s="29"/>
      <c r="G318" s="29" t="str">
        <f aca="false">IF(OR(D318="",E318="",F318=""),"",D318*E318*F318)</f>
        <v/>
      </c>
      <c r="H318" s="31"/>
      <c r="I318" s="36" t="str">
        <f aca="false">IF(OR(C318="",K318=""),"",IF(K318&gt;=_xlfn.MAXIFS($K$5:K317,$C$5:C317,C318),"Yes","No"))</f>
        <v/>
      </c>
      <c r="J318" s="32"/>
      <c r="K318" s="48" t="str">
        <f aca="false">IF(OR(E318="",F318=""),"",F318*(1+E318/30))</f>
        <v/>
      </c>
      <c r="L318" s="36" t="str">
        <f aca="false">IF(A318="","",INT((A318-StartDate)/7)+1)</f>
        <v/>
      </c>
      <c r="M318" s="36" t="str">
        <f aca="false">IF(A318="","",TEXT(A318,"mmm"))</f>
        <v/>
      </c>
      <c r="N318" s="48" t="str">
        <f aca="false">IFERROR(IF(ISNUMBER(SEARCH("squat",C318)),K318,""),"")</f>
        <v/>
      </c>
      <c r="O318" s="48" t="str">
        <f aca="false">IFERROR(IF(ISNUMBER(SEARCH("bench",C318)),K318,""),"")</f>
        <v/>
      </c>
      <c r="P318" s="48" t="str">
        <f aca="false">IFERROR(IF(ISNUMBER(SEARCH("deadlift",C318)),K318,""),"")</f>
        <v/>
      </c>
      <c r="V318" s="48" t="n">
        <f aca="false">MAX(V317,IF(N318="",0,N318))</f>
        <v>144.666666666667</v>
      </c>
      <c r="W318" s="48" t="n">
        <f aca="false">MAX(W317,IF(O318="",0,O318))</f>
        <v>99.1666666666667</v>
      </c>
      <c r="X318" s="48" t="n">
        <f aca="false">MAX(X317,IF(P318="",0,P318))</f>
        <v>175.666666666667</v>
      </c>
      <c r="Y318" s="48" t="n">
        <f aca="false">V318+W318+X318</f>
        <v>419.5</v>
      </c>
    </row>
    <row r="319" customFormat="false" ht="15" hidden="false" customHeight="false" outlineLevel="0" collapsed="false">
      <c r="A319" s="45"/>
      <c r="B319" s="31"/>
      <c r="C319" s="32"/>
      <c r="D319" s="31"/>
      <c r="E319" s="31"/>
      <c r="F319" s="29"/>
      <c r="G319" s="29" t="str">
        <f aca="false">IF(OR(D319="",E319="",F319=""),"",D319*E319*F319)</f>
        <v/>
      </c>
      <c r="H319" s="31"/>
      <c r="I319" s="46" t="str">
        <f aca="false">IF(OR(C319="",K319=""),"",IF(K319&gt;=_xlfn.MAXIFS($K$5:K318,$C$5:C318,C319),"Yes","No"))</f>
        <v/>
      </c>
      <c r="J319" s="32"/>
      <c r="K319" s="47" t="str">
        <f aca="false">IF(OR(E319="",F319=""),"",F319*(1+E319/30))</f>
        <v/>
      </c>
      <c r="L319" s="27" t="str">
        <f aca="false">IF(A319="","",INT((A319-StartDate)/7)+1)</f>
        <v/>
      </c>
      <c r="M319" s="27" t="str">
        <f aca="false">IF(A319="","",TEXT(A319,"mmm"))</f>
        <v/>
      </c>
      <c r="N319" s="47" t="str">
        <f aca="false">IFERROR(IF(ISNUMBER(SEARCH("squat",C319)),K319,""),"")</f>
        <v/>
      </c>
      <c r="O319" s="47" t="str">
        <f aca="false">IFERROR(IF(ISNUMBER(SEARCH("bench",C319)),K319,""),"")</f>
        <v/>
      </c>
      <c r="P319" s="47" t="str">
        <f aca="false">IFERROR(IF(ISNUMBER(SEARCH("deadlift",C319)),K319,""),"")</f>
        <v/>
      </c>
      <c r="V319" s="47" t="n">
        <f aca="false">MAX(V318,IF(N319="",0,N319))</f>
        <v>144.666666666667</v>
      </c>
      <c r="W319" s="47" t="n">
        <f aca="false">MAX(W318,IF(O319="",0,O319))</f>
        <v>99.1666666666667</v>
      </c>
      <c r="X319" s="47" t="n">
        <f aca="false">MAX(X318,IF(P319="",0,P319))</f>
        <v>175.666666666667</v>
      </c>
      <c r="Y319" s="47" t="n">
        <f aca="false">V319+W319+X319</f>
        <v>419.5</v>
      </c>
    </row>
    <row r="320" customFormat="false" ht="15" hidden="false" customHeight="false" outlineLevel="0" collapsed="false">
      <c r="A320" s="45"/>
      <c r="B320" s="31"/>
      <c r="C320" s="32"/>
      <c r="D320" s="31"/>
      <c r="E320" s="31"/>
      <c r="F320" s="29"/>
      <c r="G320" s="29" t="str">
        <f aca="false">IF(OR(D320="",E320="",F320=""),"",D320*E320*F320)</f>
        <v/>
      </c>
      <c r="H320" s="31"/>
      <c r="I320" s="36" t="str">
        <f aca="false">IF(OR(C320="",K320=""),"",IF(K320&gt;=_xlfn.MAXIFS($K$5:K319,$C$5:C319,C320),"Yes","No"))</f>
        <v/>
      </c>
      <c r="J320" s="32"/>
      <c r="K320" s="48" t="str">
        <f aca="false">IF(OR(E320="",F320=""),"",F320*(1+E320/30))</f>
        <v/>
      </c>
      <c r="L320" s="36" t="str">
        <f aca="false">IF(A320="","",INT((A320-StartDate)/7)+1)</f>
        <v/>
      </c>
      <c r="M320" s="36" t="str">
        <f aca="false">IF(A320="","",TEXT(A320,"mmm"))</f>
        <v/>
      </c>
      <c r="N320" s="48" t="str">
        <f aca="false">IFERROR(IF(ISNUMBER(SEARCH("squat",C320)),K320,""),"")</f>
        <v/>
      </c>
      <c r="O320" s="48" t="str">
        <f aca="false">IFERROR(IF(ISNUMBER(SEARCH("bench",C320)),K320,""),"")</f>
        <v/>
      </c>
      <c r="P320" s="48" t="str">
        <f aca="false">IFERROR(IF(ISNUMBER(SEARCH("deadlift",C320)),K320,""),"")</f>
        <v/>
      </c>
      <c r="V320" s="48" t="n">
        <f aca="false">MAX(V319,IF(N320="",0,N320))</f>
        <v>144.666666666667</v>
      </c>
      <c r="W320" s="48" t="n">
        <f aca="false">MAX(W319,IF(O320="",0,O320))</f>
        <v>99.1666666666667</v>
      </c>
      <c r="X320" s="48" t="n">
        <f aca="false">MAX(X319,IF(P320="",0,P320))</f>
        <v>175.666666666667</v>
      </c>
      <c r="Y320" s="48" t="n">
        <f aca="false">V320+W320+X320</f>
        <v>419.5</v>
      </c>
    </row>
    <row r="321" customFormat="false" ht="15" hidden="false" customHeight="false" outlineLevel="0" collapsed="false">
      <c r="A321" s="45"/>
      <c r="B321" s="31"/>
      <c r="C321" s="32"/>
      <c r="D321" s="31"/>
      <c r="E321" s="31"/>
      <c r="F321" s="29"/>
      <c r="G321" s="29" t="str">
        <f aca="false">IF(OR(D321="",E321="",F321=""),"",D321*E321*F321)</f>
        <v/>
      </c>
      <c r="H321" s="31"/>
      <c r="I321" s="46" t="str">
        <f aca="false">IF(OR(C321="",K321=""),"",IF(K321&gt;=_xlfn.MAXIFS($K$5:K320,$C$5:C320,C321),"Yes","No"))</f>
        <v/>
      </c>
      <c r="J321" s="32"/>
      <c r="K321" s="47" t="str">
        <f aca="false">IF(OR(E321="",F321=""),"",F321*(1+E321/30))</f>
        <v/>
      </c>
      <c r="L321" s="27" t="str">
        <f aca="false">IF(A321="","",INT((A321-StartDate)/7)+1)</f>
        <v/>
      </c>
      <c r="M321" s="27" t="str">
        <f aca="false">IF(A321="","",TEXT(A321,"mmm"))</f>
        <v/>
      </c>
      <c r="N321" s="47" t="str">
        <f aca="false">IFERROR(IF(ISNUMBER(SEARCH("squat",C321)),K321,""),"")</f>
        <v/>
      </c>
      <c r="O321" s="47" t="str">
        <f aca="false">IFERROR(IF(ISNUMBER(SEARCH("bench",C321)),K321,""),"")</f>
        <v/>
      </c>
      <c r="P321" s="47" t="str">
        <f aca="false">IFERROR(IF(ISNUMBER(SEARCH("deadlift",C321)),K321,""),"")</f>
        <v/>
      </c>
      <c r="V321" s="47" t="n">
        <f aca="false">MAX(V320,IF(N321="",0,N321))</f>
        <v>144.666666666667</v>
      </c>
      <c r="W321" s="47" t="n">
        <f aca="false">MAX(W320,IF(O321="",0,O321))</f>
        <v>99.1666666666667</v>
      </c>
      <c r="X321" s="47" t="n">
        <f aca="false">MAX(X320,IF(P321="",0,P321))</f>
        <v>175.666666666667</v>
      </c>
      <c r="Y321" s="47" t="n">
        <f aca="false">V321+W321+X321</f>
        <v>419.5</v>
      </c>
    </row>
    <row r="322" customFormat="false" ht="15" hidden="false" customHeight="false" outlineLevel="0" collapsed="false">
      <c r="A322" s="45"/>
      <c r="B322" s="31"/>
      <c r="C322" s="32"/>
      <c r="D322" s="31"/>
      <c r="E322" s="31"/>
      <c r="F322" s="29"/>
      <c r="G322" s="29" t="str">
        <f aca="false">IF(OR(D322="",E322="",F322=""),"",D322*E322*F322)</f>
        <v/>
      </c>
      <c r="H322" s="31"/>
      <c r="I322" s="36" t="str">
        <f aca="false">IF(OR(C322="",K322=""),"",IF(K322&gt;=_xlfn.MAXIFS($K$5:K321,$C$5:C321,C322),"Yes","No"))</f>
        <v/>
      </c>
      <c r="J322" s="32"/>
      <c r="K322" s="48" t="str">
        <f aca="false">IF(OR(E322="",F322=""),"",F322*(1+E322/30))</f>
        <v/>
      </c>
      <c r="L322" s="36" t="str">
        <f aca="false">IF(A322="","",INT((A322-StartDate)/7)+1)</f>
        <v/>
      </c>
      <c r="M322" s="36" t="str">
        <f aca="false">IF(A322="","",TEXT(A322,"mmm"))</f>
        <v/>
      </c>
      <c r="N322" s="48" t="str">
        <f aca="false">IFERROR(IF(ISNUMBER(SEARCH("squat",C322)),K322,""),"")</f>
        <v/>
      </c>
      <c r="O322" s="48" t="str">
        <f aca="false">IFERROR(IF(ISNUMBER(SEARCH("bench",C322)),K322,""),"")</f>
        <v/>
      </c>
      <c r="P322" s="48" t="str">
        <f aca="false">IFERROR(IF(ISNUMBER(SEARCH("deadlift",C322)),K322,""),"")</f>
        <v/>
      </c>
      <c r="V322" s="48" t="n">
        <f aca="false">MAX(V321,IF(N322="",0,N322))</f>
        <v>144.666666666667</v>
      </c>
      <c r="W322" s="48" t="n">
        <f aca="false">MAX(W321,IF(O322="",0,O322))</f>
        <v>99.1666666666667</v>
      </c>
      <c r="X322" s="48" t="n">
        <f aca="false">MAX(X321,IF(P322="",0,P322))</f>
        <v>175.666666666667</v>
      </c>
      <c r="Y322" s="48" t="n">
        <f aca="false">V322+W322+X322</f>
        <v>419.5</v>
      </c>
    </row>
    <row r="323" customFormat="false" ht="15" hidden="false" customHeight="false" outlineLevel="0" collapsed="false">
      <c r="A323" s="45"/>
      <c r="B323" s="31"/>
      <c r="C323" s="32"/>
      <c r="D323" s="31"/>
      <c r="E323" s="31"/>
      <c r="F323" s="29"/>
      <c r="G323" s="29" t="str">
        <f aca="false">IF(OR(D323="",E323="",F323=""),"",D323*E323*F323)</f>
        <v/>
      </c>
      <c r="H323" s="31"/>
      <c r="I323" s="46" t="str">
        <f aca="false">IF(OR(C323="",K323=""),"",IF(K323&gt;=_xlfn.MAXIFS($K$5:K322,$C$5:C322,C323),"Yes","No"))</f>
        <v/>
      </c>
      <c r="J323" s="32"/>
      <c r="K323" s="47" t="str">
        <f aca="false">IF(OR(E323="",F323=""),"",F323*(1+E323/30))</f>
        <v/>
      </c>
      <c r="L323" s="27" t="str">
        <f aca="false">IF(A323="","",INT((A323-StartDate)/7)+1)</f>
        <v/>
      </c>
      <c r="M323" s="27" t="str">
        <f aca="false">IF(A323="","",TEXT(A323,"mmm"))</f>
        <v/>
      </c>
      <c r="N323" s="47" t="str">
        <f aca="false">IFERROR(IF(ISNUMBER(SEARCH("squat",C323)),K323,""),"")</f>
        <v/>
      </c>
      <c r="O323" s="47" t="str">
        <f aca="false">IFERROR(IF(ISNUMBER(SEARCH("bench",C323)),K323,""),"")</f>
        <v/>
      </c>
      <c r="P323" s="47" t="str">
        <f aca="false">IFERROR(IF(ISNUMBER(SEARCH("deadlift",C323)),K323,""),"")</f>
        <v/>
      </c>
      <c r="V323" s="47" t="n">
        <f aca="false">MAX(V322,IF(N323="",0,N323))</f>
        <v>144.666666666667</v>
      </c>
      <c r="W323" s="47" t="n">
        <f aca="false">MAX(W322,IF(O323="",0,O323))</f>
        <v>99.1666666666667</v>
      </c>
      <c r="X323" s="47" t="n">
        <f aca="false">MAX(X322,IF(P323="",0,P323))</f>
        <v>175.666666666667</v>
      </c>
      <c r="Y323" s="47" t="n">
        <f aca="false">V323+W323+X323</f>
        <v>419.5</v>
      </c>
    </row>
    <row r="324" customFormat="false" ht="15" hidden="false" customHeight="false" outlineLevel="0" collapsed="false">
      <c r="A324" s="45"/>
      <c r="B324" s="31"/>
      <c r="C324" s="32"/>
      <c r="D324" s="31"/>
      <c r="E324" s="31"/>
      <c r="F324" s="29"/>
      <c r="G324" s="29" t="str">
        <f aca="false">IF(OR(D324="",E324="",F324=""),"",D324*E324*F324)</f>
        <v/>
      </c>
      <c r="H324" s="31"/>
      <c r="I324" s="36" t="str">
        <f aca="false">IF(OR(C324="",K324=""),"",IF(K324&gt;=_xlfn.MAXIFS($K$5:K323,$C$5:C323,C324),"Yes","No"))</f>
        <v/>
      </c>
      <c r="J324" s="32"/>
      <c r="K324" s="48" t="str">
        <f aca="false">IF(OR(E324="",F324=""),"",F324*(1+E324/30))</f>
        <v/>
      </c>
      <c r="L324" s="36" t="str">
        <f aca="false">IF(A324="","",INT((A324-StartDate)/7)+1)</f>
        <v/>
      </c>
      <c r="M324" s="36" t="str">
        <f aca="false">IF(A324="","",TEXT(A324,"mmm"))</f>
        <v/>
      </c>
      <c r="N324" s="48" t="str">
        <f aca="false">IFERROR(IF(ISNUMBER(SEARCH("squat",C324)),K324,""),"")</f>
        <v/>
      </c>
      <c r="O324" s="48" t="str">
        <f aca="false">IFERROR(IF(ISNUMBER(SEARCH("bench",C324)),K324,""),"")</f>
        <v/>
      </c>
      <c r="P324" s="48" t="str">
        <f aca="false">IFERROR(IF(ISNUMBER(SEARCH("deadlift",C324)),K324,""),"")</f>
        <v/>
      </c>
      <c r="V324" s="48" t="n">
        <f aca="false">MAX(V323,IF(N324="",0,N324))</f>
        <v>144.666666666667</v>
      </c>
      <c r="W324" s="48" t="n">
        <f aca="false">MAX(W323,IF(O324="",0,O324))</f>
        <v>99.1666666666667</v>
      </c>
      <c r="X324" s="48" t="n">
        <f aca="false">MAX(X323,IF(P324="",0,P324))</f>
        <v>175.666666666667</v>
      </c>
      <c r="Y324" s="48" t="n">
        <f aca="false">V324+W324+X324</f>
        <v>419.5</v>
      </c>
    </row>
    <row r="325" customFormat="false" ht="15" hidden="false" customHeight="false" outlineLevel="0" collapsed="false">
      <c r="A325" s="45"/>
      <c r="B325" s="31"/>
      <c r="C325" s="32"/>
      <c r="D325" s="31"/>
      <c r="E325" s="31"/>
      <c r="F325" s="29"/>
      <c r="G325" s="29" t="str">
        <f aca="false">IF(OR(D325="",E325="",F325=""),"",D325*E325*F325)</f>
        <v/>
      </c>
      <c r="H325" s="31"/>
      <c r="I325" s="46" t="str">
        <f aca="false">IF(OR(C325="",K325=""),"",IF(K325&gt;=_xlfn.MAXIFS($K$5:K324,$C$5:C324,C325),"Yes","No"))</f>
        <v/>
      </c>
      <c r="J325" s="32"/>
      <c r="K325" s="47" t="str">
        <f aca="false">IF(OR(E325="",F325=""),"",F325*(1+E325/30))</f>
        <v/>
      </c>
      <c r="L325" s="27" t="str">
        <f aca="false">IF(A325="","",INT((A325-StartDate)/7)+1)</f>
        <v/>
      </c>
      <c r="M325" s="27" t="str">
        <f aca="false">IF(A325="","",TEXT(A325,"mmm"))</f>
        <v/>
      </c>
      <c r="N325" s="47" t="str">
        <f aca="false">IFERROR(IF(ISNUMBER(SEARCH("squat",C325)),K325,""),"")</f>
        <v/>
      </c>
      <c r="O325" s="47" t="str">
        <f aca="false">IFERROR(IF(ISNUMBER(SEARCH("bench",C325)),K325,""),"")</f>
        <v/>
      </c>
      <c r="P325" s="47" t="str">
        <f aca="false">IFERROR(IF(ISNUMBER(SEARCH("deadlift",C325)),K325,""),"")</f>
        <v/>
      </c>
      <c r="V325" s="47" t="n">
        <f aca="false">MAX(V324,IF(N325="",0,N325))</f>
        <v>144.666666666667</v>
      </c>
      <c r="W325" s="47" t="n">
        <f aca="false">MAX(W324,IF(O325="",0,O325))</f>
        <v>99.1666666666667</v>
      </c>
      <c r="X325" s="47" t="n">
        <f aca="false">MAX(X324,IF(P325="",0,P325))</f>
        <v>175.666666666667</v>
      </c>
      <c r="Y325" s="47" t="n">
        <f aca="false">V325+W325+X325</f>
        <v>419.5</v>
      </c>
    </row>
    <row r="326" customFormat="false" ht="15" hidden="false" customHeight="false" outlineLevel="0" collapsed="false">
      <c r="A326" s="45"/>
      <c r="B326" s="31"/>
      <c r="C326" s="32"/>
      <c r="D326" s="31"/>
      <c r="E326" s="31"/>
      <c r="F326" s="29"/>
      <c r="G326" s="29" t="str">
        <f aca="false">IF(OR(D326="",E326="",F326=""),"",D326*E326*F326)</f>
        <v/>
      </c>
      <c r="H326" s="31"/>
      <c r="I326" s="36" t="str">
        <f aca="false">IF(OR(C326="",K326=""),"",IF(K326&gt;=_xlfn.MAXIFS($K$5:K325,$C$5:C325,C326),"Yes","No"))</f>
        <v/>
      </c>
      <c r="J326" s="32"/>
      <c r="K326" s="48" t="str">
        <f aca="false">IF(OR(E326="",F326=""),"",F326*(1+E326/30))</f>
        <v/>
      </c>
      <c r="L326" s="36" t="str">
        <f aca="false">IF(A326="","",INT((A326-StartDate)/7)+1)</f>
        <v/>
      </c>
      <c r="M326" s="36" t="str">
        <f aca="false">IF(A326="","",TEXT(A326,"mmm"))</f>
        <v/>
      </c>
      <c r="N326" s="48" t="str">
        <f aca="false">IFERROR(IF(ISNUMBER(SEARCH("squat",C326)),K326,""),"")</f>
        <v/>
      </c>
      <c r="O326" s="48" t="str">
        <f aca="false">IFERROR(IF(ISNUMBER(SEARCH("bench",C326)),K326,""),"")</f>
        <v/>
      </c>
      <c r="P326" s="48" t="str">
        <f aca="false">IFERROR(IF(ISNUMBER(SEARCH("deadlift",C326)),K326,""),"")</f>
        <v/>
      </c>
      <c r="V326" s="48" t="n">
        <f aca="false">MAX(V325,IF(N326="",0,N326))</f>
        <v>144.666666666667</v>
      </c>
      <c r="W326" s="48" t="n">
        <f aca="false">MAX(W325,IF(O326="",0,O326))</f>
        <v>99.1666666666667</v>
      </c>
      <c r="X326" s="48" t="n">
        <f aca="false">MAX(X325,IF(P326="",0,P326))</f>
        <v>175.666666666667</v>
      </c>
      <c r="Y326" s="48" t="n">
        <f aca="false">V326+W326+X326</f>
        <v>419.5</v>
      </c>
    </row>
    <row r="327" customFormat="false" ht="15" hidden="false" customHeight="false" outlineLevel="0" collapsed="false">
      <c r="A327" s="45"/>
      <c r="B327" s="31"/>
      <c r="C327" s="32"/>
      <c r="D327" s="31"/>
      <c r="E327" s="31"/>
      <c r="F327" s="29"/>
      <c r="G327" s="29" t="str">
        <f aca="false">IF(OR(D327="",E327="",F327=""),"",D327*E327*F327)</f>
        <v/>
      </c>
      <c r="H327" s="31"/>
      <c r="I327" s="46" t="str">
        <f aca="false">IF(OR(C327="",K327=""),"",IF(K327&gt;=_xlfn.MAXIFS($K$5:K326,$C$5:C326,C327),"Yes","No"))</f>
        <v/>
      </c>
      <c r="J327" s="32"/>
      <c r="K327" s="47" t="str">
        <f aca="false">IF(OR(E327="",F327=""),"",F327*(1+E327/30))</f>
        <v/>
      </c>
      <c r="L327" s="27" t="str">
        <f aca="false">IF(A327="","",INT((A327-StartDate)/7)+1)</f>
        <v/>
      </c>
      <c r="M327" s="27" t="str">
        <f aca="false">IF(A327="","",TEXT(A327,"mmm"))</f>
        <v/>
      </c>
      <c r="N327" s="47" t="str">
        <f aca="false">IFERROR(IF(ISNUMBER(SEARCH("squat",C327)),K327,""),"")</f>
        <v/>
      </c>
      <c r="O327" s="47" t="str">
        <f aca="false">IFERROR(IF(ISNUMBER(SEARCH("bench",C327)),K327,""),"")</f>
        <v/>
      </c>
      <c r="P327" s="47" t="str">
        <f aca="false">IFERROR(IF(ISNUMBER(SEARCH("deadlift",C327)),K327,""),"")</f>
        <v/>
      </c>
      <c r="V327" s="47" t="n">
        <f aca="false">MAX(V326,IF(N327="",0,N327))</f>
        <v>144.666666666667</v>
      </c>
      <c r="W327" s="47" t="n">
        <f aca="false">MAX(W326,IF(O327="",0,O327))</f>
        <v>99.1666666666667</v>
      </c>
      <c r="X327" s="47" t="n">
        <f aca="false">MAX(X326,IF(P327="",0,P327))</f>
        <v>175.666666666667</v>
      </c>
      <c r="Y327" s="47" t="n">
        <f aca="false">V327+W327+X327</f>
        <v>419.5</v>
      </c>
    </row>
    <row r="328" customFormat="false" ht="15" hidden="false" customHeight="false" outlineLevel="0" collapsed="false">
      <c r="A328" s="45"/>
      <c r="B328" s="31"/>
      <c r="C328" s="32"/>
      <c r="D328" s="31"/>
      <c r="E328" s="31"/>
      <c r="F328" s="29"/>
      <c r="G328" s="29" t="str">
        <f aca="false">IF(OR(D328="",E328="",F328=""),"",D328*E328*F328)</f>
        <v/>
      </c>
      <c r="H328" s="31"/>
      <c r="I328" s="36" t="str">
        <f aca="false">IF(OR(C328="",K328=""),"",IF(K328&gt;=_xlfn.MAXIFS($K$5:K327,$C$5:C327,C328),"Yes","No"))</f>
        <v/>
      </c>
      <c r="J328" s="32"/>
      <c r="K328" s="48" t="str">
        <f aca="false">IF(OR(E328="",F328=""),"",F328*(1+E328/30))</f>
        <v/>
      </c>
      <c r="L328" s="36" t="str">
        <f aca="false">IF(A328="","",INT((A328-StartDate)/7)+1)</f>
        <v/>
      </c>
      <c r="M328" s="36" t="str">
        <f aca="false">IF(A328="","",TEXT(A328,"mmm"))</f>
        <v/>
      </c>
      <c r="N328" s="48" t="str">
        <f aca="false">IFERROR(IF(ISNUMBER(SEARCH("squat",C328)),K328,""),"")</f>
        <v/>
      </c>
      <c r="O328" s="48" t="str">
        <f aca="false">IFERROR(IF(ISNUMBER(SEARCH("bench",C328)),K328,""),"")</f>
        <v/>
      </c>
      <c r="P328" s="48" t="str">
        <f aca="false">IFERROR(IF(ISNUMBER(SEARCH("deadlift",C328)),K328,""),"")</f>
        <v/>
      </c>
      <c r="V328" s="48" t="n">
        <f aca="false">MAX(V327,IF(N328="",0,N328))</f>
        <v>144.666666666667</v>
      </c>
      <c r="W328" s="48" t="n">
        <f aca="false">MAX(W327,IF(O328="",0,O328))</f>
        <v>99.1666666666667</v>
      </c>
      <c r="X328" s="48" t="n">
        <f aca="false">MAX(X327,IF(P328="",0,P328))</f>
        <v>175.666666666667</v>
      </c>
      <c r="Y328" s="48" t="n">
        <f aca="false">V328+W328+X328</f>
        <v>419.5</v>
      </c>
    </row>
    <row r="329" customFormat="false" ht="15" hidden="false" customHeight="false" outlineLevel="0" collapsed="false">
      <c r="A329" s="45"/>
      <c r="B329" s="31"/>
      <c r="C329" s="32"/>
      <c r="D329" s="31"/>
      <c r="E329" s="31"/>
      <c r="F329" s="29"/>
      <c r="G329" s="29" t="str">
        <f aca="false">IF(OR(D329="",E329="",F329=""),"",D329*E329*F329)</f>
        <v/>
      </c>
      <c r="H329" s="31"/>
      <c r="I329" s="46" t="str">
        <f aca="false">IF(OR(C329="",K329=""),"",IF(K329&gt;=_xlfn.MAXIFS($K$5:K328,$C$5:C328,C329),"Yes","No"))</f>
        <v/>
      </c>
      <c r="J329" s="32"/>
      <c r="K329" s="47" t="str">
        <f aca="false">IF(OR(E329="",F329=""),"",F329*(1+E329/30))</f>
        <v/>
      </c>
      <c r="L329" s="27" t="str">
        <f aca="false">IF(A329="","",INT((A329-StartDate)/7)+1)</f>
        <v/>
      </c>
      <c r="M329" s="27" t="str">
        <f aca="false">IF(A329="","",TEXT(A329,"mmm"))</f>
        <v/>
      </c>
      <c r="N329" s="47" t="str">
        <f aca="false">IFERROR(IF(ISNUMBER(SEARCH("squat",C329)),K329,""),"")</f>
        <v/>
      </c>
      <c r="O329" s="47" t="str">
        <f aca="false">IFERROR(IF(ISNUMBER(SEARCH("bench",C329)),K329,""),"")</f>
        <v/>
      </c>
      <c r="P329" s="47" t="str">
        <f aca="false">IFERROR(IF(ISNUMBER(SEARCH("deadlift",C329)),K329,""),"")</f>
        <v/>
      </c>
      <c r="V329" s="47" t="n">
        <f aca="false">MAX(V328,IF(N329="",0,N329))</f>
        <v>144.666666666667</v>
      </c>
      <c r="W329" s="47" t="n">
        <f aca="false">MAX(W328,IF(O329="",0,O329))</f>
        <v>99.1666666666667</v>
      </c>
      <c r="X329" s="47" t="n">
        <f aca="false">MAX(X328,IF(P329="",0,P329))</f>
        <v>175.666666666667</v>
      </c>
      <c r="Y329" s="47" t="n">
        <f aca="false">V329+W329+X329</f>
        <v>419.5</v>
      </c>
    </row>
    <row r="330" customFormat="false" ht="15" hidden="false" customHeight="false" outlineLevel="0" collapsed="false">
      <c r="A330" s="45"/>
      <c r="B330" s="31"/>
      <c r="C330" s="32"/>
      <c r="D330" s="31"/>
      <c r="E330" s="31"/>
      <c r="F330" s="29"/>
      <c r="G330" s="29" t="str">
        <f aca="false">IF(OR(D330="",E330="",F330=""),"",D330*E330*F330)</f>
        <v/>
      </c>
      <c r="H330" s="31"/>
      <c r="I330" s="36" t="str">
        <f aca="false">IF(OR(C330="",K330=""),"",IF(K330&gt;=_xlfn.MAXIFS($K$5:K329,$C$5:C329,C330),"Yes","No"))</f>
        <v/>
      </c>
      <c r="J330" s="32"/>
      <c r="K330" s="48" t="str">
        <f aca="false">IF(OR(E330="",F330=""),"",F330*(1+E330/30))</f>
        <v/>
      </c>
      <c r="L330" s="36" t="str">
        <f aca="false">IF(A330="","",INT((A330-StartDate)/7)+1)</f>
        <v/>
      </c>
      <c r="M330" s="36" t="str">
        <f aca="false">IF(A330="","",TEXT(A330,"mmm"))</f>
        <v/>
      </c>
      <c r="N330" s="48" t="str">
        <f aca="false">IFERROR(IF(ISNUMBER(SEARCH("squat",C330)),K330,""),"")</f>
        <v/>
      </c>
      <c r="O330" s="48" t="str">
        <f aca="false">IFERROR(IF(ISNUMBER(SEARCH("bench",C330)),K330,""),"")</f>
        <v/>
      </c>
      <c r="P330" s="48" t="str">
        <f aca="false">IFERROR(IF(ISNUMBER(SEARCH("deadlift",C330)),K330,""),"")</f>
        <v/>
      </c>
      <c r="V330" s="48" t="n">
        <f aca="false">MAX(V329,IF(N330="",0,N330))</f>
        <v>144.666666666667</v>
      </c>
      <c r="W330" s="48" t="n">
        <f aca="false">MAX(W329,IF(O330="",0,O330))</f>
        <v>99.1666666666667</v>
      </c>
      <c r="X330" s="48" t="n">
        <f aca="false">MAX(X329,IF(P330="",0,P330))</f>
        <v>175.666666666667</v>
      </c>
      <c r="Y330" s="48" t="n">
        <f aca="false">V330+W330+X330</f>
        <v>419.5</v>
      </c>
    </row>
    <row r="331" customFormat="false" ht="15" hidden="false" customHeight="false" outlineLevel="0" collapsed="false">
      <c r="A331" s="45"/>
      <c r="B331" s="31"/>
      <c r="C331" s="32"/>
      <c r="D331" s="31"/>
      <c r="E331" s="31"/>
      <c r="F331" s="29"/>
      <c r="G331" s="29" t="str">
        <f aca="false">IF(OR(D331="",E331="",F331=""),"",D331*E331*F331)</f>
        <v/>
      </c>
      <c r="H331" s="31"/>
      <c r="I331" s="46" t="str">
        <f aca="false">IF(OR(C331="",K331=""),"",IF(K331&gt;=_xlfn.MAXIFS($K$5:K330,$C$5:C330,C331),"Yes","No"))</f>
        <v/>
      </c>
      <c r="J331" s="32"/>
      <c r="K331" s="47" t="str">
        <f aca="false">IF(OR(E331="",F331=""),"",F331*(1+E331/30))</f>
        <v/>
      </c>
      <c r="L331" s="27" t="str">
        <f aca="false">IF(A331="","",INT((A331-StartDate)/7)+1)</f>
        <v/>
      </c>
      <c r="M331" s="27" t="str">
        <f aca="false">IF(A331="","",TEXT(A331,"mmm"))</f>
        <v/>
      </c>
      <c r="N331" s="47" t="str">
        <f aca="false">IFERROR(IF(ISNUMBER(SEARCH("squat",C331)),K331,""),"")</f>
        <v/>
      </c>
      <c r="O331" s="47" t="str">
        <f aca="false">IFERROR(IF(ISNUMBER(SEARCH("bench",C331)),K331,""),"")</f>
        <v/>
      </c>
      <c r="P331" s="47" t="str">
        <f aca="false">IFERROR(IF(ISNUMBER(SEARCH("deadlift",C331)),K331,""),"")</f>
        <v/>
      </c>
      <c r="V331" s="47" t="n">
        <f aca="false">MAX(V330,IF(N331="",0,N331))</f>
        <v>144.666666666667</v>
      </c>
      <c r="W331" s="47" t="n">
        <f aca="false">MAX(W330,IF(O331="",0,O331))</f>
        <v>99.1666666666667</v>
      </c>
      <c r="X331" s="47" t="n">
        <f aca="false">MAX(X330,IF(P331="",0,P331))</f>
        <v>175.666666666667</v>
      </c>
      <c r="Y331" s="47" t="n">
        <f aca="false">V331+W331+X331</f>
        <v>419.5</v>
      </c>
    </row>
    <row r="332" customFormat="false" ht="15" hidden="false" customHeight="false" outlineLevel="0" collapsed="false">
      <c r="A332" s="45"/>
      <c r="B332" s="31"/>
      <c r="C332" s="32"/>
      <c r="D332" s="31"/>
      <c r="E332" s="31"/>
      <c r="F332" s="29"/>
      <c r="G332" s="29" t="str">
        <f aca="false">IF(OR(D332="",E332="",F332=""),"",D332*E332*F332)</f>
        <v/>
      </c>
      <c r="H332" s="31"/>
      <c r="I332" s="36" t="str">
        <f aca="false">IF(OR(C332="",K332=""),"",IF(K332&gt;=_xlfn.MAXIFS($K$5:K331,$C$5:C331,C332),"Yes","No"))</f>
        <v/>
      </c>
      <c r="J332" s="32"/>
      <c r="K332" s="48" t="str">
        <f aca="false">IF(OR(E332="",F332=""),"",F332*(1+E332/30))</f>
        <v/>
      </c>
      <c r="L332" s="36" t="str">
        <f aca="false">IF(A332="","",INT((A332-StartDate)/7)+1)</f>
        <v/>
      </c>
      <c r="M332" s="36" t="str">
        <f aca="false">IF(A332="","",TEXT(A332,"mmm"))</f>
        <v/>
      </c>
      <c r="N332" s="48" t="str">
        <f aca="false">IFERROR(IF(ISNUMBER(SEARCH("squat",C332)),K332,""),"")</f>
        <v/>
      </c>
      <c r="O332" s="48" t="str">
        <f aca="false">IFERROR(IF(ISNUMBER(SEARCH("bench",C332)),K332,""),"")</f>
        <v/>
      </c>
      <c r="P332" s="48" t="str">
        <f aca="false">IFERROR(IF(ISNUMBER(SEARCH("deadlift",C332)),K332,""),"")</f>
        <v/>
      </c>
      <c r="V332" s="48" t="n">
        <f aca="false">MAX(V331,IF(N332="",0,N332))</f>
        <v>144.666666666667</v>
      </c>
      <c r="W332" s="48" t="n">
        <f aca="false">MAX(W331,IF(O332="",0,O332))</f>
        <v>99.1666666666667</v>
      </c>
      <c r="X332" s="48" t="n">
        <f aca="false">MAX(X331,IF(P332="",0,P332))</f>
        <v>175.666666666667</v>
      </c>
      <c r="Y332" s="48" t="n">
        <f aca="false">V332+W332+X332</f>
        <v>419.5</v>
      </c>
    </row>
    <row r="333" customFormat="false" ht="15" hidden="false" customHeight="false" outlineLevel="0" collapsed="false">
      <c r="A333" s="45"/>
      <c r="B333" s="31"/>
      <c r="C333" s="32"/>
      <c r="D333" s="31"/>
      <c r="E333" s="31"/>
      <c r="F333" s="29"/>
      <c r="G333" s="29" t="str">
        <f aca="false">IF(OR(D333="",E333="",F333=""),"",D333*E333*F333)</f>
        <v/>
      </c>
      <c r="H333" s="31"/>
      <c r="I333" s="46" t="str">
        <f aca="false">IF(OR(C333="",K333=""),"",IF(K333&gt;=_xlfn.MAXIFS($K$5:K332,$C$5:C332,C333),"Yes","No"))</f>
        <v/>
      </c>
      <c r="J333" s="32"/>
      <c r="K333" s="47" t="str">
        <f aca="false">IF(OR(E333="",F333=""),"",F333*(1+E333/30))</f>
        <v/>
      </c>
      <c r="L333" s="27" t="str">
        <f aca="false">IF(A333="","",INT((A333-StartDate)/7)+1)</f>
        <v/>
      </c>
      <c r="M333" s="27" t="str">
        <f aca="false">IF(A333="","",TEXT(A333,"mmm"))</f>
        <v/>
      </c>
      <c r="N333" s="47" t="str">
        <f aca="false">IFERROR(IF(ISNUMBER(SEARCH("squat",C333)),K333,""),"")</f>
        <v/>
      </c>
      <c r="O333" s="47" t="str">
        <f aca="false">IFERROR(IF(ISNUMBER(SEARCH("bench",C333)),K333,""),"")</f>
        <v/>
      </c>
      <c r="P333" s="47" t="str">
        <f aca="false">IFERROR(IF(ISNUMBER(SEARCH("deadlift",C333)),K333,""),"")</f>
        <v/>
      </c>
      <c r="V333" s="47" t="n">
        <f aca="false">MAX(V332,IF(N333="",0,N333))</f>
        <v>144.666666666667</v>
      </c>
      <c r="W333" s="47" t="n">
        <f aca="false">MAX(W332,IF(O333="",0,O333))</f>
        <v>99.1666666666667</v>
      </c>
      <c r="X333" s="47" t="n">
        <f aca="false">MAX(X332,IF(P333="",0,P333))</f>
        <v>175.666666666667</v>
      </c>
      <c r="Y333" s="47" t="n">
        <f aca="false">V333+W333+X333</f>
        <v>419.5</v>
      </c>
    </row>
    <row r="334" customFormat="false" ht="15" hidden="false" customHeight="false" outlineLevel="0" collapsed="false">
      <c r="A334" s="45"/>
      <c r="B334" s="31"/>
      <c r="C334" s="32"/>
      <c r="D334" s="31"/>
      <c r="E334" s="31"/>
      <c r="F334" s="29"/>
      <c r="G334" s="29" t="str">
        <f aca="false">IF(OR(D334="",E334="",F334=""),"",D334*E334*F334)</f>
        <v/>
      </c>
      <c r="H334" s="31"/>
      <c r="I334" s="36" t="str">
        <f aca="false">IF(OR(C334="",K334=""),"",IF(K334&gt;=_xlfn.MAXIFS($K$5:K333,$C$5:C333,C334),"Yes","No"))</f>
        <v/>
      </c>
      <c r="J334" s="32"/>
      <c r="K334" s="48" t="str">
        <f aca="false">IF(OR(E334="",F334=""),"",F334*(1+E334/30))</f>
        <v/>
      </c>
      <c r="L334" s="36" t="str">
        <f aca="false">IF(A334="","",INT((A334-StartDate)/7)+1)</f>
        <v/>
      </c>
      <c r="M334" s="36" t="str">
        <f aca="false">IF(A334="","",TEXT(A334,"mmm"))</f>
        <v/>
      </c>
      <c r="N334" s="48" t="str">
        <f aca="false">IFERROR(IF(ISNUMBER(SEARCH("squat",C334)),K334,""),"")</f>
        <v/>
      </c>
      <c r="O334" s="48" t="str">
        <f aca="false">IFERROR(IF(ISNUMBER(SEARCH("bench",C334)),K334,""),"")</f>
        <v/>
      </c>
      <c r="P334" s="48" t="str">
        <f aca="false">IFERROR(IF(ISNUMBER(SEARCH("deadlift",C334)),K334,""),"")</f>
        <v/>
      </c>
      <c r="V334" s="48" t="n">
        <f aca="false">MAX(V333,IF(N334="",0,N334))</f>
        <v>144.666666666667</v>
      </c>
      <c r="W334" s="48" t="n">
        <f aca="false">MAX(W333,IF(O334="",0,O334))</f>
        <v>99.1666666666667</v>
      </c>
      <c r="X334" s="48" t="n">
        <f aca="false">MAX(X333,IF(P334="",0,P334))</f>
        <v>175.666666666667</v>
      </c>
      <c r="Y334" s="48" t="n">
        <f aca="false">V334+W334+X334</f>
        <v>419.5</v>
      </c>
    </row>
    <row r="335" customFormat="false" ht="15" hidden="false" customHeight="false" outlineLevel="0" collapsed="false">
      <c r="A335" s="45"/>
      <c r="B335" s="31"/>
      <c r="C335" s="32"/>
      <c r="D335" s="31"/>
      <c r="E335" s="31"/>
      <c r="F335" s="29"/>
      <c r="G335" s="29" t="str">
        <f aca="false">IF(OR(D335="",E335="",F335=""),"",D335*E335*F335)</f>
        <v/>
      </c>
      <c r="H335" s="31"/>
      <c r="I335" s="46" t="str">
        <f aca="false">IF(OR(C335="",K335=""),"",IF(K335&gt;=_xlfn.MAXIFS($K$5:K334,$C$5:C334,C335),"Yes","No"))</f>
        <v/>
      </c>
      <c r="J335" s="32"/>
      <c r="K335" s="47" t="str">
        <f aca="false">IF(OR(E335="",F335=""),"",F335*(1+E335/30))</f>
        <v/>
      </c>
      <c r="L335" s="27" t="str">
        <f aca="false">IF(A335="","",INT((A335-StartDate)/7)+1)</f>
        <v/>
      </c>
      <c r="M335" s="27" t="str">
        <f aca="false">IF(A335="","",TEXT(A335,"mmm"))</f>
        <v/>
      </c>
      <c r="N335" s="47" t="str">
        <f aca="false">IFERROR(IF(ISNUMBER(SEARCH("squat",C335)),K335,""),"")</f>
        <v/>
      </c>
      <c r="O335" s="47" t="str">
        <f aca="false">IFERROR(IF(ISNUMBER(SEARCH("bench",C335)),K335,""),"")</f>
        <v/>
      </c>
      <c r="P335" s="47" t="str">
        <f aca="false">IFERROR(IF(ISNUMBER(SEARCH("deadlift",C335)),K335,""),"")</f>
        <v/>
      </c>
      <c r="V335" s="47" t="n">
        <f aca="false">MAX(V334,IF(N335="",0,N335))</f>
        <v>144.666666666667</v>
      </c>
      <c r="W335" s="47" t="n">
        <f aca="false">MAX(W334,IF(O335="",0,O335))</f>
        <v>99.1666666666667</v>
      </c>
      <c r="X335" s="47" t="n">
        <f aca="false">MAX(X334,IF(P335="",0,P335))</f>
        <v>175.666666666667</v>
      </c>
      <c r="Y335" s="47" t="n">
        <f aca="false">V335+W335+X335</f>
        <v>419.5</v>
      </c>
    </row>
    <row r="336" customFormat="false" ht="15" hidden="false" customHeight="false" outlineLevel="0" collapsed="false">
      <c r="A336" s="45"/>
      <c r="B336" s="31"/>
      <c r="C336" s="32"/>
      <c r="D336" s="31"/>
      <c r="E336" s="31"/>
      <c r="F336" s="29"/>
      <c r="G336" s="29" t="str">
        <f aca="false">IF(OR(D336="",E336="",F336=""),"",D336*E336*F336)</f>
        <v/>
      </c>
      <c r="H336" s="31"/>
      <c r="I336" s="36" t="str">
        <f aca="false">IF(OR(C336="",K336=""),"",IF(K336&gt;=_xlfn.MAXIFS($K$5:K335,$C$5:C335,C336),"Yes","No"))</f>
        <v/>
      </c>
      <c r="J336" s="32"/>
      <c r="K336" s="48" t="str">
        <f aca="false">IF(OR(E336="",F336=""),"",F336*(1+E336/30))</f>
        <v/>
      </c>
      <c r="L336" s="36" t="str">
        <f aca="false">IF(A336="","",INT((A336-StartDate)/7)+1)</f>
        <v/>
      </c>
      <c r="M336" s="36" t="str">
        <f aca="false">IF(A336="","",TEXT(A336,"mmm"))</f>
        <v/>
      </c>
      <c r="N336" s="48" t="str">
        <f aca="false">IFERROR(IF(ISNUMBER(SEARCH("squat",C336)),K336,""),"")</f>
        <v/>
      </c>
      <c r="O336" s="48" t="str">
        <f aca="false">IFERROR(IF(ISNUMBER(SEARCH("bench",C336)),K336,""),"")</f>
        <v/>
      </c>
      <c r="P336" s="48" t="str">
        <f aca="false">IFERROR(IF(ISNUMBER(SEARCH("deadlift",C336)),K336,""),"")</f>
        <v/>
      </c>
      <c r="V336" s="48" t="n">
        <f aca="false">MAX(V335,IF(N336="",0,N336))</f>
        <v>144.666666666667</v>
      </c>
      <c r="W336" s="48" t="n">
        <f aca="false">MAX(W335,IF(O336="",0,O336))</f>
        <v>99.1666666666667</v>
      </c>
      <c r="X336" s="48" t="n">
        <f aca="false">MAX(X335,IF(P336="",0,P336))</f>
        <v>175.666666666667</v>
      </c>
      <c r="Y336" s="48" t="n">
        <f aca="false">V336+W336+X336</f>
        <v>419.5</v>
      </c>
    </row>
    <row r="337" customFormat="false" ht="15" hidden="false" customHeight="false" outlineLevel="0" collapsed="false">
      <c r="A337" s="45"/>
      <c r="B337" s="31"/>
      <c r="C337" s="32"/>
      <c r="D337" s="31"/>
      <c r="E337" s="31"/>
      <c r="F337" s="29"/>
      <c r="G337" s="29" t="str">
        <f aca="false">IF(OR(D337="",E337="",F337=""),"",D337*E337*F337)</f>
        <v/>
      </c>
      <c r="H337" s="31"/>
      <c r="I337" s="46" t="str">
        <f aca="false">IF(OR(C337="",K337=""),"",IF(K337&gt;=_xlfn.MAXIFS($K$5:K336,$C$5:C336,C337),"Yes","No"))</f>
        <v/>
      </c>
      <c r="J337" s="32"/>
      <c r="K337" s="47" t="str">
        <f aca="false">IF(OR(E337="",F337=""),"",F337*(1+E337/30))</f>
        <v/>
      </c>
      <c r="L337" s="27" t="str">
        <f aca="false">IF(A337="","",INT((A337-StartDate)/7)+1)</f>
        <v/>
      </c>
      <c r="M337" s="27" t="str">
        <f aca="false">IF(A337="","",TEXT(A337,"mmm"))</f>
        <v/>
      </c>
      <c r="N337" s="47" t="str">
        <f aca="false">IFERROR(IF(ISNUMBER(SEARCH("squat",C337)),K337,""),"")</f>
        <v/>
      </c>
      <c r="O337" s="47" t="str">
        <f aca="false">IFERROR(IF(ISNUMBER(SEARCH("bench",C337)),K337,""),"")</f>
        <v/>
      </c>
      <c r="P337" s="47" t="str">
        <f aca="false">IFERROR(IF(ISNUMBER(SEARCH("deadlift",C337)),K337,""),"")</f>
        <v/>
      </c>
      <c r="V337" s="47" t="n">
        <f aca="false">MAX(V336,IF(N337="",0,N337))</f>
        <v>144.666666666667</v>
      </c>
      <c r="W337" s="47" t="n">
        <f aca="false">MAX(W336,IF(O337="",0,O337))</f>
        <v>99.1666666666667</v>
      </c>
      <c r="X337" s="47" t="n">
        <f aca="false">MAX(X336,IF(P337="",0,P337))</f>
        <v>175.666666666667</v>
      </c>
      <c r="Y337" s="47" t="n">
        <f aca="false">V337+W337+X337</f>
        <v>419.5</v>
      </c>
    </row>
    <row r="338" customFormat="false" ht="15" hidden="false" customHeight="false" outlineLevel="0" collapsed="false">
      <c r="A338" s="45"/>
      <c r="B338" s="31"/>
      <c r="C338" s="32"/>
      <c r="D338" s="31"/>
      <c r="E338" s="31"/>
      <c r="F338" s="29"/>
      <c r="G338" s="29" t="str">
        <f aca="false">IF(OR(D338="",E338="",F338=""),"",D338*E338*F338)</f>
        <v/>
      </c>
      <c r="H338" s="31"/>
      <c r="I338" s="36" t="str">
        <f aca="false">IF(OR(C338="",K338=""),"",IF(K338&gt;=_xlfn.MAXIFS($K$5:K337,$C$5:C337,C338),"Yes","No"))</f>
        <v/>
      </c>
      <c r="J338" s="32"/>
      <c r="K338" s="48" t="str">
        <f aca="false">IF(OR(E338="",F338=""),"",F338*(1+E338/30))</f>
        <v/>
      </c>
      <c r="L338" s="36" t="str">
        <f aca="false">IF(A338="","",INT((A338-StartDate)/7)+1)</f>
        <v/>
      </c>
      <c r="M338" s="36" t="str">
        <f aca="false">IF(A338="","",TEXT(A338,"mmm"))</f>
        <v/>
      </c>
      <c r="N338" s="48" t="str">
        <f aca="false">IFERROR(IF(ISNUMBER(SEARCH("squat",C338)),K338,""),"")</f>
        <v/>
      </c>
      <c r="O338" s="48" t="str">
        <f aca="false">IFERROR(IF(ISNUMBER(SEARCH("bench",C338)),K338,""),"")</f>
        <v/>
      </c>
      <c r="P338" s="48" t="str">
        <f aca="false">IFERROR(IF(ISNUMBER(SEARCH("deadlift",C338)),K338,""),"")</f>
        <v/>
      </c>
      <c r="V338" s="48" t="n">
        <f aca="false">MAX(V337,IF(N338="",0,N338))</f>
        <v>144.666666666667</v>
      </c>
      <c r="W338" s="48" t="n">
        <f aca="false">MAX(W337,IF(O338="",0,O338))</f>
        <v>99.1666666666667</v>
      </c>
      <c r="X338" s="48" t="n">
        <f aca="false">MAX(X337,IF(P338="",0,P338))</f>
        <v>175.666666666667</v>
      </c>
      <c r="Y338" s="48" t="n">
        <f aca="false">V338+W338+X338</f>
        <v>419.5</v>
      </c>
    </row>
    <row r="339" customFormat="false" ht="15" hidden="false" customHeight="false" outlineLevel="0" collapsed="false">
      <c r="A339" s="45"/>
      <c r="B339" s="31"/>
      <c r="C339" s="32"/>
      <c r="D339" s="31"/>
      <c r="E339" s="31"/>
      <c r="F339" s="29"/>
      <c r="G339" s="29" t="str">
        <f aca="false">IF(OR(D339="",E339="",F339=""),"",D339*E339*F339)</f>
        <v/>
      </c>
      <c r="H339" s="31"/>
      <c r="I339" s="46" t="str">
        <f aca="false">IF(OR(C339="",K339=""),"",IF(K339&gt;=_xlfn.MAXIFS($K$5:K338,$C$5:C338,C339),"Yes","No"))</f>
        <v/>
      </c>
      <c r="J339" s="32"/>
      <c r="K339" s="47" t="str">
        <f aca="false">IF(OR(E339="",F339=""),"",F339*(1+E339/30))</f>
        <v/>
      </c>
      <c r="L339" s="27" t="str">
        <f aca="false">IF(A339="","",INT((A339-StartDate)/7)+1)</f>
        <v/>
      </c>
      <c r="M339" s="27" t="str">
        <f aca="false">IF(A339="","",TEXT(A339,"mmm"))</f>
        <v/>
      </c>
      <c r="N339" s="47" t="str">
        <f aca="false">IFERROR(IF(ISNUMBER(SEARCH("squat",C339)),K339,""),"")</f>
        <v/>
      </c>
      <c r="O339" s="47" t="str">
        <f aca="false">IFERROR(IF(ISNUMBER(SEARCH("bench",C339)),K339,""),"")</f>
        <v/>
      </c>
      <c r="P339" s="47" t="str">
        <f aca="false">IFERROR(IF(ISNUMBER(SEARCH("deadlift",C339)),K339,""),"")</f>
        <v/>
      </c>
      <c r="V339" s="47" t="n">
        <f aca="false">MAX(V338,IF(N339="",0,N339))</f>
        <v>144.666666666667</v>
      </c>
      <c r="W339" s="47" t="n">
        <f aca="false">MAX(W338,IF(O339="",0,O339))</f>
        <v>99.1666666666667</v>
      </c>
      <c r="X339" s="47" t="n">
        <f aca="false">MAX(X338,IF(P339="",0,P339))</f>
        <v>175.666666666667</v>
      </c>
      <c r="Y339" s="47" t="n">
        <f aca="false">V339+W339+X339</f>
        <v>419.5</v>
      </c>
    </row>
    <row r="340" customFormat="false" ht="15" hidden="false" customHeight="false" outlineLevel="0" collapsed="false">
      <c r="A340" s="45"/>
      <c r="B340" s="31"/>
      <c r="C340" s="32"/>
      <c r="D340" s="31"/>
      <c r="E340" s="31"/>
      <c r="F340" s="29"/>
      <c r="G340" s="29" t="str">
        <f aca="false">IF(OR(D340="",E340="",F340=""),"",D340*E340*F340)</f>
        <v/>
      </c>
      <c r="H340" s="31"/>
      <c r="I340" s="36" t="str">
        <f aca="false">IF(OR(C340="",K340=""),"",IF(K340&gt;=_xlfn.MAXIFS($K$5:K339,$C$5:C339,C340),"Yes","No"))</f>
        <v/>
      </c>
      <c r="J340" s="32"/>
      <c r="K340" s="48" t="str">
        <f aca="false">IF(OR(E340="",F340=""),"",F340*(1+E340/30))</f>
        <v/>
      </c>
      <c r="L340" s="36" t="str">
        <f aca="false">IF(A340="","",INT((A340-StartDate)/7)+1)</f>
        <v/>
      </c>
      <c r="M340" s="36" t="str">
        <f aca="false">IF(A340="","",TEXT(A340,"mmm"))</f>
        <v/>
      </c>
      <c r="N340" s="48" t="str">
        <f aca="false">IFERROR(IF(ISNUMBER(SEARCH("squat",C340)),K340,""),"")</f>
        <v/>
      </c>
      <c r="O340" s="48" t="str">
        <f aca="false">IFERROR(IF(ISNUMBER(SEARCH("bench",C340)),K340,""),"")</f>
        <v/>
      </c>
      <c r="P340" s="48" t="str">
        <f aca="false">IFERROR(IF(ISNUMBER(SEARCH("deadlift",C340)),K340,""),"")</f>
        <v/>
      </c>
      <c r="V340" s="48" t="n">
        <f aca="false">MAX(V339,IF(N340="",0,N340))</f>
        <v>144.666666666667</v>
      </c>
      <c r="W340" s="48" t="n">
        <f aca="false">MAX(W339,IF(O340="",0,O340))</f>
        <v>99.1666666666667</v>
      </c>
      <c r="X340" s="48" t="n">
        <f aca="false">MAX(X339,IF(P340="",0,P340))</f>
        <v>175.666666666667</v>
      </c>
      <c r="Y340" s="48" t="n">
        <f aca="false">V340+W340+X340</f>
        <v>419.5</v>
      </c>
    </row>
    <row r="341" customFormat="false" ht="15" hidden="false" customHeight="false" outlineLevel="0" collapsed="false">
      <c r="A341" s="45"/>
      <c r="B341" s="31"/>
      <c r="C341" s="32"/>
      <c r="D341" s="31"/>
      <c r="E341" s="31"/>
      <c r="F341" s="29"/>
      <c r="G341" s="29" t="str">
        <f aca="false">IF(OR(D341="",E341="",F341=""),"",D341*E341*F341)</f>
        <v/>
      </c>
      <c r="H341" s="31"/>
      <c r="I341" s="46" t="str">
        <f aca="false">IF(OR(C341="",K341=""),"",IF(K341&gt;=_xlfn.MAXIFS($K$5:K340,$C$5:C340,C341),"Yes","No"))</f>
        <v/>
      </c>
      <c r="J341" s="32"/>
      <c r="K341" s="47" t="str">
        <f aca="false">IF(OR(E341="",F341=""),"",F341*(1+E341/30))</f>
        <v/>
      </c>
      <c r="L341" s="27" t="str">
        <f aca="false">IF(A341="","",INT((A341-StartDate)/7)+1)</f>
        <v/>
      </c>
      <c r="M341" s="27" t="str">
        <f aca="false">IF(A341="","",TEXT(A341,"mmm"))</f>
        <v/>
      </c>
      <c r="N341" s="47" t="str">
        <f aca="false">IFERROR(IF(ISNUMBER(SEARCH("squat",C341)),K341,""),"")</f>
        <v/>
      </c>
      <c r="O341" s="47" t="str">
        <f aca="false">IFERROR(IF(ISNUMBER(SEARCH("bench",C341)),K341,""),"")</f>
        <v/>
      </c>
      <c r="P341" s="47" t="str">
        <f aca="false">IFERROR(IF(ISNUMBER(SEARCH("deadlift",C341)),K341,""),"")</f>
        <v/>
      </c>
      <c r="V341" s="47" t="n">
        <f aca="false">MAX(V340,IF(N341="",0,N341))</f>
        <v>144.666666666667</v>
      </c>
      <c r="W341" s="47" t="n">
        <f aca="false">MAX(W340,IF(O341="",0,O341))</f>
        <v>99.1666666666667</v>
      </c>
      <c r="X341" s="47" t="n">
        <f aca="false">MAX(X340,IF(P341="",0,P341))</f>
        <v>175.666666666667</v>
      </c>
      <c r="Y341" s="47" t="n">
        <f aca="false">V341+W341+X341</f>
        <v>419.5</v>
      </c>
    </row>
    <row r="342" customFormat="false" ht="15" hidden="false" customHeight="false" outlineLevel="0" collapsed="false">
      <c r="A342" s="45"/>
      <c r="B342" s="31"/>
      <c r="C342" s="32"/>
      <c r="D342" s="31"/>
      <c r="E342" s="31"/>
      <c r="F342" s="29"/>
      <c r="G342" s="29" t="str">
        <f aca="false">IF(OR(D342="",E342="",F342=""),"",D342*E342*F342)</f>
        <v/>
      </c>
      <c r="H342" s="31"/>
      <c r="I342" s="36" t="str">
        <f aca="false">IF(OR(C342="",K342=""),"",IF(K342&gt;=_xlfn.MAXIFS($K$5:K341,$C$5:C341,C342),"Yes","No"))</f>
        <v/>
      </c>
      <c r="J342" s="32"/>
      <c r="K342" s="48" t="str">
        <f aca="false">IF(OR(E342="",F342=""),"",F342*(1+E342/30))</f>
        <v/>
      </c>
      <c r="L342" s="36" t="str">
        <f aca="false">IF(A342="","",INT((A342-StartDate)/7)+1)</f>
        <v/>
      </c>
      <c r="M342" s="36" t="str">
        <f aca="false">IF(A342="","",TEXT(A342,"mmm"))</f>
        <v/>
      </c>
      <c r="N342" s="48" t="str">
        <f aca="false">IFERROR(IF(ISNUMBER(SEARCH("squat",C342)),K342,""),"")</f>
        <v/>
      </c>
      <c r="O342" s="48" t="str">
        <f aca="false">IFERROR(IF(ISNUMBER(SEARCH("bench",C342)),K342,""),"")</f>
        <v/>
      </c>
      <c r="P342" s="48" t="str">
        <f aca="false">IFERROR(IF(ISNUMBER(SEARCH("deadlift",C342)),K342,""),"")</f>
        <v/>
      </c>
      <c r="V342" s="48" t="n">
        <f aca="false">MAX(V341,IF(N342="",0,N342))</f>
        <v>144.666666666667</v>
      </c>
      <c r="W342" s="48" t="n">
        <f aca="false">MAX(W341,IF(O342="",0,O342))</f>
        <v>99.1666666666667</v>
      </c>
      <c r="X342" s="48" t="n">
        <f aca="false">MAX(X341,IF(P342="",0,P342))</f>
        <v>175.666666666667</v>
      </c>
      <c r="Y342" s="48" t="n">
        <f aca="false">V342+W342+X342</f>
        <v>419.5</v>
      </c>
    </row>
    <row r="343" customFormat="false" ht="15" hidden="false" customHeight="false" outlineLevel="0" collapsed="false">
      <c r="A343" s="45"/>
      <c r="B343" s="31"/>
      <c r="C343" s="32"/>
      <c r="D343" s="31"/>
      <c r="E343" s="31"/>
      <c r="F343" s="29"/>
      <c r="G343" s="29" t="str">
        <f aca="false">IF(OR(D343="",E343="",F343=""),"",D343*E343*F343)</f>
        <v/>
      </c>
      <c r="H343" s="31"/>
      <c r="I343" s="46" t="str">
        <f aca="false">IF(OR(C343="",K343=""),"",IF(K343&gt;=_xlfn.MAXIFS($K$5:K342,$C$5:C342,C343),"Yes","No"))</f>
        <v/>
      </c>
      <c r="J343" s="32"/>
      <c r="K343" s="47" t="str">
        <f aca="false">IF(OR(E343="",F343=""),"",F343*(1+E343/30))</f>
        <v/>
      </c>
      <c r="L343" s="27" t="str">
        <f aca="false">IF(A343="","",INT((A343-StartDate)/7)+1)</f>
        <v/>
      </c>
      <c r="M343" s="27" t="str">
        <f aca="false">IF(A343="","",TEXT(A343,"mmm"))</f>
        <v/>
      </c>
      <c r="N343" s="47" t="str">
        <f aca="false">IFERROR(IF(ISNUMBER(SEARCH("squat",C343)),K343,""),"")</f>
        <v/>
      </c>
      <c r="O343" s="47" t="str">
        <f aca="false">IFERROR(IF(ISNUMBER(SEARCH("bench",C343)),K343,""),"")</f>
        <v/>
      </c>
      <c r="P343" s="47" t="str">
        <f aca="false">IFERROR(IF(ISNUMBER(SEARCH("deadlift",C343)),K343,""),"")</f>
        <v/>
      </c>
      <c r="V343" s="47" t="n">
        <f aca="false">MAX(V342,IF(N343="",0,N343))</f>
        <v>144.666666666667</v>
      </c>
      <c r="W343" s="47" t="n">
        <f aca="false">MAX(W342,IF(O343="",0,O343))</f>
        <v>99.1666666666667</v>
      </c>
      <c r="X343" s="47" t="n">
        <f aca="false">MAX(X342,IF(P343="",0,P343))</f>
        <v>175.666666666667</v>
      </c>
      <c r="Y343" s="47" t="n">
        <f aca="false">V343+W343+X343</f>
        <v>419.5</v>
      </c>
    </row>
    <row r="344" customFormat="false" ht="15" hidden="false" customHeight="false" outlineLevel="0" collapsed="false">
      <c r="A344" s="45"/>
      <c r="B344" s="31"/>
      <c r="C344" s="32"/>
      <c r="D344" s="31"/>
      <c r="E344" s="31"/>
      <c r="F344" s="29"/>
      <c r="G344" s="29" t="str">
        <f aca="false">IF(OR(D344="",E344="",F344=""),"",D344*E344*F344)</f>
        <v/>
      </c>
      <c r="H344" s="31"/>
      <c r="I344" s="36" t="str">
        <f aca="false">IF(OR(C344="",K344=""),"",IF(K344&gt;=_xlfn.MAXIFS($K$5:K343,$C$5:C343,C344),"Yes","No"))</f>
        <v/>
      </c>
      <c r="J344" s="32"/>
      <c r="K344" s="48" t="str">
        <f aca="false">IF(OR(E344="",F344=""),"",F344*(1+E344/30))</f>
        <v/>
      </c>
      <c r="L344" s="36" t="str">
        <f aca="false">IF(A344="","",INT((A344-StartDate)/7)+1)</f>
        <v/>
      </c>
      <c r="M344" s="36" t="str">
        <f aca="false">IF(A344="","",TEXT(A344,"mmm"))</f>
        <v/>
      </c>
      <c r="N344" s="48" t="str">
        <f aca="false">IFERROR(IF(ISNUMBER(SEARCH("squat",C344)),K344,""),"")</f>
        <v/>
      </c>
      <c r="O344" s="48" t="str">
        <f aca="false">IFERROR(IF(ISNUMBER(SEARCH("bench",C344)),K344,""),"")</f>
        <v/>
      </c>
      <c r="P344" s="48" t="str">
        <f aca="false">IFERROR(IF(ISNUMBER(SEARCH("deadlift",C344)),K344,""),"")</f>
        <v/>
      </c>
      <c r="V344" s="48" t="n">
        <f aca="false">MAX(V343,IF(N344="",0,N344))</f>
        <v>144.666666666667</v>
      </c>
      <c r="W344" s="48" t="n">
        <f aca="false">MAX(W343,IF(O344="",0,O344))</f>
        <v>99.1666666666667</v>
      </c>
      <c r="X344" s="48" t="n">
        <f aca="false">MAX(X343,IF(P344="",0,P344))</f>
        <v>175.666666666667</v>
      </c>
      <c r="Y344" s="48" t="n">
        <f aca="false">V344+W344+X344</f>
        <v>419.5</v>
      </c>
    </row>
    <row r="345" customFormat="false" ht="15" hidden="false" customHeight="false" outlineLevel="0" collapsed="false">
      <c r="A345" s="45"/>
      <c r="B345" s="31"/>
      <c r="C345" s="32"/>
      <c r="D345" s="31"/>
      <c r="E345" s="31"/>
      <c r="F345" s="29"/>
      <c r="G345" s="29" t="str">
        <f aca="false">IF(OR(D345="",E345="",F345=""),"",D345*E345*F345)</f>
        <v/>
      </c>
      <c r="H345" s="31"/>
      <c r="I345" s="46" t="str">
        <f aca="false">IF(OR(C345="",K345=""),"",IF(K345&gt;=_xlfn.MAXIFS($K$5:K344,$C$5:C344,C345),"Yes","No"))</f>
        <v/>
      </c>
      <c r="J345" s="32"/>
      <c r="K345" s="47" t="str">
        <f aca="false">IF(OR(E345="",F345=""),"",F345*(1+E345/30))</f>
        <v/>
      </c>
      <c r="L345" s="27" t="str">
        <f aca="false">IF(A345="","",INT((A345-StartDate)/7)+1)</f>
        <v/>
      </c>
      <c r="M345" s="27" t="str">
        <f aca="false">IF(A345="","",TEXT(A345,"mmm"))</f>
        <v/>
      </c>
      <c r="N345" s="47" t="str">
        <f aca="false">IFERROR(IF(ISNUMBER(SEARCH("squat",C345)),K345,""),"")</f>
        <v/>
      </c>
      <c r="O345" s="47" t="str">
        <f aca="false">IFERROR(IF(ISNUMBER(SEARCH("bench",C345)),K345,""),"")</f>
        <v/>
      </c>
      <c r="P345" s="47" t="str">
        <f aca="false">IFERROR(IF(ISNUMBER(SEARCH("deadlift",C345)),K345,""),"")</f>
        <v/>
      </c>
      <c r="V345" s="47" t="n">
        <f aca="false">MAX(V344,IF(N345="",0,N345))</f>
        <v>144.666666666667</v>
      </c>
      <c r="W345" s="47" t="n">
        <f aca="false">MAX(W344,IF(O345="",0,O345))</f>
        <v>99.1666666666667</v>
      </c>
      <c r="X345" s="47" t="n">
        <f aca="false">MAX(X344,IF(P345="",0,P345))</f>
        <v>175.666666666667</v>
      </c>
      <c r="Y345" s="47" t="n">
        <f aca="false">V345+W345+X345</f>
        <v>419.5</v>
      </c>
    </row>
    <row r="346" customFormat="false" ht="15" hidden="false" customHeight="false" outlineLevel="0" collapsed="false">
      <c r="A346" s="45"/>
      <c r="B346" s="31"/>
      <c r="C346" s="32"/>
      <c r="D346" s="31"/>
      <c r="E346" s="31"/>
      <c r="F346" s="29"/>
      <c r="G346" s="29" t="str">
        <f aca="false">IF(OR(D346="",E346="",F346=""),"",D346*E346*F346)</f>
        <v/>
      </c>
      <c r="H346" s="31"/>
      <c r="I346" s="36" t="str">
        <f aca="false">IF(OR(C346="",K346=""),"",IF(K346&gt;=_xlfn.MAXIFS($K$5:K345,$C$5:C345,C346),"Yes","No"))</f>
        <v/>
      </c>
      <c r="J346" s="32"/>
      <c r="K346" s="48" t="str">
        <f aca="false">IF(OR(E346="",F346=""),"",F346*(1+E346/30))</f>
        <v/>
      </c>
      <c r="L346" s="36" t="str">
        <f aca="false">IF(A346="","",INT((A346-StartDate)/7)+1)</f>
        <v/>
      </c>
      <c r="M346" s="36" t="str">
        <f aca="false">IF(A346="","",TEXT(A346,"mmm"))</f>
        <v/>
      </c>
      <c r="N346" s="48" t="str">
        <f aca="false">IFERROR(IF(ISNUMBER(SEARCH("squat",C346)),K346,""),"")</f>
        <v/>
      </c>
      <c r="O346" s="48" t="str">
        <f aca="false">IFERROR(IF(ISNUMBER(SEARCH("bench",C346)),K346,""),"")</f>
        <v/>
      </c>
      <c r="P346" s="48" t="str">
        <f aca="false">IFERROR(IF(ISNUMBER(SEARCH("deadlift",C346)),K346,""),"")</f>
        <v/>
      </c>
      <c r="V346" s="48" t="n">
        <f aca="false">MAX(V345,IF(N346="",0,N346))</f>
        <v>144.666666666667</v>
      </c>
      <c r="W346" s="48" t="n">
        <f aca="false">MAX(W345,IF(O346="",0,O346))</f>
        <v>99.1666666666667</v>
      </c>
      <c r="X346" s="48" t="n">
        <f aca="false">MAX(X345,IF(P346="",0,P346))</f>
        <v>175.666666666667</v>
      </c>
      <c r="Y346" s="48" t="n">
        <f aca="false">V346+W346+X346</f>
        <v>419.5</v>
      </c>
    </row>
    <row r="347" customFormat="false" ht="15" hidden="false" customHeight="false" outlineLevel="0" collapsed="false">
      <c r="A347" s="45"/>
      <c r="B347" s="31"/>
      <c r="C347" s="32"/>
      <c r="D347" s="31"/>
      <c r="E347" s="31"/>
      <c r="F347" s="29"/>
      <c r="G347" s="29" t="str">
        <f aca="false">IF(OR(D347="",E347="",F347=""),"",D347*E347*F347)</f>
        <v/>
      </c>
      <c r="H347" s="31"/>
      <c r="I347" s="46" t="str">
        <f aca="false">IF(OR(C347="",K347=""),"",IF(K347&gt;=_xlfn.MAXIFS($K$5:K346,$C$5:C346,C347),"Yes","No"))</f>
        <v/>
      </c>
      <c r="J347" s="32"/>
      <c r="K347" s="47" t="str">
        <f aca="false">IF(OR(E347="",F347=""),"",F347*(1+E347/30))</f>
        <v/>
      </c>
      <c r="L347" s="27" t="str">
        <f aca="false">IF(A347="","",INT((A347-StartDate)/7)+1)</f>
        <v/>
      </c>
      <c r="M347" s="27" t="str">
        <f aca="false">IF(A347="","",TEXT(A347,"mmm"))</f>
        <v/>
      </c>
      <c r="N347" s="47" t="str">
        <f aca="false">IFERROR(IF(ISNUMBER(SEARCH("squat",C347)),K347,""),"")</f>
        <v/>
      </c>
      <c r="O347" s="47" t="str">
        <f aca="false">IFERROR(IF(ISNUMBER(SEARCH("bench",C347)),K347,""),"")</f>
        <v/>
      </c>
      <c r="P347" s="47" t="str">
        <f aca="false">IFERROR(IF(ISNUMBER(SEARCH("deadlift",C347)),K347,""),"")</f>
        <v/>
      </c>
      <c r="V347" s="47" t="n">
        <f aca="false">MAX(V346,IF(N347="",0,N347))</f>
        <v>144.666666666667</v>
      </c>
      <c r="W347" s="47" t="n">
        <f aca="false">MAX(W346,IF(O347="",0,O347))</f>
        <v>99.1666666666667</v>
      </c>
      <c r="X347" s="47" t="n">
        <f aca="false">MAX(X346,IF(P347="",0,P347))</f>
        <v>175.666666666667</v>
      </c>
      <c r="Y347" s="47" t="n">
        <f aca="false">V347+W347+X347</f>
        <v>419.5</v>
      </c>
    </row>
    <row r="348" customFormat="false" ht="15" hidden="false" customHeight="false" outlineLevel="0" collapsed="false">
      <c r="A348" s="45"/>
      <c r="B348" s="31"/>
      <c r="C348" s="32"/>
      <c r="D348" s="31"/>
      <c r="E348" s="31"/>
      <c r="F348" s="29"/>
      <c r="G348" s="29" t="str">
        <f aca="false">IF(OR(D348="",E348="",F348=""),"",D348*E348*F348)</f>
        <v/>
      </c>
      <c r="H348" s="31"/>
      <c r="I348" s="36" t="str">
        <f aca="false">IF(OR(C348="",K348=""),"",IF(K348&gt;=_xlfn.MAXIFS($K$5:K347,$C$5:C347,C348),"Yes","No"))</f>
        <v/>
      </c>
      <c r="J348" s="32"/>
      <c r="K348" s="48" t="str">
        <f aca="false">IF(OR(E348="",F348=""),"",F348*(1+E348/30))</f>
        <v/>
      </c>
      <c r="L348" s="36" t="str">
        <f aca="false">IF(A348="","",INT((A348-StartDate)/7)+1)</f>
        <v/>
      </c>
      <c r="M348" s="36" t="str">
        <f aca="false">IF(A348="","",TEXT(A348,"mmm"))</f>
        <v/>
      </c>
      <c r="N348" s="48" t="str">
        <f aca="false">IFERROR(IF(ISNUMBER(SEARCH("squat",C348)),K348,""),"")</f>
        <v/>
      </c>
      <c r="O348" s="48" t="str">
        <f aca="false">IFERROR(IF(ISNUMBER(SEARCH("bench",C348)),K348,""),"")</f>
        <v/>
      </c>
      <c r="P348" s="48" t="str">
        <f aca="false">IFERROR(IF(ISNUMBER(SEARCH("deadlift",C348)),K348,""),"")</f>
        <v/>
      </c>
      <c r="V348" s="48" t="n">
        <f aca="false">MAX(V347,IF(N348="",0,N348))</f>
        <v>144.666666666667</v>
      </c>
      <c r="W348" s="48" t="n">
        <f aca="false">MAX(W347,IF(O348="",0,O348))</f>
        <v>99.1666666666667</v>
      </c>
      <c r="X348" s="48" t="n">
        <f aca="false">MAX(X347,IF(P348="",0,P348))</f>
        <v>175.666666666667</v>
      </c>
      <c r="Y348" s="48" t="n">
        <f aca="false">V348+W348+X348</f>
        <v>419.5</v>
      </c>
    </row>
    <row r="349" customFormat="false" ht="15" hidden="false" customHeight="false" outlineLevel="0" collapsed="false">
      <c r="A349" s="45"/>
      <c r="B349" s="31"/>
      <c r="C349" s="32"/>
      <c r="D349" s="31"/>
      <c r="E349" s="31"/>
      <c r="F349" s="29"/>
      <c r="G349" s="29" t="str">
        <f aca="false">IF(OR(D349="",E349="",F349=""),"",D349*E349*F349)</f>
        <v/>
      </c>
      <c r="H349" s="31"/>
      <c r="I349" s="46" t="str">
        <f aca="false">IF(OR(C349="",K349=""),"",IF(K349&gt;=_xlfn.MAXIFS($K$5:K348,$C$5:C348,C349),"Yes","No"))</f>
        <v/>
      </c>
      <c r="J349" s="32"/>
      <c r="K349" s="47" t="str">
        <f aca="false">IF(OR(E349="",F349=""),"",F349*(1+E349/30))</f>
        <v/>
      </c>
      <c r="L349" s="27" t="str">
        <f aca="false">IF(A349="","",INT((A349-StartDate)/7)+1)</f>
        <v/>
      </c>
      <c r="M349" s="27" t="str">
        <f aca="false">IF(A349="","",TEXT(A349,"mmm"))</f>
        <v/>
      </c>
      <c r="N349" s="47" t="str">
        <f aca="false">IFERROR(IF(ISNUMBER(SEARCH("squat",C349)),K349,""),"")</f>
        <v/>
      </c>
      <c r="O349" s="47" t="str">
        <f aca="false">IFERROR(IF(ISNUMBER(SEARCH("bench",C349)),K349,""),"")</f>
        <v/>
      </c>
      <c r="P349" s="47" t="str">
        <f aca="false">IFERROR(IF(ISNUMBER(SEARCH("deadlift",C349)),K349,""),"")</f>
        <v/>
      </c>
      <c r="V349" s="47" t="n">
        <f aca="false">MAX(V348,IF(N349="",0,N349))</f>
        <v>144.666666666667</v>
      </c>
      <c r="W349" s="47" t="n">
        <f aca="false">MAX(W348,IF(O349="",0,O349))</f>
        <v>99.1666666666667</v>
      </c>
      <c r="X349" s="47" t="n">
        <f aca="false">MAX(X348,IF(P349="",0,P349))</f>
        <v>175.666666666667</v>
      </c>
      <c r="Y349" s="47" t="n">
        <f aca="false">V349+W349+X349</f>
        <v>419.5</v>
      </c>
    </row>
    <row r="350" customFormat="false" ht="15" hidden="false" customHeight="false" outlineLevel="0" collapsed="false">
      <c r="A350" s="45"/>
      <c r="B350" s="31"/>
      <c r="C350" s="32"/>
      <c r="D350" s="31"/>
      <c r="E350" s="31"/>
      <c r="F350" s="29"/>
      <c r="G350" s="29" t="str">
        <f aca="false">IF(OR(D350="",E350="",F350=""),"",D350*E350*F350)</f>
        <v/>
      </c>
      <c r="H350" s="31"/>
      <c r="I350" s="36" t="str">
        <f aca="false">IF(OR(C350="",K350=""),"",IF(K350&gt;=_xlfn.MAXIFS($K$5:K349,$C$5:C349,C350),"Yes","No"))</f>
        <v/>
      </c>
      <c r="J350" s="32"/>
      <c r="K350" s="48" t="str">
        <f aca="false">IF(OR(E350="",F350=""),"",F350*(1+E350/30))</f>
        <v/>
      </c>
      <c r="L350" s="36" t="str">
        <f aca="false">IF(A350="","",INT((A350-StartDate)/7)+1)</f>
        <v/>
      </c>
      <c r="M350" s="36" t="str">
        <f aca="false">IF(A350="","",TEXT(A350,"mmm"))</f>
        <v/>
      </c>
      <c r="N350" s="48" t="str">
        <f aca="false">IFERROR(IF(ISNUMBER(SEARCH("squat",C350)),K350,""),"")</f>
        <v/>
      </c>
      <c r="O350" s="48" t="str">
        <f aca="false">IFERROR(IF(ISNUMBER(SEARCH("bench",C350)),K350,""),"")</f>
        <v/>
      </c>
      <c r="P350" s="48" t="str">
        <f aca="false">IFERROR(IF(ISNUMBER(SEARCH("deadlift",C350)),K350,""),"")</f>
        <v/>
      </c>
      <c r="V350" s="48" t="n">
        <f aca="false">MAX(V349,IF(N350="",0,N350))</f>
        <v>144.666666666667</v>
      </c>
      <c r="W350" s="48" t="n">
        <f aca="false">MAX(W349,IF(O350="",0,O350))</f>
        <v>99.1666666666667</v>
      </c>
      <c r="X350" s="48" t="n">
        <f aca="false">MAX(X349,IF(P350="",0,P350))</f>
        <v>175.666666666667</v>
      </c>
      <c r="Y350" s="48" t="n">
        <f aca="false">V350+W350+X350</f>
        <v>419.5</v>
      </c>
    </row>
    <row r="351" customFormat="false" ht="15" hidden="false" customHeight="false" outlineLevel="0" collapsed="false">
      <c r="A351" s="45"/>
      <c r="B351" s="31"/>
      <c r="C351" s="32"/>
      <c r="D351" s="31"/>
      <c r="E351" s="31"/>
      <c r="F351" s="29"/>
      <c r="G351" s="29" t="str">
        <f aca="false">IF(OR(D351="",E351="",F351=""),"",D351*E351*F351)</f>
        <v/>
      </c>
      <c r="H351" s="31"/>
      <c r="I351" s="46" t="str">
        <f aca="false">IF(OR(C351="",K351=""),"",IF(K351&gt;=_xlfn.MAXIFS($K$5:K350,$C$5:C350,C351),"Yes","No"))</f>
        <v/>
      </c>
      <c r="J351" s="32"/>
      <c r="K351" s="47" t="str">
        <f aca="false">IF(OR(E351="",F351=""),"",F351*(1+E351/30))</f>
        <v/>
      </c>
      <c r="L351" s="27" t="str">
        <f aca="false">IF(A351="","",INT((A351-StartDate)/7)+1)</f>
        <v/>
      </c>
      <c r="M351" s="27" t="str">
        <f aca="false">IF(A351="","",TEXT(A351,"mmm"))</f>
        <v/>
      </c>
      <c r="N351" s="47" t="str">
        <f aca="false">IFERROR(IF(ISNUMBER(SEARCH("squat",C351)),K351,""),"")</f>
        <v/>
      </c>
      <c r="O351" s="47" t="str">
        <f aca="false">IFERROR(IF(ISNUMBER(SEARCH("bench",C351)),K351,""),"")</f>
        <v/>
      </c>
      <c r="P351" s="47" t="str">
        <f aca="false">IFERROR(IF(ISNUMBER(SEARCH("deadlift",C351)),K351,""),"")</f>
        <v/>
      </c>
      <c r="V351" s="47" t="n">
        <f aca="false">MAX(V350,IF(N351="",0,N351))</f>
        <v>144.666666666667</v>
      </c>
      <c r="W351" s="47" t="n">
        <f aca="false">MAX(W350,IF(O351="",0,O351))</f>
        <v>99.1666666666667</v>
      </c>
      <c r="X351" s="47" t="n">
        <f aca="false">MAX(X350,IF(P351="",0,P351))</f>
        <v>175.666666666667</v>
      </c>
      <c r="Y351" s="47" t="n">
        <f aca="false">V351+W351+X351</f>
        <v>419.5</v>
      </c>
    </row>
    <row r="352" customFormat="false" ht="15" hidden="false" customHeight="false" outlineLevel="0" collapsed="false">
      <c r="A352" s="45"/>
      <c r="B352" s="31"/>
      <c r="C352" s="32"/>
      <c r="D352" s="31"/>
      <c r="E352" s="31"/>
      <c r="F352" s="29"/>
      <c r="G352" s="29" t="str">
        <f aca="false">IF(OR(D352="",E352="",F352=""),"",D352*E352*F352)</f>
        <v/>
      </c>
      <c r="H352" s="31"/>
      <c r="I352" s="36" t="str">
        <f aca="false">IF(OR(C352="",K352=""),"",IF(K352&gt;=_xlfn.MAXIFS($K$5:K351,$C$5:C351,C352),"Yes","No"))</f>
        <v/>
      </c>
      <c r="J352" s="32"/>
      <c r="K352" s="48" t="str">
        <f aca="false">IF(OR(E352="",F352=""),"",F352*(1+E352/30))</f>
        <v/>
      </c>
      <c r="L352" s="36" t="str">
        <f aca="false">IF(A352="","",INT((A352-StartDate)/7)+1)</f>
        <v/>
      </c>
      <c r="M352" s="36" t="str">
        <f aca="false">IF(A352="","",TEXT(A352,"mmm"))</f>
        <v/>
      </c>
      <c r="N352" s="48" t="str">
        <f aca="false">IFERROR(IF(ISNUMBER(SEARCH("squat",C352)),K352,""),"")</f>
        <v/>
      </c>
      <c r="O352" s="48" t="str">
        <f aca="false">IFERROR(IF(ISNUMBER(SEARCH("bench",C352)),K352,""),"")</f>
        <v/>
      </c>
      <c r="P352" s="48" t="str">
        <f aca="false">IFERROR(IF(ISNUMBER(SEARCH("deadlift",C352)),K352,""),"")</f>
        <v/>
      </c>
      <c r="V352" s="48" t="n">
        <f aca="false">MAX(V351,IF(N352="",0,N352))</f>
        <v>144.666666666667</v>
      </c>
      <c r="W352" s="48" t="n">
        <f aca="false">MAX(W351,IF(O352="",0,O352))</f>
        <v>99.1666666666667</v>
      </c>
      <c r="X352" s="48" t="n">
        <f aca="false">MAX(X351,IF(P352="",0,P352))</f>
        <v>175.666666666667</v>
      </c>
      <c r="Y352" s="48" t="n">
        <f aca="false">V352+W352+X352</f>
        <v>419.5</v>
      </c>
    </row>
    <row r="353" customFormat="false" ht="15" hidden="false" customHeight="false" outlineLevel="0" collapsed="false">
      <c r="A353" s="45"/>
      <c r="B353" s="31"/>
      <c r="C353" s="32"/>
      <c r="D353" s="31"/>
      <c r="E353" s="31"/>
      <c r="F353" s="29"/>
      <c r="G353" s="29" t="str">
        <f aca="false">IF(OR(D353="",E353="",F353=""),"",D353*E353*F353)</f>
        <v/>
      </c>
      <c r="H353" s="31"/>
      <c r="I353" s="46" t="str">
        <f aca="false">IF(OR(C353="",K353=""),"",IF(K353&gt;=_xlfn.MAXIFS($K$5:K352,$C$5:C352,C353),"Yes","No"))</f>
        <v/>
      </c>
      <c r="J353" s="32"/>
      <c r="K353" s="47" t="str">
        <f aca="false">IF(OR(E353="",F353=""),"",F353*(1+E353/30))</f>
        <v/>
      </c>
      <c r="L353" s="27" t="str">
        <f aca="false">IF(A353="","",INT((A353-StartDate)/7)+1)</f>
        <v/>
      </c>
      <c r="M353" s="27" t="str">
        <f aca="false">IF(A353="","",TEXT(A353,"mmm"))</f>
        <v/>
      </c>
      <c r="N353" s="47" t="str">
        <f aca="false">IFERROR(IF(ISNUMBER(SEARCH("squat",C353)),K353,""),"")</f>
        <v/>
      </c>
      <c r="O353" s="47" t="str">
        <f aca="false">IFERROR(IF(ISNUMBER(SEARCH("bench",C353)),K353,""),"")</f>
        <v/>
      </c>
      <c r="P353" s="47" t="str">
        <f aca="false">IFERROR(IF(ISNUMBER(SEARCH("deadlift",C353)),K353,""),"")</f>
        <v/>
      </c>
      <c r="V353" s="47" t="n">
        <f aca="false">MAX(V352,IF(N353="",0,N353))</f>
        <v>144.666666666667</v>
      </c>
      <c r="W353" s="47" t="n">
        <f aca="false">MAX(W352,IF(O353="",0,O353))</f>
        <v>99.1666666666667</v>
      </c>
      <c r="X353" s="47" t="n">
        <f aca="false">MAX(X352,IF(P353="",0,P353))</f>
        <v>175.666666666667</v>
      </c>
      <c r="Y353" s="47" t="n">
        <f aca="false">V353+W353+X353</f>
        <v>419.5</v>
      </c>
    </row>
    <row r="354" customFormat="false" ht="15" hidden="false" customHeight="false" outlineLevel="0" collapsed="false">
      <c r="A354" s="45"/>
      <c r="B354" s="31"/>
      <c r="C354" s="32"/>
      <c r="D354" s="31"/>
      <c r="E354" s="31"/>
      <c r="F354" s="29"/>
      <c r="G354" s="29" t="str">
        <f aca="false">IF(OR(D354="",E354="",F354=""),"",D354*E354*F354)</f>
        <v/>
      </c>
      <c r="H354" s="31"/>
      <c r="I354" s="36" t="str">
        <f aca="false">IF(OR(C354="",K354=""),"",IF(K354&gt;=_xlfn.MAXIFS($K$5:K353,$C$5:C353,C354),"Yes","No"))</f>
        <v/>
      </c>
      <c r="J354" s="32"/>
      <c r="K354" s="48" t="str">
        <f aca="false">IF(OR(E354="",F354=""),"",F354*(1+E354/30))</f>
        <v/>
      </c>
      <c r="L354" s="36" t="str">
        <f aca="false">IF(A354="","",INT((A354-StartDate)/7)+1)</f>
        <v/>
      </c>
      <c r="M354" s="36" t="str">
        <f aca="false">IF(A354="","",TEXT(A354,"mmm"))</f>
        <v/>
      </c>
      <c r="N354" s="48" t="str">
        <f aca="false">IFERROR(IF(ISNUMBER(SEARCH("squat",C354)),K354,""),"")</f>
        <v/>
      </c>
      <c r="O354" s="48" t="str">
        <f aca="false">IFERROR(IF(ISNUMBER(SEARCH("bench",C354)),K354,""),"")</f>
        <v/>
      </c>
      <c r="P354" s="48" t="str">
        <f aca="false">IFERROR(IF(ISNUMBER(SEARCH("deadlift",C354)),K354,""),"")</f>
        <v/>
      </c>
      <c r="V354" s="48" t="n">
        <f aca="false">MAX(V353,IF(N354="",0,N354))</f>
        <v>144.666666666667</v>
      </c>
      <c r="W354" s="48" t="n">
        <f aca="false">MAX(W353,IF(O354="",0,O354))</f>
        <v>99.1666666666667</v>
      </c>
      <c r="X354" s="48" t="n">
        <f aca="false">MAX(X353,IF(P354="",0,P354))</f>
        <v>175.666666666667</v>
      </c>
      <c r="Y354" s="48" t="n">
        <f aca="false">V354+W354+X354</f>
        <v>419.5</v>
      </c>
    </row>
    <row r="355" customFormat="false" ht="15" hidden="false" customHeight="false" outlineLevel="0" collapsed="false">
      <c r="A355" s="45"/>
      <c r="B355" s="31"/>
      <c r="C355" s="32"/>
      <c r="D355" s="31"/>
      <c r="E355" s="31"/>
      <c r="F355" s="29"/>
      <c r="G355" s="29" t="str">
        <f aca="false">IF(OR(D355="",E355="",F355=""),"",D355*E355*F355)</f>
        <v/>
      </c>
      <c r="H355" s="31"/>
      <c r="I355" s="46" t="str">
        <f aca="false">IF(OR(C355="",K355=""),"",IF(K355&gt;=_xlfn.MAXIFS($K$5:K354,$C$5:C354,C355),"Yes","No"))</f>
        <v/>
      </c>
      <c r="J355" s="32"/>
      <c r="K355" s="47" t="str">
        <f aca="false">IF(OR(E355="",F355=""),"",F355*(1+E355/30))</f>
        <v/>
      </c>
      <c r="L355" s="27" t="str">
        <f aca="false">IF(A355="","",INT((A355-StartDate)/7)+1)</f>
        <v/>
      </c>
      <c r="M355" s="27" t="str">
        <f aca="false">IF(A355="","",TEXT(A355,"mmm"))</f>
        <v/>
      </c>
      <c r="N355" s="47" t="str">
        <f aca="false">IFERROR(IF(ISNUMBER(SEARCH("squat",C355)),K355,""),"")</f>
        <v/>
      </c>
      <c r="O355" s="47" t="str">
        <f aca="false">IFERROR(IF(ISNUMBER(SEARCH("bench",C355)),K355,""),"")</f>
        <v/>
      </c>
      <c r="P355" s="47" t="str">
        <f aca="false">IFERROR(IF(ISNUMBER(SEARCH("deadlift",C355)),K355,""),"")</f>
        <v/>
      </c>
      <c r="V355" s="47" t="n">
        <f aca="false">MAX(V354,IF(N355="",0,N355))</f>
        <v>144.666666666667</v>
      </c>
      <c r="W355" s="47" t="n">
        <f aca="false">MAX(W354,IF(O355="",0,O355))</f>
        <v>99.1666666666667</v>
      </c>
      <c r="X355" s="47" t="n">
        <f aca="false">MAX(X354,IF(P355="",0,P355))</f>
        <v>175.666666666667</v>
      </c>
      <c r="Y355" s="47" t="n">
        <f aca="false">V355+W355+X355</f>
        <v>419.5</v>
      </c>
    </row>
    <row r="356" customFormat="false" ht="15" hidden="false" customHeight="false" outlineLevel="0" collapsed="false">
      <c r="A356" s="45"/>
      <c r="B356" s="31"/>
      <c r="C356" s="32"/>
      <c r="D356" s="31"/>
      <c r="E356" s="31"/>
      <c r="F356" s="29"/>
      <c r="G356" s="29" t="str">
        <f aca="false">IF(OR(D356="",E356="",F356=""),"",D356*E356*F356)</f>
        <v/>
      </c>
      <c r="H356" s="31"/>
      <c r="I356" s="36" t="str">
        <f aca="false">IF(OR(C356="",K356=""),"",IF(K356&gt;=_xlfn.MAXIFS($K$5:K355,$C$5:C355,C356),"Yes","No"))</f>
        <v/>
      </c>
      <c r="J356" s="32"/>
      <c r="K356" s="48" t="str">
        <f aca="false">IF(OR(E356="",F356=""),"",F356*(1+E356/30))</f>
        <v/>
      </c>
      <c r="L356" s="36" t="str">
        <f aca="false">IF(A356="","",INT((A356-StartDate)/7)+1)</f>
        <v/>
      </c>
      <c r="M356" s="36" t="str">
        <f aca="false">IF(A356="","",TEXT(A356,"mmm"))</f>
        <v/>
      </c>
      <c r="N356" s="48" t="str">
        <f aca="false">IFERROR(IF(ISNUMBER(SEARCH("squat",C356)),K356,""),"")</f>
        <v/>
      </c>
      <c r="O356" s="48" t="str">
        <f aca="false">IFERROR(IF(ISNUMBER(SEARCH("bench",C356)),K356,""),"")</f>
        <v/>
      </c>
      <c r="P356" s="48" t="str">
        <f aca="false">IFERROR(IF(ISNUMBER(SEARCH("deadlift",C356)),K356,""),"")</f>
        <v/>
      </c>
      <c r="V356" s="48" t="n">
        <f aca="false">MAX(V355,IF(N356="",0,N356))</f>
        <v>144.666666666667</v>
      </c>
      <c r="W356" s="48" t="n">
        <f aca="false">MAX(W355,IF(O356="",0,O356))</f>
        <v>99.1666666666667</v>
      </c>
      <c r="X356" s="48" t="n">
        <f aca="false">MAX(X355,IF(P356="",0,P356))</f>
        <v>175.666666666667</v>
      </c>
      <c r="Y356" s="48" t="n">
        <f aca="false">V356+W356+X356</f>
        <v>419.5</v>
      </c>
    </row>
    <row r="357" customFormat="false" ht="15" hidden="false" customHeight="false" outlineLevel="0" collapsed="false">
      <c r="A357" s="45"/>
      <c r="B357" s="31"/>
      <c r="C357" s="32"/>
      <c r="D357" s="31"/>
      <c r="E357" s="31"/>
      <c r="F357" s="29"/>
      <c r="G357" s="29" t="str">
        <f aca="false">IF(OR(D357="",E357="",F357=""),"",D357*E357*F357)</f>
        <v/>
      </c>
      <c r="H357" s="31"/>
      <c r="I357" s="46" t="str">
        <f aca="false">IF(OR(C357="",K357=""),"",IF(K357&gt;=_xlfn.MAXIFS($K$5:K356,$C$5:C356,C357),"Yes","No"))</f>
        <v/>
      </c>
      <c r="J357" s="32"/>
      <c r="K357" s="47" t="str">
        <f aca="false">IF(OR(E357="",F357=""),"",F357*(1+E357/30))</f>
        <v/>
      </c>
      <c r="L357" s="27" t="str">
        <f aca="false">IF(A357="","",INT((A357-StartDate)/7)+1)</f>
        <v/>
      </c>
      <c r="M357" s="27" t="str">
        <f aca="false">IF(A357="","",TEXT(A357,"mmm"))</f>
        <v/>
      </c>
      <c r="N357" s="47" t="str">
        <f aca="false">IFERROR(IF(ISNUMBER(SEARCH("squat",C357)),K357,""),"")</f>
        <v/>
      </c>
      <c r="O357" s="47" t="str">
        <f aca="false">IFERROR(IF(ISNUMBER(SEARCH("bench",C357)),K357,""),"")</f>
        <v/>
      </c>
      <c r="P357" s="47" t="str">
        <f aca="false">IFERROR(IF(ISNUMBER(SEARCH("deadlift",C357)),K357,""),"")</f>
        <v/>
      </c>
      <c r="V357" s="47" t="n">
        <f aca="false">MAX(V356,IF(N357="",0,N357))</f>
        <v>144.666666666667</v>
      </c>
      <c r="W357" s="47" t="n">
        <f aca="false">MAX(W356,IF(O357="",0,O357))</f>
        <v>99.1666666666667</v>
      </c>
      <c r="X357" s="47" t="n">
        <f aca="false">MAX(X356,IF(P357="",0,P357))</f>
        <v>175.666666666667</v>
      </c>
      <c r="Y357" s="47" t="n">
        <f aca="false">V357+W357+X357</f>
        <v>419.5</v>
      </c>
    </row>
    <row r="358" customFormat="false" ht="15" hidden="false" customHeight="false" outlineLevel="0" collapsed="false">
      <c r="A358" s="45"/>
      <c r="B358" s="31"/>
      <c r="C358" s="32"/>
      <c r="D358" s="31"/>
      <c r="E358" s="31"/>
      <c r="F358" s="29"/>
      <c r="G358" s="29" t="str">
        <f aca="false">IF(OR(D358="",E358="",F358=""),"",D358*E358*F358)</f>
        <v/>
      </c>
      <c r="H358" s="31"/>
      <c r="I358" s="36" t="str">
        <f aca="false">IF(OR(C358="",K358=""),"",IF(K358&gt;=_xlfn.MAXIFS($K$5:K357,$C$5:C357,C358),"Yes","No"))</f>
        <v/>
      </c>
      <c r="J358" s="32"/>
      <c r="K358" s="48" t="str">
        <f aca="false">IF(OR(E358="",F358=""),"",F358*(1+E358/30))</f>
        <v/>
      </c>
      <c r="L358" s="36" t="str">
        <f aca="false">IF(A358="","",INT((A358-StartDate)/7)+1)</f>
        <v/>
      </c>
      <c r="M358" s="36" t="str">
        <f aca="false">IF(A358="","",TEXT(A358,"mmm"))</f>
        <v/>
      </c>
      <c r="N358" s="48" t="str">
        <f aca="false">IFERROR(IF(ISNUMBER(SEARCH("squat",C358)),K358,""),"")</f>
        <v/>
      </c>
      <c r="O358" s="48" t="str">
        <f aca="false">IFERROR(IF(ISNUMBER(SEARCH("bench",C358)),K358,""),"")</f>
        <v/>
      </c>
      <c r="P358" s="48" t="str">
        <f aca="false">IFERROR(IF(ISNUMBER(SEARCH("deadlift",C358)),K358,""),"")</f>
        <v/>
      </c>
      <c r="V358" s="48" t="n">
        <f aca="false">MAX(V357,IF(N358="",0,N358))</f>
        <v>144.666666666667</v>
      </c>
      <c r="W358" s="48" t="n">
        <f aca="false">MAX(W357,IF(O358="",0,O358))</f>
        <v>99.1666666666667</v>
      </c>
      <c r="X358" s="48" t="n">
        <f aca="false">MAX(X357,IF(P358="",0,P358))</f>
        <v>175.666666666667</v>
      </c>
      <c r="Y358" s="48" t="n">
        <f aca="false">V358+W358+X358</f>
        <v>419.5</v>
      </c>
    </row>
    <row r="359" customFormat="false" ht="15" hidden="false" customHeight="false" outlineLevel="0" collapsed="false">
      <c r="A359" s="45"/>
      <c r="B359" s="31"/>
      <c r="C359" s="32"/>
      <c r="D359" s="31"/>
      <c r="E359" s="31"/>
      <c r="F359" s="29"/>
      <c r="G359" s="29" t="str">
        <f aca="false">IF(OR(D359="",E359="",F359=""),"",D359*E359*F359)</f>
        <v/>
      </c>
      <c r="H359" s="31"/>
      <c r="I359" s="46" t="str">
        <f aca="false">IF(OR(C359="",K359=""),"",IF(K359&gt;=_xlfn.MAXIFS($K$5:K358,$C$5:C358,C359),"Yes","No"))</f>
        <v/>
      </c>
      <c r="J359" s="32"/>
      <c r="K359" s="47" t="str">
        <f aca="false">IF(OR(E359="",F359=""),"",F359*(1+E359/30))</f>
        <v/>
      </c>
      <c r="L359" s="27" t="str">
        <f aca="false">IF(A359="","",INT((A359-StartDate)/7)+1)</f>
        <v/>
      </c>
      <c r="M359" s="27" t="str">
        <f aca="false">IF(A359="","",TEXT(A359,"mmm"))</f>
        <v/>
      </c>
      <c r="N359" s="47" t="str">
        <f aca="false">IFERROR(IF(ISNUMBER(SEARCH("squat",C359)),K359,""),"")</f>
        <v/>
      </c>
      <c r="O359" s="47" t="str">
        <f aca="false">IFERROR(IF(ISNUMBER(SEARCH("bench",C359)),K359,""),"")</f>
        <v/>
      </c>
      <c r="P359" s="47" t="str">
        <f aca="false">IFERROR(IF(ISNUMBER(SEARCH("deadlift",C359)),K359,""),"")</f>
        <v/>
      </c>
      <c r="V359" s="47" t="n">
        <f aca="false">MAX(V358,IF(N359="",0,N359))</f>
        <v>144.666666666667</v>
      </c>
      <c r="W359" s="47" t="n">
        <f aca="false">MAX(W358,IF(O359="",0,O359))</f>
        <v>99.1666666666667</v>
      </c>
      <c r="X359" s="47" t="n">
        <f aca="false">MAX(X358,IF(P359="",0,P359))</f>
        <v>175.666666666667</v>
      </c>
      <c r="Y359" s="47" t="n">
        <f aca="false">V359+W359+X359</f>
        <v>419.5</v>
      </c>
    </row>
    <row r="360" customFormat="false" ht="15" hidden="false" customHeight="false" outlineLevel="0" collapsed="false">
      <c r="A360" s="45"/>
      <c r="B360" s="31"/>
      <c r="C360" s="32"/>
      <c r="D360" s="31"/>
      <c r="E360" s="31"/>
      <c r="F360" s="29"/>
      <c r="G360" s="29" t="str">
        <f aca="false">IF(OR(D360="",E360="",F360=""),"",D360*E360*F360)</f>
        <v/>
      </c>
      <c r="H360" s="31"/>
      <c r="I360" s="36" t="str">
        <f aca="false">IF(OR(C360="",K360=""),"",IF(K360&gt;=_xlfn.MAXIFS($K$5:K359,$C$5:C359,C360),"Yes","No"))</f>
        <v/>
      </c>
      <c r="J360" s="32"/>
      <c r="K360" s="48" t="str">
        <f aca="false">IF(OR(E360="",F360=""),"",F360*(1+E360/30))</f>
        <v/>
      </c>
      <c r="L360" s="36" t="str">
        <f aca="false">IF(A360="","",INT((A360-StartDate)/7)+1)</f>
        <v/>
      </c>
      <c r="M360" s="36" t="str">
        <f aca="false">IF(A360="","",TEXT(A360,"mmm"))</f>
        <v/>
      </c>
      <c r="N360" s="48" t="str">
        <f aca="false">IFERROR(IF(ISNUMBER(SEARCH("squat",C360)),K360,""),"")</f>
        <v/>
      </c>
      <c r="O360" s="48" t="str">
        <f aca="false">IFERROR(IF(ISNUMBER(SEARCH("bench",C360)),K360,""),"")</f>
        <v/>
      </c>
      <c r="P360" s="48" t="str">
        <f aca="false">IFERROR(IF(ISNUMBER(SEARCH("deadlift",C360)),K360,""),"")</f>
        <v/>
      </c>
      <c r="V360" s="48" t="n">
        <f aca="false">MAX(V359,IF(N360="",0,N360))</f>
        <v>144.666666666667</v>
      </c>
      <c r="W360" s="48" t="n">
        <f aca="false">MAX(W359,IF(O360="",0,O360))</f>
        <v>99.1666666666667</v>
      </c>
      <c r="X360" s="48" t="n">
        <f aca="false">MAX(X359,IF(P360="",0,P360))</f>
        <v>175.666666666667</v>
      </c>
      <c r="Y360" s="48" t="n">
        <f aca="false">V360+W360+X360</f>
        <v>419.5</v>
      </c>
    </row>
    <row r="361" customFormat="false" ht="15" hidden="false" customHeight="false" outlineLevel="0" collapsed="false">
      <c r="A361" s="45"/>
      <c r="B361" s="31"/>
      <c r="C361" s="32"/>
      <c r="D361" s="31"/>
      <c r="E361" s="31"/>
      <c r="F361" s="29"/>
      <c r="G361" s="29" t="str">
        <f aca="false">IF(OR(D361="",E361="",F361=""),"",D361*E361*F361)</f>
        <v/>
      </c>
      <c r="H361" s="31"/>
      <c r="I361" s="46" t="str">
        <f aca="false">IF(OR(C361="",K361=""),"",IF(K361&gt;=_xlfn.MAXIFS($K$5:K360,$C$5:C360,C361),"Yes","No"))</f>
        <v/>
      </c>
      <c r="J361" s="32"/>
      <c r="K361" s="47" t="str">
        <f aca="false">IF(OR(E361="",F361=""),"",F361*(1+E361/30))</f>
        <v/>
      </c>
      <c r="L361" s="27" t="str">
        <f aca="false">IF(A361="","",INT((A361-StartDate)/7)+1)</f>
        <v/>
      </c>
      <c r="M361" s="27" t="str">
        <f aca="false">IF(A361="","",TEXT(A361,"mmm"))</f>
        <v/>
      </c>
      <c r="N361" s="47" t="str">
        <f aca="false">IFERROR(IF(ISNUMBER(SEARCH("squat",C361)),K361,""),"")</f>
        <v/>
      </c>
      <c r="O361" s="47" t="str">
        <f aca="false">IFERROR(IF(ISNUMBER(SEARCH("bench",C361)),K361,""),"")</f>
        <v/>
      </c>
      <c r="P361" s="47" t="str">
        <f aca="false">IFERROR(IF(ISNUMBER(SEARCH("deadlift",C361)),K361,""),"")</f>
        <v/>
      </c>
      <c r="V361" s="47" t="n">
        <f aca="false">MAX(V360,IF(N361="",0,N361))</f>
        <v>144.666666666667</v>
      </c>
      <c r="W361" s="47" t="n">
        <f aca="false">MAX(W360,IF(O361="",0,O361))</f>
        <v>99.1666666666667</v>
      </c>
      <c r="X361" s="47" t="n">
        <f aca="false">MAX(X360,IF(P361="",0,P361))</f>
        <v>175.666666666667</v>
      </c>
      <c r="Y361" s="47" t="n">
        <f aca="false">V361+W361+X361</f>
        <v>419.5</v>
      </c>
    </row>
    <row r="362" customFormat="false" ht="15" hidden="false" customHeight="false" outlineLevel="0" collapsed="false">
      <c r="A362" s="45"/>
      <c r="B362" s="31"/>
      <c r="C362" s="32"/>
      <c r="D362" s="31"/>
      <c r="E362" s="31"/>
      <c r="F362" s="29"/>
      <c r="G362" s="29" t="str">
        <f aca="false">IF(OR(D362="",E362="",F362=""),"",D362*E362*F362)</f>
        <v/>
      </c>
      <c r="H362" s="31"/>
      <c r="I362" s="36" t="str">
        <f aca="false">IF(OR(C362="",K362=""),"",IF(K362&gt;=_xlfn.MAXIFS($K$5:K361,$C$5:C361,C362),"Yes","No"))</f>
        <v/>
      </c>
      <c r="J362" s="32"/>
      <c r="K362" s="48" t="str">
        <f aca="false">IF(OR(E362="",F362=""),"",F362*(1+E362/30))</f>
        <v/>
      </c>
      <c r="L362" s="36" t="str">
        <f aca="false">IF(A362="","",INT((A362-StartDate)/7)+1)</f>
        <v/>
      </c>
      <c r="M362" s="36" t="str">
        <f aca="false">IF(A362="","",TEXT(A362,"mmm"))</f>
        <v/>
      </c>
      <c r="N362" s="48" t="str">
        <f aca="false">IFERROR(IF(ISNUMBER(SEARCH("squat",C362)),K362,""),"")</f>
        <v/>
      </c>
      <c r="O362" s="48" t="str">
        <f aca="false">IFERROR(IF(ISNUMBER(SEARCH("bench",C362)),K362,""),"")</f>
        <v/>
      </c>
      <c r="P362" s="48" t="str">
        <f aca="false">IFERROR(IF(ISNUMBER(SEARCH("deadlift",C362)),K362,""),"")</f>
        <v/>
      </c>
      <c r="V362" s="48" t="n">
        <f aca="false">MAX(V361,IF(N362="",0,N362))</f>
        <v>144.666666666667</v>
      </c>
      <c r="W362" s="48" t="n">
        <f aca="false">MAX(W361,IF(O362="",0,O362))</f>
        <v>99.1666666666667</v>
      </c>
      <c r="X362" s="48" t="n">
        <f aca="false">MAX(X361,IF(P362="",0,P362))</f>
        <v>175.666666666667</v>
      </c>
      <c r="Y362" s="48" t="n">
        <f aca="false">V362+W362+X362</f>
        <v>419.5</v>
      </c>
    </row>
    <row r="363" customFormat="false" ht="15" hidden="false" customHeight="false" outlineLevel="0" collapsed="false">
      <c r="A363" s="45"/>
      <c r="B363" s="31"/>
      <c r="C363" s="32"/>
      <c r="D363" s="31"/>
      <c r="E363" s="31"/>
      <c r="F363" s="29"/>
      <c r="G363" s="29" t="str">
        <f aca="false">IF(OR(D363="",E363="",F363=""),"",D363*E363*F363)</f>
        <v/>
      </c>
      <c r="H363" s="31"/>
      <c r="I363" s="46" t="str">
        <f aca="false">IF(OR(C363="",K363=""),"",IF(K363&gt;=_xlfn.MAXIFS($K$5:K362,$C$5:C362,C363),"Yes","No"))</f>
        <v/>
      </c>
      <c r="J363" s="32"/>
      <c r="K363" s="47" t="str">
        <f aca="false">IF(OR(E363="",F363=""),"",F363*(1+E363/30))</f>
        <v/>
      </c>
      <c r="L363" s="27" t="str">
        <f aca="false">IF(A363="","",INT((A363-StartDate)/7)+1)</f>
        <v/>
      </c>
      <c r="M363" s="27" t="str">
        <f aca="false">IF(A363="","",TEXT(A363,"mmm"))</f>
        <v/>
      </c>
      <c r="N363" s="47" t="str">
        <f aca="false">IFERROR(IF(ISNUMBER(SEARCH("squat",C363)),K363,""),"")</f>
        <v/>
      </c>
      <c r="O363" s="47" t="str">
        <f aca="false">IFERROR(IF(ISNUMBER(SEARCH("bench",C363)),K363,""),"")</f>
        <v/>
      </c>
      <c r="P363" s="47" t="str">
        <f aca="false">IFERROR(IF(ISNUMBER(SEARCH("deadlift",C363)),K363,""),"")</f>
        <v/>
      </c>
      <c r="V363" s="47" t="n">
        <f aca="false">MAX(V362,IF(N363="",0,N363))</f>
        <v>144.666666666667</v>
      </c>
      <c r="W363" s="47" t="n">
        <f aca="false">MAX(W362,IF(O363="",0,O363))</f>
        <v>99.1666666666667</v>
      </c>
      <c r="X363" s="47" t="n">
        <f aca="false">MAX(X362,IF(P363="",0,P363))</f>
        <v>175.666666666667</v>
      </c>
      <c r="Y363" s="47" t="n">
        <f aca="false">V363+W363+X363</f>
        <v>419.5</v>
      </c>
    </row>
    <row r="364" customFormat="false" ht="15" hidden="false" customHeight="false" outlineLevel="0" collapsed="false">
      <c r="A364" s="45"/>
      <c r="B364" s="31"/>
      <c r="C364" s="32"/>
      <c r="D364" s="31"/>
      <c r="E364" s="31"/>
      <c r="F364" s="29"/>
      <c r="G364" s="29" t="str">
        <f aca="false">IF(OR(D364="",E364="",F364=""),"",D364*E364*F364)</f>
        <v/>
      </c>
      <c r="H364" s="31"/>
      <c r="I364" s="36" t="str">
        <f aca="false">IF(OR(C364="",K364=""),"",IF(K364&gt;=_xlfn.MAXIFS($K$5:K363,$C$5:C363,C364),"Yes","No"))</f>
        <v/>
      </c>
      <c r="J364" s="32"/>
      <c r="K364" s="48" t="str">
        <f aca="false">IF(OR(E364="",F364=""),"",F364*(1+E364/30))</f>
        <v/>
      </c>
      <c r="L364" s="36" t="str">
        <f aca="false">IF(A364="","",INT((A364-StartDate)/7)+1)</f>
        <v/>
      </c>
      <c r="M364" s="36" t="str">
        <f aca="false">IF(A364="","",TEXT(A364,"mmm"))</f>
        <v/>
      </c>
      <c r="N364" s="48" t="str">
        <f aca="false">IFERROR(IF(ISNUMBER(SEARCH("squat",C364)),K364,""),"")</f>
        <v/>
      </c>
      <c r="O364" s="48" t="str">
        <f aca="false">IFERROR(IF(ISNUMBER(SEARCH("bench",C364)),K364,""),"")</f>
        <v/>
      </c>
      <c r="P364" s="48" t="str">
        <f aca="false">IFERROR(IF(ISNUMBER(SEARCH("deadlift",C364)),K364,""),"")</f>
        <v/>
      </c>
      <c r="V364" s="48" t="n">
        <f aca="false">MAX(V363,IF(N364="",0,N364))</f>
        <v>144.666666666667</v>
      </c>
      <c r="W364" s="48" t="n">
        <f aca="false">MAX(W363,IF(O364="",0,O364))</f>
        <v>99.1666666666667</v>
      </c>
      <c r="X364" s="48" t="n">
        <f aca="false">MAX(X363,IF(P364="",0,P364))</f>
        <v>175.666666666667</v>
      </c>
      <c r="Y364" s="48" t="n">
        <f aca="false">V364+W364+X364</f>
        <v>419.5</v>
      </c>
    </row>
    <row r="365" customFormat="false" ht="15" hidden="false" customHeight="false" outlineLevel="0" collapsed="false">
      <c r="A365" s="45"/>
      <c r="B365" s="31"/>
      <c r="C365" s="32"/>
      <c r="D365" s="31"/>
      <c r="E365" s="31"/>
      <c r="F365" s="29"/>
      <c r="G365" s="29" t="str">
        <f aca="false">IF(OR(D365="",E365="",F365=""),"",D365*E365*F365)</f>
        <v/>
      </c>
      <c r="H365" s="31"/>
      <c r="I365" s="46" t="str">
        <f aca="false">IF(OR(C365="",K365=""),"",IF(K365&gt;=_xlfn.MAXIFS($K$5:K364,$C$5:C364,C365),"Yes","No"))</f>
        <v/>
      </c>
      <c r="J365" s="32"/>
      <c r="K365" s="47" t="str">
        <f aca="false">IF(OR(E365="",F365=""),"",F365*(1+E365/30))</f>
        <v/>
      </c>
      <c r="L365" s="27" t="str">
        <f aca="false">IF(A365="","",INT((A365-StartDate)/7)+1)</f>
        <v/>
      </c>
      <c r="M365" s="27" t="str">
        <f aca="false">IF(A365="","",TEXT(A365,"mmm"))</f>
        <v/>
      </c>
      <c r="N365" s="47" t="str">
        <f aca="false">IFERROR(IF(ISNUMBER(SEARCH("squat",C365)),K365,""),"")</f>
        <v/>
      </c>
      <c r="O365" s="47" t="str">
        <f aca="false">IFERROR(IF(ISNUMBER(SEARCH("bench",C365)),K365,""),"")</f>
        <v/>
      </c>
      <c r="P365" s="47" t="str">
        <f aca="false">IFERROR(IF(ISNUMBER(SEARCH("deadlift",C365)),K365,""),"")</f>
        <v/>
      </c>
      <c r="V365" s="47" t="n">
        <f aca="false">MAX(V364,IF(N365="",0,N365))</f>
        <v>144.666666666667</v>
      </c>
      <c r="W365" s="47" t="n">
        <f aca="false">MAX(W364,IF(O365="",0,O365))</f>
        <v>99.1666666666667</v>
      </c>
      <c r="X365" s="47" t="n">
        <f aca="false">MAX(X364,IF(P365="",0,P365))</f>
        <v>175.666666666667</v>
      </c>
      <c r="Y365" s="47" t="n">
        <f aca="false">V365+W365+X365</f>
        <v>419.5</v>
      </c>
    </row>
    <row r="366" customFormat="false" ht="15" hidden="false" customHeight="false" outlineLevel="0" collapsed="false">
      <c r="A366" s="45"/>
      <c r="B366" s="31"/>
      <c r="C366" s="32"/>
      <c r="D366" s="31"/>
      <c r="E366" s="31"/>
      <c r="F366" s="29"/>
      <c r="G366" s="29" t="str">
        <f aca="false">IF(OR(D366="",E366="",F366=""),"",D366*E366*F366)</f>
        <v/>
      </c>
      <c r="H366" s="31"/>
      <c r="I366" s="36" t="str">
        <f aca="false">IF(OR(C366="",K366=""),"",IF(K366&gt;=_xlfn.MAXIFS($K$5:K365,$C$5:C365,C366),"Yes","No"))</f>
        <v/>
      </c>
      <c r="J366" s="32"/>
      <c r="K366" s="48" t="str">
        <f aca="false">IF(OR(E366="",F366=""),"",F366*(1+E366/30))</f>
        <v/>
      </c>
      <c r="L366" s="36" t="str">
        <f aca="false">IF(A366="","",INT((A366-StartDate)/7)+1)</f>
        <v/>
      </c>
      <c r="M366" s="36" t="str">
        <f aca="false">IF(A366="","",TEXT(A366,"mmm"))</f>
        <v/>
      </c>
      <c r="N366" s="48" t="str">
        <f aca="false">IFERROR(IF(ISNUMBER(SEARCH("squat",C366)),K366,""),"")</f>
        <v/>
      </c>
      <c r="O366" s="48" t="str">
        <f aca="false">IFERROR(IF(ISNUMBER(SEARCH("bench",C366)),K366,""),"")</f>
        <v/>
      </c>
      <c r="P366" s="48" t="str">
        <f aca="false">IFERROR(IF(ISNUMBER(SEARCH("deadlift",C366)),K366,""),"")</f>
        <v/>
      </c>
      <c r="V366" s="48" t="n">
        <f aca="false">MAX(V365,IF(N366="",0,N366))</f>
        <v>144.666666666667</v>
      </c>
      <c r="W366" s="48" t="n">
        <f aca="false">MAX(W365,IF(O366="",0,O366))</f>
        <v>99.1666666666667</v>
      </c>
      <c r="X366" s="48" t="n">
        <f aca="false">MAX(X365,IF(P366="",0,P366))</f>
        <v>175.666666666667</v>
      </c>
      <c r="Y366" s="48" t="n">
        <f aca="false">V366+W366+X366</f>
        <v>419.5</v>
      </c>
    </row>
    <row r="367" customFormat="false" ht="15" hidden="false" customHeight="false" outlineLevel="0" collapsed="false">
      <c r="A367" s="45"/>
      <c r="B367" s="31"/>
      <c r="C367" s="32"/>
      <c r="D367" s="31"/>
      <c r="E367" s="31"/>
      <c r="F367" s="29"/>
      <c r="G367" s="29" t="str">
        <f aca="false">IF(OR(D367="",E367="",F367=""),"",D367*E367*F367)</f>
        <v/>
      </c>
      <c r="H367" s="31"/>
      <c r="I367" s="46" t="str">
        <f aca="false">IF(OR(C367="",K367=""),"",IF(K367&gt;=_xlfn.MAXIFS($K$5:K366,$C$5:C366,C367),"Yes","No"))</f>
        <v/>
      </c>
      <c r="J367" s="32"/>
      <c r="K367" s="47" t="str">
        <f aca="false">IF(OR(E367="",F367=""),"",F367*(1+E367/30))</f>
        <v/>
      </c>
      <c r="L367" s="27" t="str">
        <f aca="false">IF(A367="","",INT((A367-StartDate)/7)+1)</f>
        <v/>
      </c>
      <c r="M367" s="27" t="str">
        <f aca="false">IF(A367="","",TEXT(A367,"mmm"))</f>
        <v/>
      </c>
      <c r="N367" s="47" t="str">
        <f aca="false">IFERROR(IF(ISNUMBER(SEARCH("squat",C367)),K367,""),"")</f>
        <v/>
      </c>
      <c r="O367" s="47" t="str">
        <f aca="false">IFERROR(IF(ISNUMBER(SEARCH("bench",C367)),K367,""),"")</f>
        <v/>
      </c>
      <c r="P367" s="47" t="str">
        <f aca="false">IFERROR(IF(ISNUMBER(SEARCH("deadlift",C367)),K367,""),"")</f>
        <v/>
      </c>
      <c r="V367" s="47" t="n">
        <f aca="false">MAX(V366,IF(N367="",0,N367))</f>
        <v>144.666666666667</v>
      </c>
      <c r="W367" s="47" t="n">
        <f aca="false">MAX(W366,IF(O367="",0,O367))</f>
        <v>99.1666666666667</v>
      </c>
      <c r="X367" s="47" t="n">
        <f aca="false">MAX(X366,IF(P367="",0,P367))</f>
        <v>175.666666666667</v>
      </c>
      <c r="Y367" s="47" t="n">
        <f aca="false">V367+W367+X367</f>
        <v>419.5</v>
      </c>
    </row>
    <row r="368" customFormat="false" ht="15" hidden="false" customHeight="false" outlineLevel="0" collapsed="false">
      <c r="A368" s="45"/>
      <c r="B368" s="31"/>
      <c r="C368" s="32"/>
      <c r="D368" s="31"/>
      <c r="E368" s="31"/>
      <c r="F368" s="29"/>
      <c r="G368" s="29" t="str">
        <f aca="false">IF(OR(D368="",E368="",F368=""),"",D368*E368*F368)</f>
        <v/>
      </c>
      <c r="H368" s="31"/>
      <c r="I368" s="36" t="str">
        <f aca="false">IF(OR(C368="",K368=""),"",IF(K368&gt;=_xlfn.MAXIFS($K$5:K367,$C$5:C367,C368),"Yes","No"))</f>
        <v/>
      </c>
      <c r="J368" s="32"/>
      <c r="K368" s="48" t="str">
        <f aca="false">IF(OR(E368="",F368=""),"",F368*(1+E368/30))</f>
        <v/>
      </c>
      <c r="L368" s="36" t="str">
        <f aca="false">IF(A368="","",INT((A368-StartDate)/7)+1)</f>
        <v/>
      </c>
      <c r="M368" s="36" t="str">
        <f aca="false">IF(A368="","",TEXT(A368,"mmm"))</f>
        <v/>
      </c>
      <c r="N368" s="48" t="str">
        <f aca="false">IFERROR(IF(ISNUMBER(SEARCH("squat",C368)),K368,""),"")</f>
        <v/>
      </c>
      <c r="O368" s="48" t="str">
        <f aca="false">IFERROR(IF(ISNUMBER(SEARCH("bench",C368)),K368,""),"")</f>
        <v/>
      </c>
      <c r="P368" s="48" t="str">
        <f aca="false">IFERROR(IF(ISNUMBER(SEARCH("deadlift",C368)),K368,""),"")</f>
        <v/>
      </c>
      <c r="V368" s="48" t="n">
        <f aca="false">MAX(V367,IF(N368="",0,N368))</f>
        <v>144.666666666667</v>
      </c>
      <c r="W368" s="48" t="n">
        <f aca="false">MAX(W367,IF(O368="",0,O368))</f>
        <v>99.1666666666667</v>
      </c>
      <c r="X368" s="48" t="n">
        <f aca="false">MAX(X367,IF(P368="",0,P368))</f>
        <v>175.666666666667</v>
      </c>
      <c r="Y368" s="48" t="n">
        <f aca="false">V368+W368+X368</f>
        <v>419.5</v>
      </c>
    </row>
    <row r="369" customFormat="false" ht="15" hidden="false" customHeight="false" outlineLevel="0" collapsed="false">
      <c r="A369" s="45"/>
      <c r="B369" s="31"/>
      <c r="C369" s="32"/>
      <c r="D369" s="31"/>
      <c r="E369" s="31"/>
      <c r="F369" s="29"/>
      <c r="G369" s="29" t="str">
        <f aca="false">IF(OR(D369="",E369="",F369=""),"",D369*E369*F369)</f>
        <v/>
      </c>
      <c r="H369" s="31"/>
      <c r="I369" s="46" t="str">
        <f aca="false">IF(OR(C369="",K369=""),"",IF(K369&gt;=_xlfn.MAXIFS($K$5:K368,$C$5:C368,C369),"Yes","No"))</f>
        <v/>
      </c>
      <c r="J369" s="32"/>
      <c r="K369" s="47" t="str">
        <f aca="false">IF(OR(E369="",F369=""),"",F369*(1+E369/30))</f>
        <v/>
      </c>
      <c r="L369" s="27" t="str">
        <f aca="false">IF(A369="","",INT((A369-StartDate)/7)+1)</f>
        <v/>
      </c>
      <c r="M369" s="27" t="str">
        <f aca="false">IF(A369="","",TEXT(A369,"mmm"))</f>
        <v/>
      </c>
      <c r="N369" s="47" t="str">
        <f aca="false">IFERROR(IF(ISNUMBER(SEARCH("squat",C369)),K369,""),"")</f>
        <v/>
      </c>
      <c r="O369" s="47" t="str">
        <f aca="false">IFERROR(IF(ISNUMBER(SEARCH("bench",C369)),K369,""),"")</f>
        <v/>
      </c>
      <c r="P369" s="47" t="str">
        <f aca="false">IFERROR(IF(ISNUMBER(SEARCH("deadlift",C369)),K369,""),"")</f>
        <v/>
      </c>
      <c r="V369" s="47" t="n">
        <f aca="false">MAX(V368,IF(N369="",0,N369))</f>
        <v>144.666666666667</v>
      </c>
      <c r="W369" s="47" t="n">
        <f aca="false">MAX(W368,IF(O369="",0,O369))</f>
        <v>99.1666666666667</v>
      </c>
      <c r="X369" s="47" t="n">
        <f aca="false">MAX(X368,IF(P369="",0,P369))</f>
        <v>175.666666666667</v>
      </c>
      <c r="Y369" s="47" t="n">
        <f aca="false">V369+W369+X369</f>
        <v>419.5</v>
      </c>
    </row>
    <row r="370" customFormat="false" ht="15" hidden="false" customHeight="false" outlineLevel="0" collapsed="false">
      <c r="A370" s="45"/>
      <c r="B370" s="31"/>
      <c r="C370" s="32"/>
      <c r="D370" s="31"/>
      <c r="E370" s="31"/>
      <c r="F370" s="29"/>
      <c r="G370" s="29" t="str">
        <f aca="false">IF(OR(D370="",E370="",F370=""),"",D370*E370*F370)</f>
        <v/>
      </c>
      <c r="H370" s="31"/>
      <c r="I370" s="36" t="str">
        <f aca="false">IF(OR(C370="",K370=""),"",IF(K370&gt;=_xlfn.MAXIFS($K$5:K369,$C$5:C369,C370),"Yes","No"))</f>
        <v/>
      </c>
      <c r="J370" s="32"/>
      <c r="K370" s="48" t="str">
        <f aca="false">IF(OR(E370="",F370=""),"",F370*(1+E370/30))</f>
        <v/>
      </c>
      <c r="L370" s="36" t="str">
        <f aca="false">IF(A370="","",INT((A370-StartDate)/7)+1)</f>
        <v/>
      </c>
      <c r="M370" s="36" t="str">
        <f aca="false">IF(A370="","",TEXT(A370,"mmm"))</f>
        <v/>
      </c>
      <c r="N370" s="48" t="str">
        <f aca="false">IFERROR(IF(ISNUMBER(SEARCH("squat",C370)),K370,""),"")</f>
        <v/>
      </c>
      <c r="O370" s="48" t="str">
        <f aca="false">IFERROR(IF(ISNUMBER(SEARCH("bench",C370)),K370,""),"")</f>
        <v/>
      </c>
      <c r="P370" s="48" t="str">
        <f aca="false">IFERROR(IF(ISNUMBER(SEARCH("deadlift",C370)),K370,""),"")</f>
        <v/>
      </c>
      <c r="V370" s="48" t="n">
        <f aca="false">MAX(V369,IF(N370="",0,N370))</f>
        <v>144.666666666667</v>
      </c>
      <c r="W370" s="48" t="n">
        <f aca="false">MAX(W369,IF(O370="",0,O370))</f>
        <v>99.1666666666667</v>
      </c>
      <c r="X370" s="48" t="n">
        <f aca="false">MAX(X369,IF(P370="",0,P370))</f>
        <v>175.666666666667</v>
      </c>
      <c r="Y370" s="48" t="n">
        <f aca="false">V370+W370+X370</f>
        <v>419.5</v>
      </c>
    </row>
    <row r="371" customFormat="false" ht="15" hidden="false" customHeight="false" outlineLevel="0" collapsed="false">
      <c r="A371" s="45"/>
      <c r="B371" s="31"/>
      <c r="C371" s="32"/>
      <c r="D371" s="31"/>
      <c r="E371" s="31"/>
      <c r="F371" s="29"/>
      <c r="G371" s="29" t="str">
        <f aca="false">IF(OR(D371="",E371="",F371=""),"",D371*E371*F371)</f>
        <v/>
      </c>
      <c r="H371" s="31"/>
      <c r="I371" s="46" t="str">
        <f aca="false">IF(OR(C371="",K371=""),"",IF(K371&gt;=_xlfn.MAXIFS($K$5:K370,$C$5:C370,C371),"Yes","No"))</f>
        <v/>
      </c>
      <c r="J371" s="32"/>
      <c r="K371" s="47" t="str">
        <f aca="false">IF(OR(E371="",F371=""),"",F371*(1+E371/30))</f>
        <v/>
      </c>
      <c r="L371" s="27" t="str">
        <f aca="false">IF(A371="","",INT((A371-StartDate)/7)+1)</f>
        <v/>
      </c>
      <c r="M371" s="27" t="str">
        <f aca="false">IF(A371="","",TEXT(A371,"mmm"))</f>
        <v/>
      </c>
      <c r="N371" s="47" t="str">
        <f aca="false">IFERROR(IF(ISNUMBER(SEARCH("squat",C371)),K371,""),"")</f>
        <v/>
      </c>
      <c r="O371" s="47" t="str">
        <f aca="false">IFERROR(IF(ISNUMBER(SEARCH("bench",C371)),K371,""),"")</f>
        <v/>
      </c>
      <c r="P371" s="47" t="str">
        <f aca="false">IFERROR(IF(ISNUMBER(SEARCH("deadlift",C371)),K371,""),"")</f>
        <v/>
      </c>
      <c r="V371" s="47" t="n">
        <f aca="false">MAX(V370,IF(N371="",0,N371))</f>
        <v>144.666666666667</v>
      </c>
      <c r="W371" s="47" t="n">
        <f aca="false">MAX(W370,IF(O371="",0,O371))</f>
        <v>99.1666666666667</v>
      </c>
      <c r="X371" s="47" t="n">
        <f aca="false">MAX(X370,IF(P371="",0,P371))</f>
        <v>175.666666666667</v>
      </c>
      <c r="Y371" s="47" t="n">
        <f aca="false">V371+W371+X371</f>
        <v>419.5</v>
      </c>
    </row>
    <row r="372" customFormat="false" ht="15" hidden="false" customHeight="false" outlineLevel="0" collapsed="false">
      <c r="A372" s="45"/>
      <c r="B372" s="31"/>
      <c r="C372" s="32"/>
      <c r="D372" s="31"/>
      <c r="E372" s="31"/>
      <c r="F372" s="29"/>
      <c r="G372" s="29" t="str">
        <f aca="false">IF(OR(D372="",E372="",F372=""),"",D372*E372*F372)</f>
        <v/>
      </c>
      <c r="H372" s="31"/>
      <c r="I372" s="36" t="str">
        <f aca="false">IF(OR(C372="",K372=""),"",IF(K372&gt;=_xlfn.MAXIFS($K$5:K371,$C$5:C371,C372),"Yes","No"))</f>
        <v/>
      </c>
      <c r="J372" s="32"/>
      <c r="K372" s="48" t="str">
        <f aca="false">IF(OR(E372="",F372=""),"",F372*(1+E372/30))</f>
        <v/>
      </c>
      <c r="L372" s="36" t="str">
        <f aca="false">IF(A372="","",INT((A372-StartDate)/7)+1)</f>
        <v/>
      </c>
      <c r="M372" s="36" t="str">
        <f aca="false">IF(A372="","",TEXT(A372,"mmm"))</f>
        <v/>
      </c>
      <c r="N372" s="48" t="str">
        <f aca="false">IFERROR(IF(ISNUMBER(SEARCH("squat",C372)),K372,""),"")</f>
        <v/>
      </c>
      <c r="O372" s="48" t="str">
        <f aca="false">IFERROR(IF(ISNUMBER(SEARCH("bench",C372)),K372,""),"")</f>
        <v/>
      </c>
      <c r="P372" s="48" t="str">
        <f aca="false">IFERROR(IF(ISNUMBER(SEARCH("deadlift",C372)),K372,""),"")</f>
        <v/>
      </c>
      <c r="V372" s="48" t="n">
        <f aca="false">MAX(V371,IF(N372="",0,N372))</f>
        <v>144.666666666667</v>
      </c>
      <c r="W372" s="48" t="n">
        <f aca="false">MAX(W371,IF(O372="",0,O372))</f>
        <v>99.1666666666667</v>
      </c>
      <c r="X372" s="48" t="n">
        <f aca="false">MAX(X371,IF(P372="",0,P372))</f>
        <v>175.666666666667</v>
      </c>
      <c r="Y372" s="48" t="n">
        <f aca="false">V372+W372+X372</f>
        <v>419.5</v>
      </c>
    </row>
    <row r="373" customFormat="false" ht="15" hidden="false" customHeight="false" outlineLevel="0" collapsed="false">
      <c r="A373" s="45"/>
      <c r="B373" s="31"/>
      <c r="C373" s="32"/>
      <c r="D373" s="31"/>
      <c r="E373" s="31"/>
      <c r="F373" s="29"/>
      <c r="G373" s="29" t="str">
        <f aca="false">IF(OR(D373="",E373="",F373=""),"",D373*E373*F373)</f>
        <v/>
      </c>
      <c r="H373" s="31"/>
      <c r="I373" s="46" t="str">
        <f aca="false">IF(OR(C373="",K373=""),"",IF(K373&gt;=_xlfn.MAXIFS($K$5:K372,$C$5:C372,C373),"Yes","No"))</f>
        <v/>
      </c>
      <c r="J373" s="32"/>
      <c r="K373" s="47" t="str">
        <f aca="false">IF(OR(E373="",F373=""),"",F373*(1+E373/30))</f>
        <v/>
      </c>
      <c r="L373" s="27" t="str">
        <f aca="false">IF(A373="","",INT((A373-StartDate)/7)+1)</f>
        <v/>
      </c>
      <c r="M373" s="27" t="str">
        <f aca="false">IF(A373="","",TEXT(A373,"mmm"))</f>
        <v/>
      </c>
      <c r="N373" s="47" t="str">
        <f aca="false">IFERROR(IF(ISNUMBER(SEARCH("squat",C373)),K373,""),"")</f>
        <v/>
      </c>
      <c r="O373" s="47" t="str">
        <f aca="false">IFERROR(IF(ISNUMBER(SEARCH("bench",C373)),K373,""),"")</f>
        <v/>
      </c>
      <c r="P373" s="47" t="str">
        <f aca="false">IFERROR(IF(ISNUMBER(SEARCH("deadlift",C373)),K373,""),"")</f>
        <v/>
      </c>
      <c r="V373" s="47" t="n">
        <f aca="false">MAX(V372,IF(N373="",0,N373))</f>
        <v>144.666666666667</v>
      </c>
      <c r="W373" s="47" t="n">
        <f aca="false">MAX(W372,IF(O373="",0,O373))</f>
        <v>99.1666666666667</v>
      </c>
      <c r="X373" s="47" t="n">
        <f aca="false">MAX(X372,IF(P373="",0,P373))</f>
        <v>175.666666666667</v>
      </c>
      <c r="Y373" s="47" t="n">
        <f aca="false">V373+W373+X373</f>
        <v>419.5</v>
      </c>
    </row>
    <row r="374" customFormat="false" ht="15" hidden="false" customHeight="false" outlineLevel="0" collapsed="false">
      <c r="A374" s="45"/>
      <c r="B374" s="31"/>
      <c r="C374" s="32"/>
      <c r="D374" s="31"/>
      <c r="E374" s="31"/>
      <c r="F374" s="29"/>
      <c r="G374" s="29" t="str">
        <f aca="false">IF(OR(D374="",E374="",F374=""),"",D374*E374*F374)</f>
        <v/>
      </c>
      <c r="H374" s="31"/>
      <c r="I374" s="36" t="str">
        <f aca="false">IF(OR(C374="",K374=""),"",IF(K374&gt;=_xlfn.MAXIFS($K$5:K373,$C$5:C373,C374),"Yes","No"))</f>
        <v/>
      </c>
      <c r="J374" s="32"/>
      <c r="K374" s="48" t="str">
        <f aca="false">IF(OR(E374="",F374=""),"",F374*(1+E374/30))</f>
        <v/>
      </c>
      <c r="L374" s="36" t="str">
        <f aca="false">IF(A374="","",INT((A374-StartDate)/7)+1)</f>
        <v/>
      </c>
      <c r="M374" s="36" t="str">
        <f aca="false">IF(A374="","",TEXT(A374,"mmm"))</f>
        <v/>
      </c>
      <c r="N374" s="48" t="str">
        <f aca="false">IFERROR(IF(ISNUMBER(SEARCH("squat",C374)),K374,""),"")</f>
        <v/>
      </c>
      <c r="O374" s="48" t="str">
        <f aca="false">IFERROR(IF(ISNUMBER(SEARCH("bench",C374)),K374,""),"")</f>
        <v/>
      </c>
      <c r="P374" s="48" t="str">
        <f aca="false">IFERROR(IF(ISNUMBER(SEARCH("deadlift",C374)),K374,""),"")</f>
        <v/>
      </c>
      <c r="V374" s="48" t="n">
        <f aca="false">MAX(V373,IF(N374="",0,N374))</f>
        <v>144.666666666667</v>
      </c>
      <c r="W374" s="48" t="n">
        <f aca="false">MAX(W373,IF(O374="",0,O374))</f>
        <v>99.1666666666667</v>
      </c>
      <c r="X374" s="48" t="n">
        <f aca="false">MAX(X373,IF(P374="",0,P374))</f>
        <v>175.666666666667</v>
      </c>
      <c r="Y374" s="48" t="n">
        <f aca="false">V374+W374+X374</f>
        <v>419.5</v>
      </c>
    </row>
    <row r="375" customFormat="false" ht="15" hidden="false" customHeight="false" outlineLevel="0" collapsed="false">
      <c r="A375" s="45"/>
      <c r="B375" s="31"/>
      <c r="C375" s="32"/>
      <c r="D375" s="31"/>
      <c r="E375" s="31"/>
      <c r="F375" s="29"/>
      <c r="G375" s="29" t="str">
        <f aca="false">IF(OR(D375="",E375="",F375=""),"",D375*E375*F375)</f>
        <v/>
      </c>
      <c r="H375" s="31"/>
      <c r="I375" s="46" t="str">
        <f aca="false">IF(OR(C375="",K375=""),"",IF(K375&gt;=_xlfn.MAXIFS($K$5:K374,$C$5:C374,C375),"Yes","No"))</f>
        <v/>
      </c>
      <c r="J375" s="32"/>
      <c r="K375" s="47" t="str">
        <f aca="false">IF(OR(E375="",F375=""),"",F375*(1+E375/30))</f>
        <v/>
      </c>
      <c r="L375" s="27" t="str">
        <f aca="false">IF(A375="","",INT((A375-StartDate)/7)+1)</f>
        <v/>
      </c>
      <c r="M375" s="27" t="str">
        <f aca="false">IF(A375="","",TEXT(A375,"mmm"))</f>
        <v/>
      </c>
      <c r="N375" s="47" t="str">
        <f aca="false">IFERROR(IF(ISNUMBER(SEARCH("squat",C375)),K375,""),"")</f>
        <v/>
      </c>
      <c r="O375" s="47" t="str">
        <f aca="false">IFERROR(IF(ISNUMBER(SEARCH("bench",C375)),K375,""),"")</f>
        <v/>
      </c>
      <c r="P375" s="47" t="str">
        <f aca="false">IFERROR(IF(ISNUMBER(SEARCH("deadlift",C375)),K375,""),"")</f>
        <v/>
      </c>
      <c r="V375" s="47" t="n">
        <f aca="false">MAX(V374,IF(N375="",0,N375))</f>
        <v>144.666666666667</v>
      </c>
      <c r="W375" s="47" t="n">
        <f aca="false">MAX(W374,IF(O375="",0,O375))</f>
        <v>99.1666666666667</v>
      </c>
      <c r="X375" s="47" t="n">
        <f aca="false">MAX(X374,IF(P375="",0,P375))</f>
        <v>175.666666666667</v>
      </c>
      <c r="Y375" s="47" t="n">
        <f aca="false">V375+W375+X375</f>
        <v>419.5</v>
      </c>
    </row>
    <row r="376" customFormat="false" ht="15" hidden="false" customHeight="false" outlineLevel="0" collapsed="false">
      <c r="A376" s="45"/>
      <c r="B376" s="31"/>
      <c r="C376" s="32"/>
      <c r="D376" s="31"/>
      <c r="E376" s="31"/>
      <c r="F376" s="29"/>
      <c r="G376" s="29" t="str">
        <f aca="false">IF(OR(D376="",E376="",F376=""),"",D376*E376*F376)</f>
        <v/>
      </c>
      <c r="H376" s="31"/>
      <c r="I376" s="36" t="str">
        <f aca="false">IF(OR(C376="",K376=""),"",IF(K376&gt;=_xlfn.MAXIFS($K$5:K375,$C$5:C375,C376),"Yes","No"))</f>
        <v/>
      </c>
      <c r="J376" s="32"/>
      <c r="K376" s="48" t="str">
        <f aca="false">IF(OR(E376="",F376=""),"",F376*(1+E376/30))</f>
        <v/>
      </c>
      <c r="L376" s="36" t="str">
        <f aca="false">IF(A376="","",INT((A376-StartDate)/7)+1)</f>
        <v/>
      </c>
      <c r="M376" s="36" t="str">
        <f aca="false">IF(A376="","",TEXT(A376,"mmm"))</f>
        <v/>
      </c>
      <c r="N376" s="48" t="str">
        <f aca="false">IFERROR(IF(ISNUMBER(SEARCH("squat",C376)),K376,""),"")</f>
        <v/>
      </c>
      <c r="O376" s="48" t="str">
        <f aca="false">IFERROR(IF(ISNUMBER(SEARCH("bench",C376)),K376,""),"")</f>
        <v/>
      </c>
      <c r="P376" s="48" t="str">
        <f aca="false">IFERROR(IF(ISNUMBER(SEARCH("deadlift",C376)),K376,""),"")</f>
        <v/>
      </c>
      <c r="V376" s="48" t="n">
        <f aca="false">MAX(V375,IF(N376="",0,N376))</f>
        <v>144.666666666667</v>
      </c>
      <c r="W376" s="48" t="n">
        <f aca="false">MAX(W375,IF(O376="",0,O376))</f>
        <v>99.1666666666667</v>
      </c>
      <c r="X376" s="48" t="n">
        <f aca="false">MAX(X375,IF(P376="",0,P376))</f>
        <v>175.666666666667</v>
      </c>
      <c r="Y376" s="48" t="n">
        <f aca="false">V376+W376+X376</f>
        <v>419.5</v>
      </c>
    </row>
    <row r="377" customFormat="false" ht="15" hidden="false" customHeight="false" outlineLevel="0" collapsed="false">
      <c r="A377" s="45"/>
      <c r="B377" s="31"/>
      <c r="C377" s="32"/>
      <c r="D377" s="31"/>
      <c r="E377" s="31"/>
      <c r="F377" s="29"/>
      <c r="G377" s="29" t="str">
        <f aca="false">IF(OR(D377="",E377="",F377=""),"",D377*E377*F377)</f>
        <v/>
      </c>
      <c r="H377" s="31"/>
      <c r="I377" s="46" t="str">
        <f aca="false">IF(OR(C377="",K377=""),"",IF(K377&gt;=_xlfn.MAXIFS($K$5:K376,$C$5:C376,C377),"Yes","No"))</f>
        <v/>
      </c>
      <c r="J377" s="32"/>
      <c r="K377" s="47" t="str">
        <f aca="false">IF(OR(E377="",F377=""),"",F377*(1+E377/30))</f>
        <v/>
      </c>
      <c r="L377" s="27" t="str">
        <f aca="false">IF(A377="","",INT((A377-StartDate)/7)+1)</f>
        <v/>
      </c>
      <c r="M377" s="27" t="str">
        <f aca="false">IF(A377="","",TEXT(A377,"mmm"))</f>
        <v/>
      </c>
      <c r="N377" s="47" t="str">
        <f aca="false">IFERROR(IF(ISNUMBER(SEARCH("squat",C377)),K377,""),"")</f>
        <v/>
      </c>
      <c r="O377" s="47" t="str">
        <f aca="false">IFERROR(IF(ISNUMBER(SEARCH("bench",C377)),K377,""),"")</f>
        <v/>
      </c>
      <c r="P377" s="47" t="str">
        <f aca="false">IFERROR(IF(ISNUMBER(SEARCH("deadlift",C377)),K377,""),"")</f>
        <v/>
      </c>
      <c r="V377" s="47" t="n">
        <f aca="false">MAX(V376,IF(N377="",0,N377))</f>
        <v>144.666666666667</v>
      </c>
      <c r="W377" s="47" t="n">
        <f aca="false">MAX(W376,IF(O377="",0,O377))</f>
        <v>99.1666666666667</v>
      </c>
      <c r="X377" s="47" t="n">
        <f aca="false">MAX(X376,IF(P377="",0,P377))</f>
        <v>175.666666666667</v>
      </c>
      <c r="Y377" s="47" t="n">
        <f aca="false">V377+W377+X377</f>
        <v>419.5</v>
      </c>
    </row>
    <row r="378" customFormat="false" ht="15" hidden="false" customHeight="false" outlineLevel="0" collapsed="false">
      <c r="A378" s="45"/>
      <c r="B378" s="31"/>
      <c r="C378" s="32"/>
      <c r="D378" s="31"/>
      <c r="E378" s="31"/>
      <c r="F378" s="29"/>
      <c r="G378" s="29" t="str">
        <f aca="false">IF(OR(D378="",E378="",F378=""),"",D378*E378*F378)</f>
        <v/>
      </c>
      <c r="H378" s="31"/>
      <c r="I378" s="36" t="str">
        <f aca="false">IF(OR(C378="",K378=""),"",IF(K378&gt;=_xlfn.MAXIFS($K$5:K377,$C$5:C377,C378),"Yes","No"))</f>
        <v/>
      </c>
      <c r="J378" s="32"/>
      <c r="K378" s="48" t="str">
        <f aca="false">IF(OR(E378="",F378=""),"",F378*(1+E378/30))</f>
        <v/>
      </c>
      <c r="L378" s="36" t="str">
        <f aca="false">IF(A378="","",INT((A378-StartDate)/7)+1)</f>
        <v/>
      </c>
      <c r="M378" s="36" t="str">
        <f aca="false">IF(A378="","",TEXT(A378,"mmm"))</f>
        <v/>
      </c>
      <c r="N378" s="48" t="str">
        <f aca="false">IFERROR(IF(ISNUMBER(SEARCH("squat",C378)),K378,""),"")</f>
        <v/>
      </c>
      <c r="O378" s="48" t="str">
        <f aca="false">IFERROR(IF(ISNUMBER(SEARCH("bench",C378)),K378,""),"")</f>
        <v/>
      </c>
      <c r="P378" s="48" t="str">
        <f aca="false">IFERROR(IF(ISNUMBER(SEARCH("deadlift",C378)),K378,""),"")</f>
        <v/>
      </c>
      <c r="V378" s="48" t="n">
        <f aca="false">MAX(V377,IF(N378="",0,N378))</f>
        <v>144.666666666667</v>
      </c>
      <c r="W378" s="48" t="n">
        <f aca="false">MAX(W377,IF(O378="",0,O378))</f>
        <v>99.1666666666667</v>
      </c>
      <c r="X378" s="48" t="n">
        <f aca="false">MAX(X377,IF(P378="",0,P378))</f>
        <v>175.666666666667</v>
      </c>
      <c r="Y378" s="48" t="n">
        <f aca="false">V378+W378+X378</f>
        <v>419.5</v>
      </c>
    </row>
    <row r="379" customFormat="false" ht="15" hidden="false" customHeight="false" outlineLevel="0" collapsed="false">
      <c r="A379" s="45"/>
      <c r="B379" s="31"/>
      <c r="C379" s="32"/>
      <c r="D379" s="31"/>
      <c r="E379" s="31"/>
      <c r="F379" s="29"/>
      <c r="G379" s="29" t="str">
        <f aca="false">IF(OR(D379="",E379="",F379=""),"",D379*E379*F379)</f>
        <v/>
      </c>
      <c r="H379" s="31"/>
      <c r="I379" s="46" t="str">
        <f aca="false">IF(OR(C379="",K379=""),"",IF(K379&gt;=_xlfn.MAXIFS($K$5:K378,$C$5:C378,C379),"Yes","No"))</f>
        <v/>
      </c>
      <c r="J379" s="32"/>
      <c r="K379" s="47" t="str">
        <f aca="false">IF(OR(E379="",F379=""),"",F379*(1+E379/30))</f>
        <v/>
      </c>
      <c r="L379" s="27" t="str">
        <f aca="false">IF(A379="","",INT((A379-StartDate)/7)+1)</f>
        <v/>
      </c>
      <c r="M379" s="27" t="str">
        <f aca="false">IF(A379="","",TEXT(A379,"mmm"))</f>
        <v/>
      </c>
      <c r="N379" s="47" t="str">
        <f aca="false">IFERROR(IF(ISNUMBER(SEARCH("squat",C379)),K379,""),"")</f>
        <v/>
      </c>
      <c r="O379" s="47" t="str">
        <f aca="false">IFERROR(IF(ISNUMBER(SEARCH("bench",C379)),K379,""),"")</f>
        <v/>
      </c>
      <c r="P379" s="47" t="str">
        <f aca="false">IFERROR(IF(ISNUMBER(SEARCH("deadlift",C379)),K379,""),"")</f>
        <v/>
      </c>
      <c r="V379" s="47" t="n">
        <f aca="false">MAX(V378,IF(N379="",0,N379))</f>
        <v>144.666666666667</v>
      </c>
      <c r="W379" s="47" t="n">
        <f aca="false">MAX(W378,IF(O379="",0,O379))</f>
        <v>99.1666666666667</v>
      </c>
      <c r="X379" s="47" t="n">
        <f aca="false">MAX(X378,IF(P379="",0,P379))</f>
        <v>175.666666666667</v>
      </c>
      <c r="Y379" s="47" t="n">
        <f aca="false">V379+W379+X379</f>
        <v>419.5</v>
      </c>
    </row>
    <row r="380" customFormat="false" ht="15" hidden="false" customHeight="false" outlineLevel="0" collapsed="false">
      <c r="A380" s="45"/>
      <c r="B380" s="31"/>
      <c r="C380" s="32"/>
      <c r="D380" s="31"/>
      <c r="E380" s="31"/>
      <c r="F380" s="29"/>
      <c r="G380" s="29" t="str">
        <f aca="false">IF(OR(D380="",E380="",F380=""),"",D380*E380*F380)</f>
        <v/>
      </c>
      <c r="H380" s="31"/>
      <c r="I380" s="36" t="str">
        <f aca="false">IF(OR(C380="",K380=""),"",IF(K380&gt;=_xlfn.MAXIFS($K$5:K379,$C$5:C379,C380),"Yes","No"))</f>
        <v/>
      </c>
      <c r="J380" s="32"/>
      <c r="K380" s="48" t="str">
        <f aca="false">IF(OR(E380="",F380=""),"",F380*(1+E380/30))</f>
        <v/>
      </c>
      <c r="L380" s="36" t="str">
        <f aca="false">IF(A380="","",INT((A380-StartDate)/7)+1)</f>
        <v/>
      </c>
      <c r="M380" s="36" t="str">
        <f aca="false">IF(A380="","",TEXT(A380,"mmm"))</f>
        <v/>
      </c>
      <c r="N380" s="48" t="str">
        <f aca="false">IFERROR(IF(ISNUMBER(SEARCH("squat",C380)),K380,""),"")</f>
        <v/>
      </c>
      <c r="O380" s="48" t="str">
        <f aca="false">IFERROR(IF(ISNUMBER(SEARCH("bench",C380)),K380,""),"")</f>
        <v/>
      </c>
      <c r="P380" s="48" t="str">
        <f aca="false">IFERROR(IF(ISNUMBER(SEARCH("deadlift",C380)),K380,""),"")</f>
        <v/>
      </c>
      <c r="V380" s="48" t="n">
        <f aca="false">MAX(V379,IF(N380="",0,N380))</f>
        <v>144.666666666667</v>
      </c>
      <c r="W380" s="48" t="n">
        <f aca="false">MAX(W379,IF(O380="",0,O380))</f>
        <v>99.1666666666667</v>
      </c>
      <c r="X380" s="48" t="n">
        <f aca="false">MAX(X379,IF(P380="",0,P380))</f>
        <v>175.666666666667</v>
      </c>
      <c r="Y380" s="48" t="n">
        <f aca="false">V380+W380+X380</f>
        <v>419.5</v>
      </c>
    </row>
    <row r="381" customFormat="false" ht="15" hidden="false" customHeight="false" outlineLevel="0" collapsed="false">
      <c r="A381" s="45"/>
      <c r="B381" s="31"/>
      <c r="C381" s="32"/>
      <c r="D381" s="31"/>
      <c r="E381" s="31"/>
      <c r="F381" s="29"/>
      <c r="G381" s="29" t="str">
        <f aca="false">IF(OR(D381="",E381="",F381=""),"",D381*E381*F381)</f>
        <v/>
      </c>
      <c r="H381" s="31"/>
      <c r="I381" s="46" t="str">
        <f aca="false">IF(OR(C381="",K381=""),"",IF(K381&gt;=_xlfn.MAXIFS($K$5:K380,$C$5:C380,C381),"Yes","No"))</f>
        <v/>
      </c>
      <c r="J381" s="32"/>
      <c r="K381" s="47" t="str">
        <f aca="false">IF(OR(E381="",F381=""),"",F381*(1+E381/30))</f>
        <v/>
      </c>
      <c r="L381" s="27" t="str">
        <f aca="false">IF(A381="","",INT((A381-StartDate)/7)+1)</f>
        <v/>
      </c>
      <c r="M381" s="27" t="str">
        <f aca="false">IF(A381="","",TEXT(A381,"mmm"))</f>
        <v/>
      </c>
      <c r="N381" s="47" t="str">
        <f aca="false">IFERROR(IF(ISNUMBER(SEARCH("squat",C381)),K381,""),"")</f>
        <v/>
      </c>
      <c r="O381" s="47" t="str">
        <f aca="false">IFERROR(IF(ISNUMBER(SEARCH("bench",C381)),K381,""),"")</f>
        <v/>
      </c>
      <c r="P381" s="47" t="str">
        <f aca="false">IFERROR(IF(ISNUMBER(SEARCH("deadlift",C381)),K381,""),"")</f>
        <v/>
      </c>
      <c r="V381" s="47" t="n">
        <f aca="false">MAX(V380,IF(N381="",0,N381))</f>
        <v>144.666666666667</v>
      </c>
      <c r="W381" s="47" t="n">
        <f aca="false">MAX(W380,IF(O381="",0,O381))</f>
        <v>99.1666666666667</v>
      </c>
      <c r="X381" s="47" t="n">
        <f aca="false">MAX(X380,IF(P381="",0,P381))</f>
        <v>175.666666666667</v>
      </c>
      <c r="Y381" s="47" t="n">
        <f aca="false">V381+W381+X381</f>
        <v>419.5</v>
      </c>
    </row>
    <row r="382" customFormat="false" ht="15" hidden="false" customHeight="false" outlineLevel="0" collapsed="false">
      <c r="A382" s="45"/>
      <c r="B382" s="31"/>
      <c r="C382" s="32"/>
      <c r="D382" s="31"/>
      <c r="E382" s="31"/>
      <c r="F382" s="29"/>
      <c r="G382" s="29" t="str">
        <f aca="false">IF(OR(D382="",E382="",F382=""),"",D382*E382*F382)</f>
        <v/>
      </c>
      <c r="H382" s="31"/>
      <c r="I382" s="36" t="str">
        <f aca="false">IF(OR(C382="",K382=""),"",IF(K382&gt;=_xlfn.MAXIFS($K$5:K381,$C$5:C381,C382),"Yes","No"))</f>
        <v/>
      </c>
      <c r="J382" s="32"/>
      <c r="K382" s="48" t="str">
        <f aca="false">IF(OR(E382="",F382=""),"",F382*(1+E382/30))</f>
        <v/>
      </c>
      <c r="L382" s="36" t="str">
        <f aca="false">IF(A382="","",INT((A382-StartDate)/7)+1)</f>
        <v/>
      </c>
      <c r="M382" s="36" t="str">
        <f aca="false">IF(A382="","",TEXT(A382,"mmm"))</f>
        <v/>
      </c>
      <c r="N382" s="48" t="str">
        <f aca="false">IFERROR(IF(ISNUMBER(SEARCH("squat",C382)),K382,""),"")</f>
        <v/>
      </c>
      <c r="O382" s="48" t="str">
        <f aca="false">IFERROR(IF(ISNUMBER(SEARCH("bench",C382)),K382,""),"")</f>
        <v/>
      </c>
      <c r="P382" s="48" t="str">
        <f aca="false">IFERROR(IF(ISNUMBER(SEARCH("deadlift",C382)),K382,""),"")</f>
        <v/>
      </c>
      <c r="V382" s="48" t="n">
        <f aca="false">MAX(V381,IF(N382="",0,N382))</f>
        <v>144.666666666667</v>
      </c>
      <c r="W382" s="48" t="n">
        <f aca="false">MAX(W381,IF(O382="",0,O382))</f>
        <v>99.1666666666667</v>
      </c>
      <c r="X382" s="48" t="n">
        <f aca="false">MAX(X381,IF(P382="",0,P382))</f>
        <v>175.666666666667</v>
      </c>
      <c r="Y382" s="48" t="n">
        <f aca="false">V382+W382+X382</f>
        <v>419.5</v>
      </c>
    </row>
    <row r="383" customFormat="false" ht="15" hidden="false" customHeight="false" outlineLevel="0" collapsed="false">
      <c r="A383" s="45"/>
      <c r="B383" s="31"/>
      <c r="C383" s="32"/>
      <c r="D383" s="31"/>
      <c r="E383" s="31"/>
      <c r="F383" s="29"/>
      <c r="G383" s="29" t="str">
        <f aca="false">IF(OR(D383="",E383="",F383=""),"",D383*E383*F383)</f>
        <v/>
      </c>
      <c r="H383" s="31"/>
      <c r="I383" s="46" t="str">
        <f aca="false">IF(OR(C383="",K383=""),"",IF(K383&gt;=_xlfn.MAXIFS($K$5:K382,$C$5:C382,C383),"Yes","No"))</f>
        <v/>
      </c>
      <c r="J383" s="32"/>
      <c r="K383" s="47" t="str">
        <f aca="false">IF(OR(E383="",F383=""),"",F383*(1+E383/30))</f>
        <v/>
      </c>
      <c r="L383" s="27" t="str">
        <f aca="false">IF(A383="","",INT((A383-StartDate)/7)+1)</f>
        <v/>
      </c>
      <c r="M383" s="27" t="str">
        <f aca="false">IF(A383="","",TEXT(A383,"mmm"))</f>
        <v/>
      </c>
      <c r="N383" s="47" t="str">
        <f aca="false">IFERROR(IF(ISNUMBER(SEARCH("squat",C383)),K383,""),"")</f>
        <v/>
      </c>
      <c r="O383" s="47" t="str">
        <f aca="false">IFERROR(IF(ISNUMBER(SEARCH("bench",C383)),K383,""),"")</f>
        <v/>
      </c>
      <c r="P383" s="47" t="str">
        <f aca="false">IFERROR(IF(ISNUMBER(SEARCH("deadlift",C383)),K383,""),"")</f>
        <v/>
      </c>
      <c r="V383" s="47" t="n">
        <f aca="false">MAX(V382,IF(N383="",0,N383))</f>
        <v>144.666666666667</v>
      </c>
      <c r="W383" s="47" t="n">
        <f aca="false">MAX(W382,IF(O383="",0,O383))</f>
        <v>99.1666666666667</v>
      </c>
      <c r="X383" s="47" t="n">
        <f aca="false">MAX(X382,IF(P383="",0,P383))</f>
        <v>175.666666666667</v>
      </c>
      <c r="Y383" s="47" t="n">
        <f aca="false">V383+W383+X383</f>
        <v>419.5</v>
      </c>
    </row>
    <row r="384" customFormat="false" ht="15" hidden="false" customHeight="false" outlineLevel="0" collapsed="false">
      <c r="A384" s="45"/>
      <c r="B384" s="31"/>
      <c r="C384" s="32"/>
      <c r="D384" s="31"/>
      <c r="E384" s="31"/>
      <c r="F384" s="29"/>
      <c r="G384" s="29" t="str">
        <f aca="false">IF(OR(D384="",E384="",F384=""),"",D384*E384*F384)</f>
        <v/>
      </c>
      <c r="H384" s="31"/>
      <c r="I384" s="36" t="str">
        <f aca="false">IF(OR(C384="",K384=""),"",IF(K384&gt;=_xlfn.MAXIFS($K$5:K383,$C$5:C383,C384),"Yes","No"))</f>
        <v/>
      </c>
      <c r="J384" s="32"/>
      <c r="K384" s="48" t="str">
        <f aca="false">IF(OR(E384="",F384=""),"",F384*(1+E384/30))</f>
        <v/>
      </c>
      <c r="L384" s="36" t="str">
        <f aca="false">IF(A384="","",INT((A384-StartDate)/7)+1)</f>
        <v/>
      </c>
      <c r="M384" s="36" t="str">
        <f aca="false">IF(A384="","",TEXT(A384,"mmm"))</f>
        <v/>
      </c>
      <c r="N384" s="48" t="str">
        <f aca="false">IFERROR(IF(ISNUMBER(SEARCH("squat",C384)),K384,""),"")</f>
        <v/>
      </c>
      <c r="O384" s="48" t="str">
        <f aca="false">IFERROR(IF(ISNUMBER(SEARCH("bench",C384)),K384,""),"")</f>
        <v/>
      </c>
      <c r="P384" s="48" t="str">
        <f aca="false">IFERROR(IF(ISNUMBER(SEARCH("deadlift",C384)),K384,""),"")</f>
        <v/>
      </c>
      <c r="V384" s="48" t="n">
        <f aca="false">MAX(V383,IF(N384="",0,N384))</f>
        <v>144.666666666667</v>
      </c>
      <c r="W384" s="48" t="n">
        <f aca="false">MAX(W383,IF(O384="",0,O384))</f>
        <v>99.1666666666667</v>
      </c>
      <c r="X384" s="48" t="n">
        <f aca="false">MAX(X383,IF(P384="",0,P384))</f>
        <v>175.666666666667</v>
      </c>
      <c r="Y384" s="48" t="n">
        <f aca="false">V384+W384+X384</f>
        <v>419.5</v>
      </c>
    </row>
    <row r="385" customFormat="false" ht="15" hidden="false" customHeight="false" outlineLevel="0" collapsed="false">
      <c r="A385" s="45"/>
      <c r="B385" s="31"/>
      <c r="C385" s="32"/>
      <c r="D385" s="31"/>
      <c r="E385" s="31"/>
      <c r="F385" s="29"/>
      <c r="G385" s="29" t="str">
        <f aca="false">IF(OR(D385="",E385="",F385=""),"",D385*E385*F385)</f>
        <v/>
      </c>
      <c r="H385" s="31"/>
      <c r="I385" s="46" t="str">
        <f aca="false">IF(OR(C385="",K385=""),"",IF(K385&gt;=_xlfn.MAXIFS($K$5:K384,$C$5:C384,C385),"Yes","No"))</f>
        <v/>
      </c>
      <c r="J385" s="32"/>
      <c r="K385" s="47" t="str">
        <f aca="false">IF(OR(E385="",F385=""),"",F385*(1+E385/30))</f>
        <v/>
      </c>
      <c r="L385" s="27" t="str">
        <f aca="false">IF(A385="","",INT((A385-StartDate)/7)+1)</f>
        <v/>
      </c>
      <c r="M385" s="27" t="str">
        <f aca="false">IF(A385="","",TEXT(A385,"mmm"))</f>
        <v/>
      </c>
      <c r="N385" s="47" t="str">
        <f aca="false">IFERROR(IF(ISNUMBER(SEARCH("squat",C385)),K385,""),"")</f>
        <v/>
      </c>
      <c r="O385" s="47" t="str">
        <f aca="false">IFERROR(IF(ISNUMBER(SEARCH("bench",C385)),K385,""),"")</f>
        <v/>
      </c>
      <c r="P385" s="47" t="str">
        <f aca="false">IFERROR(IF(ISNUMBER(SEARCH("deadlift",C385)),K385,""),"")</f>
        <v/>
      </c>
      <c r="V385" s="47" t="n">
        <f aca="false">MAX(V384,IF(N385="",0,N385))</f>
        <v>144.666666666667</v>
      </c>
      <c r="W385" s="47" t="n">
        <f aca="false">MAX(W384,IF(O385="",0,O385))</f>
        <v>99.1666666666667</v>
      </c>
      <c r="X385" s="47" t="n">
        <f aca="false">MAX(X384,IF(P385="",0,P385))</f>
        <v>175.666666666667</v>
      </c>
      <c r="Y385" s="47" t="n">
        <f aca="false">V385+W385+X385</f>
        <v>419.5</v>
      </c>
    </row>
    <row r="386" customFormat="false" ht="15" hidden="false" customHeight="false" outlineLevel="0" collapsed="false">
      <c r="A386" s="45"/>
      <c r="B386" s="31"/>
      <c r="C386" s="32"/>
      <c r="D386" s="31"/>
      <c r="E386" s="31"/>
      <c r="F386" s="29"/>
      <c r="G386" s="29" t="str">
        <f aca="false">IF(OR(D386="",E386="",F386=""),"",D386*E386*F386)</f>
        <v/>
      </c>
      <c r="H386" s="31"/>
      <c r="I386" s="36" t="str">
        <f aca="false">IF(OR(C386="",K386=""),"",IF(K386&gt;=_xlfn.MAXIFS($K$5:K385,$C$5:C385,C386),"Yes","No"))</f>
        <v/>
      </c>
      <c r="J386" s="32"/>
      <c r="K386" s="48" t="str">
        <f aca="false">IF(OR(E386="",F386=""),"",F386*(1+E386/30))</f>
        <v/>
      </c>
      <c r="L386" s="36" t="str">
        <f aca="false">IF(A386="","",INT((A386-StartDate)/7)+1)</f>
        <v/>
      </c>
      <c r="M386" s="36" t="str">
        <f aca="false">IF(A386="","",TEXT(A386,"mmm"))</f>
        <v/>
      </c>
      <c r="N386" s="48" t="str">
        <f aca="false">IFERROR(IF(ISNUMBER(SEARCH("squat",C386)),K386,""),"")</f>
        <v/>
      </c>
      <c r="O386" s="48" t="str">
        <f aca="false">IFERROR(IF(ISNUMBER(SEARCH("bench",C386)),K386,""),"")</f>
        <v/>
      </c>
      <c r="P386" s="48" t="str">
        <f aca="false">IFERROR(IF(ISNUMBER(SEARCH("deadlift",C386)),K386,""),"")</f>
        <v/>
      </c>
      <c r="V386" s="48" t="n">
        <f aca="false">MAX(V385,IF(N386="",0,N386))</f>
        <v>144.666666666667</v>
      </c>
      <c r="W386" s="48" t="n">
        <f aca="false">MAX(W385,IF(O386="",0,O386))</f>
        <v>99.1666666666667</v>
      </c>
      <c r="X386" s="48" t="n">
        <f aca="false">MAX(X385,IF(P386="",0,P386))</f>
        <v>175.666666666667</v>
      </c>
      <c r="Y386" s="48" t="n">
        <f aca="false">V386+W386+X386</f>
        <v>419.5</v>
      </c>
    </row>
    <row r="387" customFormat="false" ht="15" hidden="false" customHeight="false" outlineLevel="0" collapsed="false">
      <c r="A387" s="45"/>
      <c r="B387" s="31"/>
      <c r="C387" s="32"/>
      <c r="D387" s="31"/>
      <c r="E387" s="31"/>
      <c r="F387" s="29"/>
      <c r="G387" s="29" t="str">
        <f aca="false">IF(OR(D387="",E387="",F387=""),"",D387*E387*F387)</f>
        <v/>
      </c>
      <c r="H387" s="31"/>
      <c r="I387" s="46" t="str">
        <f aca="false">IF(OR(C387="",K387=""),"",IF(K387&gt;=_xlfn.MAXIFS($K$5:K386,$C$5:C386,C387),"Yes","No"))</f>
        <v/>
      </c>
      <c r="J387" s="32"/>
      <c r="K387" s="47" t="str">
        <f aca="false">IF(OR(E387="",F387=""),"",F387*(1+E387/30))</f>
        <v/>
      </c>
      <c r="L387" s="27" t="str">
        <f aca="false">IF(A387="","",INT((A387-StartDate)/7)+1)</f>
        <v/>
      </c>
      <c r="M387" s="27" t="str">
        <f aca="false">IF(A387="","",TEXT(A387,"mmm"))</f>
        <v/>
      </c>
      <c r="N387" s="47" t="str">
        <f aca="false">IFERROR(IF(ISNUMBER(SEARCH("squat",C387)),K387,""),"")</f>
        <v/>
      </c>
      <c r="O387" s="47" t="str">
        <f aca="false">IFERROR(IF(ISNUMBER(SEARCH("bench",C387)),K387,""),"")</f>
        <v/>
      </c>
      <c r="P387" s="47" t="str">
        <f aca="false">IFERROR(IF(ISNUMBER(SEARCH("deadlift",C387)),K387,""),"")</f>
        <v/>
      </c>
      <c r="V387" s="47" t="n">
        <f aca="false">MAX(V386,IF(N387="",0,N387))</f>
        <v>144.666666666667</v>
      </c>
      <c r="W387" s="47" t="n">
        <f aca="false">MAX(W386,IF(O387="",0,O387))</f>
        <v>99.1666666666667</v>
      </c>
      <c r="X387" s="47" t="n">
        <f aca="false">MAX(X386,IF(P387="",0,P387))</f>
        <v>175.666666666667</v>
      </c>
      <c r="Y387" s="47" t="n">
        <f aca="false">V387+W387+X387</f>
        <v>419.5</v>
      </c>
    </row>
    <row r="388" customFormat="false" ht="15" hidden="false" customHeight="false" outlineLevel="0" collapsed="false">
      <c r="A388" s="45"/>
      <c r="B388" s="31"/>
      <c r="C388" s="32"/>
      <c r="D388" s="31"/>
      <c r="E388" s="31"/>
      <c r="F388" s="29"/>
      <c r="G388" s="29" t="str">
        <f aca="false">IF(OR(D388="",E388="",F388=""),"",D388*E388*F388)</f>
        <v/>
      </c>
      <c r="H388" s="31"/>
      <c r="I388" s="36" t="str">
        <f aca="false">IF(OR(C388="",K388=""),"",IF(K388&gt;=_xlfn.MAXIFS($K$5:K387,$C$5:C387,C388),"Yes","No"))</f>
        <v/>
      </c>
      <c r="J388" s="32"/>
      <c r="K388" s="48" t="str">
        <f aca="false">IF(OR(E388="",F388=""),"",F388*(1+E388/30))</f>
        <v/>
      </c>
      <c r="L388" s="36" t="str">
        <f aca="false">IF(A388="","",INT((A388-StartDate)/7)+1)</f>
        <v/>
      </c>
      <c r="M388" s="36" t="str">
        <f aca="false">IF(A388="","",TEXT(A388,"mmm"))</f>
        <v/>
      </c>
      <c r="N388" s="48" t="str">
        <f aca="false">IFERROR(IF(ISNUMBER(SEARCH("squat",C388)),K388,""),"")</f>
        <v/>
      </c>
      <c r="O388" s="48" t="str">
        <f aca="false">IFERROR(IF(ISNUMBER(SEARCH("bench",C388)),K388,""),"")</f>
        <v/>
      </c>
      <c r="P388" s="48" t="str">
        <f aca="false">IFERROR(IF(ISNUMBER(SEARCH("deadlift",C388)),K388,""),"")</f>
        <v/>
      </c>
      <c r="V388" s="48" t="n">
        <f aca="false">MAX(V387,IF(N388="",0,N388))</f>
        <v>144.666666666667</v>
      </c>
      <c r="W388" s="48" t="n">
        <f aca="false">MAX(W387,IF(O388="",0,O388))</f>
        <v>99.1666666666667</v>
      </c>
      <c r="X388" s="48" t="n">
        <f aca="false">MAX(X387,IF(P388="",0,P388))</f>
        <v>175.666666666667</v>
      </c>
      <c r="Y388" s="48" t="n">
        <f aca="false">V388+W388+X388</f>
        <v>419.5</v>
      </c>
    </row>
    <row r="389" customFormat="false" ht="15" hidden="false" customHeight="false" outlineLevel="0" collapsed="false">
      <c r="A389" s="45"/>
      <c r="B389" s="31"/>
      <c r="C389" s="32"/>
      <c r="D389" s="31"/>
      <c r="E389" s="31"/>
      <c r="F389" s="29"/>
      <c r="G389" s="29" t="str">
        <f aca="false">IF(OR(D389="",E389="",F389=""),"",D389*E389*F389)</f>
        <v/>
      </c>
      <c r="H389" s="31"/>
      <c r="I389" s="46" t="str">
        <f aca="false">IF(OR(C389="",K389=""),"",IF(K389&gt;=_xlfn.MAXIFS($K$5:K388,$C$5:C388,C389),"Yes","No"))</f>
        <v/>
      </c>
      <c r="J389" s="32"/>
      <c r="K389" s="47" t="str">
        <f aca="false">IF(OR(E389="",F389=""),"",F389*(1+E389/30))</f>
        <v/>
      </c>
      <c r="L389" s="27" t="str">
        <f aca="false">IF(A389="","",INT((A389-StartDate)/7)+1)</f>
        <v/>
      </c>
      <c r="M389" s="27" t="str">
        <f aca="false">IF(A389="","",TEXT(A389,"mmm"))</f>
        <v/>
      </c>
      <c r="N389" s="47" t="str">
        <f aca="false">IFERROR(IF(ISNUMBER(SEARCH("squat",C389)),K389,""),"")</f>
        <v/>
      </c>
      <c r="O389" s="47" t="str">
        <f aca="false">IFERROR(IF(ISNUMBER(SEARCH("bench",C389)),K389,""),"")</f>
        <v/>
      </c>
      <c r="P389" s="47" t="str">
        <f aca="false">IFERROR(IF(ISNUMBER(SEARCH("deadlift",C389)),K389,""),"")</f>
        <v/>
      </c>
      <c r="V389" s="47" t="n">
        <f aca="false">MAX(V388,IF(N389="",0,N389))</f>
        <v>144.666666666667</v>
      </c>
      <c r="W389" s="47" t="n">
        <f aca="false">MAX(W388,IF(O389="",0,O389))</f>
        <v>99.1666666666667</v>
      </c>
      <c r="X389" s="47" t="n">
        <f aca="false">MAX(X388,IF(P389="",0,P389))</f>
        <v>175.666666666667</v>
      </c>
      <c r="Y389" s="47" t="n">
        <f aca="false">V389+W389+X389</f>
        <v>419.5</v>
      </c>
    </row>
    <row r="390" customFormat="false" ht="15" hidden="false" customHeight="false" outlineLevel="0" collapsed="false">
      <c r="A390" s="45"/>
      <c r="B390" s="31"/>
      <c r="C390" s="32"/>
      <c r="D390" s="31"/>
      <c r="E390" s="31"/>
      <c r="F390" s="29"/>
      <c r="G390" s="29" t="str">
        <f aca="false">IF(OR(D390="",E390="",F390=""),"",D390*E390*F390)</f>
        <v/>
      </c>
      <c r="H390" s="31"/>
      <c r="I390" s="36" t="str">
        <f aca="false">IF(OR(C390="",K390=""),"",IF(K390&gt;=_xlfn.MAXIFS($K$5:K389,$C$5:C389,C390),"Yes","No"))</f>
        <v/>
      </c>
      <c r="J390" s="32"/>
      <c r="K390" s="48" t="str">
        <f aca="false">IF(OR(E390="",F390=""),"",F390*(1+E390/30))</f>
        <v/>
      </c>
      <c r="L390" s="36" t="str">
        <f aca="false">IF(A390="","",INT((A390-StartDate)/7)+1)</f>
        <v/>
      </c>
      <c r="M390" s="36" t="str">
        <f aca="false">IF(A390="","",TEXT(A390,"mmm"))</f>
        <v/>
      </c>
      <c r="N390" s="48" t="str">
        <f aca="false">IFERROR(IF(ISNUMBER(SEARCH("squat",C390)),K390,""),"")</f>
        <v/>
      </c>
      <c r="O390" s="48" t="str">
        <f aca="false">IFERROR(IF(ISNUMBER(SEARCH("bench",C390)),K390,""),"")</f>
        <v/>
      </c>
      <c r="P390" s="48" t="str">
        <f aca="false">IFERROR(IF(ISNUMBER(SEARCH("deadlift",C390)),K390,""),"")</f>
        <v/>
      </c>
      <c r="V390" s="48" t="n">
        <f aca="false">MAX(V389,IF(N390="",0,N390))</f>
        <v>144.666666666667</v>
      </c>
      <c r="W390" s="48" t="n">
        <f aca="false">MAX(W389,IF(O390="",0,O390))</f>
        <v>99.1666666666667</v>
      </c>
      <c r="X390" s="48" t="n">
        <f aca="false">MAX(X389,IF(P390="",0,P390))</f>
        <v>175.666666666667</v>
      </c>
      <c r="Y390" s="48" t="n">
        <f aca="false">V390+W390+X390</f>
        <v>419.5</v>
      </c>
    </row>
    <row r="391" customFormat="false" ht="15" hidden="false" customHeight="false" outlineLevel="0" collapsed="false">
      <c r="A391" s="45"/>
      <c r="B391" s="31"/>
      <c r="C391" s="32"/>
      <c r="D391" s="31"/>
      <c r="E391" s="31"/>
      <c r="F391" s="29"/>
      <c r="G391" s="29" t="str">
        <f aca="false">IF(OR(D391="",E391="",F391=""),"",D391*E391*F391)</f>
        <v/>
      </c>
      <c r="H391" s="31"/>
      <c r="I391" s="46" t="str">
        <f aca="false">IF(OR(C391="",K391=""),"",IF(K391&gt;=_xlfn.MAXIFS($K$5:K390,$C$5:C390,C391),"Yes","No"))</f>
        <v/>
      </c>
      <c r="J391" s="32"/>
      <c r="K391" s="47" t="str">
        <f aca="false">IF(OR(E391="",F391=""),"",F391*(1+E391/30))</f>
        <v/>
      </c>
      <c r="L391" s="27" t="str">
        <f aca="false">IF(A391="","",INT((A391-StartDate)/7)+1)</f>
        <v/>
      </c>
      <c r="M391" s="27" t="str">
        <f aca="false">IF(A391="","",TEXT(A391,"mmm"))</f>
        <v/>
      </c>
      <c r="N391" s="47" t="str">
        <f aca="false">IFERROR(IF(ISNUMBER(SEARCH("squat",C391)),K391,""),"")</f>
        <v/>
      </c>
      <c r="O391" s="47" t="str">
        <f aca="false">IFERROR(IF(ISNUMBER(SEARCH("bench",C391)),K391,""),"")</f>
        <v/>
      </c>
      <c r="P391" s="47" t="str">
        <f aca="false">IFERROR(IF(ISNUMBER(SEARCH("deadlift",C391)),K391,""),"")</f>
        <v/>
      </c>
      <c r="V391" s="47" t="n">
        <f aca="false">MAX(V390,IF(N391="",0,N391))</f>
        <v>144.666666666667</v>
      </c>
      <c r="W391" s="47" t="n">
        <f aca="false">MAX(W390,IF(O391="",0,O391))</f>
        <v>99.1666666666667</v>
      </c>
      <c r="X391" s="47" t="n">
        <f aca="false">MAX(X390,IF(P391="",0,P391))</f>
        <v>175.666666666667</v>
      </c>
      <c r="Y391" s="47" t="n">
        <f aca="false">V391+W391+X391</f>
        <v>419.5</v>
      </c>
    </row>
    <row r="392" customFormat="false" ht="15" hidden="false" customHeight="false" outlineLevel="0" collapsed="false">
      <c r="A392" s="45"/>
      <c r="B392" s="31"/>
      <c r="C392" s="32"/>
      <c r="D392" s="31"/>
      <c r="E392" s="31"/>
      <c r="F392" s="29"/>
      <c r="G392" s="29" t="str">
        <f aca="false">IF(OR(D392="",E392="",F392=""),"",D392*E392*F392)</f>
        <v/>
      </c>
      <c r="H392" s="31"/>
      <c r="I392" s="36" t="str">
        <f aca="false">IF(OR(C392="",K392=""),"",IF(K392&gt;=_xlfn.MAXIFS($K$5:K391,$C$5:C391,C392),"Yes","No"))</f>
        <v/>
      </c>
      <c r="J392" s="32"/>
      <c r="K392" s="48" t="str">
        <f aca="false">IF(OR(E392="",F392=""),"",F392*(1+E392/30))</f>
        <v/>
      </c>
      <c r="L392" s="36" t="str">
        <f aca="false">IF(A392="","",INT((A392-StartDate)/7)+1)</f>
        <v/>
      </c>
      <c r="M392" s="36" t="str">
        <f aca="false">IF(A392="","",TEXT(A392,"mmm"))</f>
        <v/>
      </c>
      <c r="N392" s="48" t="str">
        <f aca="false">IFERROR(IF(ISNUMBER(SEARCH("squat",C392)),K392,""),"")</f>
        <v/>
      </c>
      <c r="O392" s="48" t="str">
        <f aca="false">IFERROR(IF(ISNUMBER(SEARCH("bench",C392)),K392,""),"")</f>
        <v/>
      </c>
      <c r="P392" s="48" t="str">
        <f aca="false">IFERROR(IF(ISNUMBER(SEARCH("deadlift",C392)),K392,""),"")</f>
        <v/>
      </c>
      <c r="V392" s="48" t="n">
        <f aca="false">MAX(V391,IF(N392="",0,N392))</f>
        <v>144.666666666667</v>
      </c>
      <c r="W392" s="48" t="n">
        <f aca="false">MAX(W391,IF(O392="",0,O392))</f>
        <v>99.1666666666667</v>
      </c>
      <c r="X392" s="48" t="n">
        <f aca="false">MAX(X391,IF(P392="",0,P392))</f>
        <v>175.666666666667</v>
      </c>
      <c r="Y392" s="48" t="n">
        <f aca="false">V392+W392+X392</f>
        <v>419.5</v>
      </c>
    </row>
    <row r="393" customFormat="false" ht="15" hidden="false" customHeight="false" outlineLevel="0" collapsed="false">
      <c r="A393" s="45"/>
      <c r="B393" s="31"/>
      <c r="C393" s="32"/>
      <c r="D393" s="31"/>
      <c r="E393" s="31"/>
      <c r="F393" s="29"/>
      <c r="G393" s="29" t="str">
        <f aca="false">IF(OR(D393="",E393="",F393=""),"",D393*E393*F393)</f>
        <v/>
      </c>
      <c r="H393" s="31"/>
      <c r="I393" s="46" t="str">
        <f aca="false">IF(OR(C393="",K393=""),"",IF(K393&gt;=_xlfn.MAXIFS($K$5:K392,$C$5:C392,C393),"Yes","No"))</f>
        <v/>
      </c>
      <c r="J393" s="32"/>
      <c r="K393" s="47" t="str">
        <f aca="false">IF(OR(E393="",F393=""),"",F393*(1+E393/30))</f>
        <v/>
      </c>
      <c r="L393" s="27" t="str">
        <f aca="false">IF(A393="","",INT((A393-StartDate)/7)+1)</f>
        <v/>
      </c>
      <c r="M393" s="27" t="str">
        <f aca="false">IF(A393="","",TEXT(A393,"mmm"))</f>
        <v/>
      </c>
      <c r="N393" s="47" t="str">
        <f aca="false">IFERROR(IF(ISNUMBER(SEARCH("squat",C393)),K393,""),"")</f>
        <v/>
      </c>
      <c r="O393" s="47" t="str">
        <f aca="false">IFERROR(IF(ISNUMBER(SEARCH("bench",C393)),K393,""),"")</f>
        <v/>
      </c>
      <c r="P393" s="47" t="str">
        <f aca="false">IFERROR(IF(ISNUMBER(SEARCH("deadlift",C393)),K393,""),"")</f>
        <v/>
      </c>
      <c r="V393" s="47" t="n">
        <f aca="false">MAX(V392,IF(N393="",0,N393))</f>
        <v>144.666666666667</v>
      </c>
      <c r="W393" s="47" t="n">
        <f aca="false">MAX(W392,IF(O393="",0,O393))</f>
        <v>99.1666666666667</v>
      </c>
      <c r="X393" s="47" t="n">
        <f aca="false">MAX(X392,IF(P393="",0,P393))</f>
        <v>175.666666666667</v>
      </c>
      <c r="Y393" s="47" t="n">
        <f aca="false">V393+W393+X393</f>
        <v>419.5</v>
      </c>
    </row>
    <row r="394" customFormat="false" ht="15" hidden="false" customHeight="false" outlineLevel="0" collapsed="false">
      <c r="A394" s="45"/>
      <c r="B394" s="31"/>
      <c r="C394" s="32"/>
      <c r="D394" s="31"/>
      <c r="E394" s="31"/>
      <c r="F394" s="29"/>
      <c r="G394" s="29" t="str">
        <f aca="false">IF(OR(D394="",E394="",F394=""),"",D394*E394*F394)</f>
        <v/>
      </c>
      <c r="H394" s="31"/>
      <c r="I394" s="36" t="str">
        <f aca="false">IF(OR(C394="",K394=""),"",IF(K394&gt;=_xlfn.MAXIFS($K$5:K393,$C$5:C393,C394),"Yes","No"))</f>
        <v/>
      </c>
      <c r="J394" s="32"/>
      <c r="K394" s="48" t="str">
        <f aca="false">IF(OR(E394="",F394=""),"",F394*(1+E394/30))</f>
        <v/>
      </c>
      <c r="L394" s="36" t="str">
        <f aca="false">IF(A394="","",INT((A394-StartDate)/7)+1)</f>
        <v/>
      </c>
      <c r="M394" s="36" t="str">
        <f aca="false">IF(A394="","",TEXT(A394,"mmm"))</f>
        <v/>
      </c>
      <c r="N394" s="48" t="str">
        <f aca="false">IFERROR(IF(ISNUMBER(SEARCH("squat",C394)),K394,""),"")</f>
        <v/>
      </c>
      <c r="O394" s="48" t="str">
        <f aca="false">IFERROR(IF(ISNUMBER(SEARCH("bench",C394)),K394,""),"")</f>
        <v/>
      </c>
      <c r="P394" s="48" t="str">
        <f aca="false">IFERROR(IF(ISNUMBER(SEARCH("deadlift",C394)),K394,""),"")</f>
        <v/>
      </c>
      <c r="V394" s="48" t="n">
        <f aca="false">MAX(V393,IF(N394="",0,N394))</f>
        <v>144.666666666667</v>
      </c>
      <c r="W394" s="48" t="n">
        <f aca="false">MAX(W393,IF(O394="",0,O394))</f>
        <v>99.1666666666667</v>
      </c>
      <c r="X394" s="48" t="n">
        <f aca="false">MAX(X393,IF(P394="",0,P394))</f>
        <v>175.666666666667</v>
      </c>
      <c r="Y394" s="48" t="n">
        <f aca="false">V394+W394+X394</f>
        <v>419.5</v>
      </c>
    </row>
    <row r="395" customFormat="false" ht="15" hidden="false" customHeight="false" outlineLevel="0" collapsed="false">
      <c r="A395" s="45"/>
      <c r="B395" s="31"/>
      <c r="C395" s="32"/>
      <c r="D395" s="31"/>
      <c r="E395" s="31"/>
      <c r="F395" s="29"/>
      <c r="G395" s="29" t="str">
        <f aca="false">IF(OR(D395="",E395="",F395=""),"",D395*E395*F395)</f>
        <v/>
      </c>
      <c r="H395" s="31"/>
      <c r="I395" s="46" t="str">
        <f aca="false">IF(OR(C395="",K395=""),"",IF(K395&gt;=_xlfn.MAXIFS($K$5:K394,$C$5:C394,C395),"Yes","No"))</f>
        <v/>
      </c>
      <c r="J395" s="32"/>
      <c r="K395" s="47" t="str">
        <f aca="false">IF(OR(E395="",F395=""),"",F395*(1+E395/30))</f>
        <v/>
      </c>
      <c r="L395" s="27" t="str">
        <f aca="false">IF(A395="","",INT((A395-StartDate)/7)+1)</f>
        <v/>
      </c>
      <c r="M395" s="27" t="str">
        <f aca="false">IF(A395="","",TEXT(A395,"mmm"))</f>
        <v/>
      </c>
      <c r="N395" s="47" t="str">
        <f aca="false">IFERROR(IF(ISNUMBER(SEARCH("squat",C395)),K395,""),"")</f>
        <v/>
      </c>
      <c r="O395" s="47" t="str">
        <f aca="false">IFERROR(IF(ISNUMBER(SEARCH("bench",C395)),K395,""),"")</f>
        <v/>
      </c>
      <c r="P395" s="47" t="str">
        <f aca="false">IFERROR(IF(ISNUMBER(SEARCH("deadlift",C395)),K395,""),"")</f>
        <v/>
      </c>
      <c r="V395" s="47" t="n">
        <f aca="false">MAX(V394,IF(N395="",0,N395))</f>
        <v>144.666666666667</v>
      </c>
      <c r="W395" s="47" t="n">
        <f aca="false">MAX(W394,IF(O395="",0,O395))</f>
        <v>99.1666666666667</v>
      </c>
      <c r="X395" s="47" t="n">
        <f aca="false">MAX(X394,IF(P395="",0,P395))</f>
        <v>175.666666666667</v>
      </c>
      <c r="Y395" s="47" t="n">
        <f aca="false">V395+W395+X395</f>
        <v>419.5</v>
      </c>
    </row>
    <row r="396" customFormat="false" ht="15" hidden="false" customHeight="false" outlineLevel="0" collapsed="false">
      <c r="A396" s="45"/>
      <c r="B396" s="31"/>
      <c r="C396" s="32"/>
      <c r="D396" s="31"/>
      <c r="E396" s="31"/>
      <c r="F396" s="29"/>
      <c r="G396" s="29" t="str">
        <f aca="false">IF(OR(D396="",E396="",F396=""),"",D396*E396*F396)</f>
        <v/>
      </c>
      <c r="H396" s="31"/>
      <c r="I396" s="36" t="str">
        <f aca="false">IF(OR(C396="",K396=""),"",IF(K396&gt;=_xlfn.MAXIFS($K$5:K395,$C$5:C395,C396),"Yes","No"))</f>
        <v/>
      </c>
      <c r="J396" s="32"/>
      <c r="K396" s="48" t="str">
        <f aca="false">IF(OR(E396="",F396=""),"",F396*(1+E396/30))</f>
        <v/>
      </c>
      <c r="L396" s="36" t="str">
        <f aca="false">IF(A396="","",INT((A396-StartDate)/7)+1)</f>
        <v/>
      </c>
      <c r="M396" s="36" t="str">
        <f aca="false">IF(A396="","",TEXT(A396,"mmm"))</f>
        <v/>
      </c>
      <c r="N396" s="48" t="str">
        <f aca="false">IFERROR(IF(ISNUMBER(SEARCH("squat",C396)),K396,""),"")</f>
        <v/>
      </c>
      <c r="O396" s="48" t="str">
        <f aca="false">IFERROR(IF(ISNUMBER(SEARCH("bench",C396)),K396,""),"")</f>
        <v/>
      </c>
      <c r="P396" s="48" t="str">
        <f aca="false">IFERROR(IF(ISNUMBER(SEARCH("deadlift",C396)),K396,""),"")</f>
        <v/>
      </c>
      <c r="V396" s="48" t="n">
        <f aca="false">MAX(V395,IF(N396="",0,N396))</f>
        <v>144.666666666667</v>
      </c>
      <c r="W396" s="48" t="n">
        <f aca="false">MAX(W395,IF(O396="",0,O396))</f>
        <v>99.1666666666667</v>
      </c>
      <c r="X396" s="48" t="n">
        <f aca="false">MAX(X395,IF(P396="",0,P396))</f>
        <v>175.666666666667</v>
      </c>
      <c r="Y396" s="48" t="n">
        <f aca="false">V396+W396+X396</f>
        <v>419.5</v>
      </c>
    </row>
    <row r="397" customFormat="false" ht="15" hidden="false" customHeight="false" outlineLevel="0" collapsed="false">
      <c r="A397" s="45"/>
      <c r="B397" s="31"/>
      <c r="C397" s="32"/>
      <c r="D397" s="31"/>
      <c r="E397" s="31"/>
      <c r="F397" s="29"/>
      <c r="G397" s="29" t="str">
        <f aca="false">IF(OR(D397="",E397="",F397=""),"",D397*E397*F397)</f>
        <v/>
      </c>
      <c r="H397" s="31"/>
      <c r="I397" s="46" t="str">
        <f aca="false">IF(OR(C397="",K397=""),"",IF(K397&gt;=_xlfn.MAXIFS($K$5:K396,$C$5:C396,C397),"Yes","No"))</f>
        <v/>
      </c>
      <c r="J397" s="32"/>
      <c r="K397" s="47" t="str">
        <f aca="false">IF(OR(E397="",F397=""),"",F397*(1+E397/30))</f>
        <v/>
      </c>
      <c r="L397" s="27" t="str">
        <f aca="false">IF(A397="","",INT((A397-StartDate)/7)+1)</f>
        <v/>
      </c>
      <c r="M397" s="27" t="str">
        <f aca="false">IF(A397="","",TEXT(A397,"mmm"))</f>
        <v/>
      </c>
      <c r="N397" s="47" t="str">
        <f aca="false">IFERROR(IF(ISNUMBER(SEARCH("squat",C397)),K397,""),"")</f>
        <v/>
      </c>
      <c r="O397" s="47" t="str">
        <f aca="false">IFERROR(IF(ISNUMBER(SEARCH("bench",C397)),K397,""),"")</f>
        <v/>
      </c>
      <c r="P397" s="47" t="str">
        <f aca="false">IFERROR(IF(ISNUMBER(SEARCH("deadlift",C397)),K397,""),"")</f>
        <v/>
      </c>
      <c r="V397" s="47" t="n">
        <f aca="false">MAX(V396,IF(N397="",0,N397))</f>
        <v>144.666666666667</v>
      </c>
      <c r="W397" s="47" t="n">
        <f aca="false">MAX(W396,IF(O397="",0,O397))</f>
        <v>99.1666666666667</v>
      </c>
      <c r="X397" s="47" t="n">
        <f aca="false">MAX(X396,IF(P397="",0,P397))</f>
        <v>175.666666666667</v>
      </c>
      <c r="Y397" s="47" t="n">
        <f aca="false">V397+W397+X397</f>
        <v>419.5</v>
      </c>
    </row>
    <row r="398" customFormat="false" ht="15" hidden="false" customHeight="false" outlineLevel="0" collapsed="false">
      <c r="A398" s="45"/>
      <c r="B398" s="31"/>
      <c r="C398" s="32"/>
      <c r="D398" s="31"/>
      <c r="E398" s="31"/>
      <c r="F398" s="29"/>
      <c r="G398" s="29" t="str">
        <f aca="false">IF(OR(D398="",E398="",F398=""),"",D398*E398*F398)</f>
        <v/>
      </c>
      <c r="H398" s="31"/>
      <c r="I398" s="36" t="str">
        <f aca="false">IF(OR(C398="",K398=""),"",IF(K398&gt;=_xlfn.MAXIFS($K$5:K397,$C$5:C397,C398),"Yes","No"))</f>
        <v/>
      </c>
      <c r="J398" s="32"/>
      <c r="K398" s="48" t="str">
        <f aca="false">IF(OR(E398="",F398=""),"",F398*(1+E398/30))</f>
        <v/>
      </c>
      <c r="L398" s="36" t="str">
        <f aca="false">IF(A398="","",INT((A398-StartDate)/7)+1)</f>
        <v/>
      </c>
      <c r="M398" s="36" t="str">
        <f aca="false">IF(A398="","",TEXT(A398,"mmm"))</f>
        <v/>
      </c>
      <c r="N398" s="48" t="str">
        <f aca="false">IFERROR(IF(ISNUMBER(SEARCH("squat",C398)),K398,""),"")</f>
        <v/>
      </c>
      <c r="O398" s="48" t="str">
        <f aca="false">IFERROR(IF(ISNUMBER(SEARCH("bench",C398)),K398,""),"")</f>
        <v/>
      </c>
      <c r="P398" s="48" t="str">
        <f aca="false">IFERROR(IF(ISNUMBER(SEARCH("deadlift",C398)),K398,""),"")</f>
        <v/>
      </c>
      <c r="V398" s="48" t="n">
        <f aca="false">MAX(V397,IF(N398="",0,N398))</f>
        <v>144.666666666667</v>
      </c>
      <c r="W398" s="48" t="n">
        <f aca="false">MAX(W397,IF(O398="",0,O398))</f>
        <v>99.1666666666667</v>
      </c>
      <c r="X398" s="48" t="n">
        <f aca="false">MAX(X397,IF(P398="",0,P398))</f>
        <v>175.666666666667</v>
      </c>
      <c r="Y398" s="48" t="n">
        <f aca="false">V398+W398+X398</f>
        <v>419.5</v>
      </c>
    </row>
    <row r="399" customFormat="false" ht="15" hidden="false" customHeight="false" outlineLevel="0" collapsed="false">
      <c r="A399" s="45"/>
      <c r="B399" s="31"/>
      <c r="C399" s="32"/>
      <c r="D399" s="31"/>
      <c r="E399" s="31"/>
      <c r="F399" s="29"/>
      <c r="G399" s="29" t="str">
        <f aca="false">IF(OR(D399="",E399="",F399=""),"",D399*E399*F399)</f>
        <v/>
      </c>
      <c r="H399" s="31"/>
      <c r="I399" s="46" t="str">
        <f aca="false">IF(OR(C399="",K399=""),"",IF(K399&gt;=_xlfn.MAXIFS($K$5:K398,$C$5:C398,C399),"Yes","No"))</f>
        <v/>
      </c>
      <c r="J399" s="32"/>
      <c r="K399" s="47" t="str">
        <f aca="false">IF(OR(E399="",F399=""),"",F399*(1+E399/30))</f>
        <v/>
      </c>
      <c r="L399" s="27" t="str">
        <f aca="false">IF(A399="","",INT((A399-StartDate)/7)+1)</f>
        <v/>
      </c>
      <c r="M399" s="27" t="str">
        <f aca="false">IF(A399="","",TEXT(A399,"mmm"))</f>
        <v/>
      </c>
      <c r="N399" s="47" t="str">
        <f aca="false">IFERROR(IF(ISNUMBER(SEARCH("squat",C399)),K399,""),"")</f>
        <v/>
      </c>
      <c r="O399" s="47" t="str">
        <f aca="false">IFERROR(IF(ISNUMBER(SEARCH("bench",C399)),K399,""),"")</f>
        <v/>
      </c>
      <c r="P399" s="47" t="str">
        <f aca="false">IFERROR(IF(ISNUMBER(SEARCH("deadlift",C399)),K399,""),"")</f>
        <v/>
      </c>
      <c r="V399" s="47" t="n">
        <f aca="false">MAX(V398,IF(N399="",0,N399))</f>
        <v>144.666666666667</v>
      </c>
      <c r="W399" s="47" t="n">
        <f aca="false">MAX(W398,IF(O399="",0,O399))</f>
        <v>99.1666666666667</v>
      </c>
      <c r="X399" s="47" t="n">
        <f aca="false">MAX(X398,IF(P399="",0,P399))</f>
        <v>175.666666666667</v>
      </c>
      <c r="Y399" s="47" t="n">
        <f aca="false">V399+W399+X399</f>
        <v>419.5</v>
      </c>
    </row>
    <row r="400" customFormat="false" ht="15" hidden="false" customHeight="false" outlineLevel="0" collapsed="false">
      <c r="A400" s="45"/>
      <c r="B400" s="31"/>
      <c r="C400" s="32"/>
      <c r="D400" s="31"/>
      <c r="E400" s="31"/>
      <c r="F400" s="29"/>
      <c r="G400" s="29" t="str">
        <f aca="false">IF(OR(D400="",E400="",F400=""),"",D400*E400*F400)</f>
        <v/>
      </c>
      <c r="H400" s="31"/>
      <c r="I400" s="36" t="str">
        <f aca="false">IF(OR(C400="",K400=""),"",IF(K400&gt;=_xlfn.MAXIFS($K$5:K399,$C$5:C399,C400),"Yes","No"))</f>
        <v/>
      </c>
      <c r="J400" s="32"/>
      <c r="K400" s="48" t="str">
        <f aca="false">IF(OR(E400="",F400=""),"",F400*(1+E400/30))</f>
        <v/>
      </c>
      <c r="L400" s="36" t="str">
        <f aca="false">IF(A400="","",INT((A400-StartDate)/7)+1)</f>
        <v/>
      </c>
      <c r="M400" s="36" t="str">
        <f aca="false">IF(A400="","",TEXT(A400,"mmm"))</f>
        <v/>
      </c>
      <c r="N400" s="48" t="str">
        <f aca="false">IFERROR(IF(ISNUMBER(SEARCH("squat",C400)),K400,""),"")</f>
        <v/>
      </c>
      <c r="O400" s="48" t="str">
        <f aca="false">IFERROR(IF(ISNUMBER(SEARCH("bench",C400)),K400,""),"")</f>
        <v/>
      </c>
      <c r="P400" s="48" t="str">
        <f aca="false">IFERROR(IF(ISNUMBER(SEARCH("deadlift",C400)),K400,""),"")</f>
        <v/>
      </c>
      <c r="V400" s="48" t="n">
        <f aca="false">MAX(V399,IF(N400="",0,N400))</f>
        <v>144.666666666667</v>
      </c>
      <c r="W400" s="48" t="n">
        <f aca="false">MAX(W399,IF(O400="",0,O400))</f>
        <v>99.1666666666667</v>
      </c>
      <c r="X400" s="48" t="n">
        <f aca="false">MAX(X399,IF(P400="",0,P400))</f>
        <v>175.666666666667</v>
      </c>
      <c r="Y400" s="48" t="n">
        <f aca="false">V400+W400+X400</f>
        <v>419.5</v>
      </c>
    </row>
    <row r="401" customFormat="false" ht="15" hidden="false" customHeight="false" outlineLevel="0" collapsed="false">
      <c r="A401" s="45"/>
      <c r="B401" s="31"/>
      <c r="C401" s="32"/>
      <c r="D401" s="31"/>
      <c r="E401" s="31"/>
      <c r="F401" s="29"/>
      <c r="G401" s="29" t="str">
        <f aca="false">IF(OR(D401="",E401="",F401=""),"",D401*E401*F401)</f>
        <v/>
      </c>
      <c r="H401" s="31"/>
      <c r="I401" s="46" t="str">
        <f aca="false">IF(OR(C401="",K401=""),"",IF(K401&gt;=_xlfn.MAXIFS($K$5:K400,$C$5:C400,C401),"Yes","No"))</f>
        <v/>
      </c>
      <c r="J401" s="32"/>
      <c r="K401" s="47" t="str">
        <f aca="false">IF(OR(E401="",F401=""),"",F401*(1+E401/30))</f>
        <v/>
      </c>
      <c r="L401" s="27" t="str">
        <f aca="false">IF(A401="","",INT((A401-StartDate)/7)+1)</f>
        <v/>
      </c>
      <c r="M401" s="27" t="str">
        <f aca="false">IF(A401="","",TEXT(A401,"mmm"))</f>
        <v/>
      </c>
      <c r="N401" s="47" t="str">
        <f aca="false">IFERROR(IF(ISNUMBER(SEARCH("squat",C401)),K401,""),"")</f>
        <v/>
      </c>
      <c r="O401" s="47" t="str">
        <f aca="false">IFERROR(IF(ISNUMBER(SEARCH("bench",C401)),K401,""),"")</f>
        <v/>
      </c>
      <c r="P401" s="47" t="str">
        <f aca="false">IFERROR(IF(ISNUMBER(SEARCH("deadlift",C401)),K401,""),"")</f>
        <v/>
      </c>
      <c r="V401" s="47" t="n">
        <f aca="false">MAX(V400,IF(N401="",0,N401))</f>
        <v>144.666666666667</v>
      </c>
      <c r="W401" s="47" t="n">
        <f aca="false">MAX(W400,IF(O401="",0,O401))</f>
        <v>99.1666666666667</v>
      </c>
      <c r="X401" s="47" t="n">
        <f aca="false">MAX(X400,IF(P401="",0,P401))</f>
        <v>175.666666666667</v>
      </c>
      <c r="Y401" s="47" t="n">
        <f aca="false">V401+W401+X401</f>
        <v>419.5</v>
      </c>
    </row>
    <row r="402" customFormat="false" ht="15" hidden="false" customHeight="false" outlineLevel="0" collapsed="false">
      <c r="A402" s="45"/>
      <c r="B402" s="31"/>
      <c r="C402" s="32"/>
      <c r="D402" s="31"/>
      <c r="E402" s="31"/>
      <c r="F402" s="29"/>
      <c r="G402" s="29" t="str">
        <f aca="false">IF(OR(D402="",E402="",F402=""),"",D402*E402*F402)</f>
        <v/>
      </c>
      <c r="H402" s="31"/>
      <c r="I402" s="36" t="str">
        <f aca="false">IF(OR(C402="",K402=""),"",IF(K402&gt;=_xlfn.MAXIFS($K$5:K401,$C$5:C401,C402),"Yes","No"))</f>
        <v/>
      </c>
      <c r="J402" s="32"/>
      <c r="K402" s="48" t="str">
        <f aca="false">IF(OR(E402="",F402=""),"",F402*(1+E402/30))</f>
        <v/>
      </c>
      <c r="L402" s="36" t="str">
        <f aca="false">IF(A402="","",INT((A402-StartDate)/7)+1)</f>
        <v/>
      </c>
      <c r="M402" s="36" t="str">
        <f aca="false">IF(A402="","",TEXT(A402,"mmm"))</f>
        <v/>
      </c>
      <c r="N402" s="48" t="str">
        <f aca="false">IFERROR(IF(ISNUMBER(SEARCH("squat",C402)),K402,""),"")</f>
        <v/>
      </c>
      <c r="O402" s="48" t="str">
        <f aca="false">IFERROR(IF(ISNUMBER(SEARCH("bench",C402)),K402,""),"")</f>
        <v/>
      </c>
      <c r="P402" s="48" t="str">
        <f aca="false">IFERROR(IF(ISNUMBER(SEARCH("deadlift",C402)),K402,""),"")</f>
        <v/>
      </c>
      <c r="V402" s="48" t="n">
        <f aca="false">MAX(V401,IF(N402="",0,N402))</f>
        <v>144.666666666667</v>
      </c>
      <c r="W402" s="48" t="n">
        <f aca="false">MAX(W401,IF(O402="",0,O402))</f>
        <v>99.1666666666667</v>
      </c>
      <c r="X402" s="48" t="n">
        <f aca="false">MAX(X401,IF(P402="",0,P402))</f>
        <v>175.666666666667</v>
      </c>
      <c r="Y402" s="48" t="n">
        <f aca="false">V402+W402+X402</f>
        <v>419.5</v>
      </c>
    </row>
    <row r="403" customFormat="false" ht="15" hidden="false" customHeight="false" outlineLevel="0" collapsed="false">
      <c r="A403" s="45"/>
      <c r="B403" s="31"/>
      <c r="C403" s="32"/>
      <c r="D403" s="31"/>
      <c r="E403" s="31"/>
      <c r="F403" s="29"/>
      <c r="G403" s="29" t="str">
        <f aca="false">IF(OR(D403="",E403="",F403=""),"",D403*E403*F403)</f>
        <v/>
      </c>
      <c r="H403" s="31"/>
      <c r="I403" s="46" t="str">
        <f aca="false">IF(OR(C403="",K403=""),"",IF(K403&gt;=_xlfn.MAXIFS($K$5:K402,$C$5:C402,C403),"Yes","No"))</f>
        <v/>
      </c>
      <c r="J403" s="32"/>
      <c r="K403" s="47" t="str">
        <f aca="false">IF(OR(E403="",F403=""),"",F403*(1+E403/30))</f>
        <v/>
      </c>
      <c r="L403" s="27" t="str">
        <f aca="false">IF(A403="","",INT((A403-StartDate)/7)+1)</f>
        <v/>
      </c>
      <c r="M403" s="27" t="str">
        <f aca="false">IF(A403="","",TEXT(A403,"mmm"))</f>
        <v/>
      </c>
      <c r="N403" s="47" t="str">
        <f aca="false">IFERROR(IF(ISNUMBER(SEARCH("squat",C403)),K403,""),"")</f>
        <v/>
      </c>
      <c r="O403" s="47" t="str">
        <f aca="false">IFERROR(IF(ISNUMBER(SEARCH("bench",C403)),K403,""),"")</f>
        <v/>
      </c>
      <c r="P403" s="47" t="str">
        <f aca="false">IFERROR(IF(ISNUMBER(SEARCH("deadlift",C403)),K403,""),"")</f>
        <v/>
      </c>
      <c r="V403" s="47" t="n">
        <f aca="false">MAX(V402,IF(N403="",0,N403))</f>
        <v>144.666666666667</v>
      </c>
      <c r="W403" s="47" t="n">
        <f aca="false">MAX(W402,IF(O403="",0,O403))</f>
        <v>99.1666666666667</v>
      </c>
      <c r="X403" s="47" t="n">
        <f aca="false">MAX(X402,IF(P403="",0,P403))</f>
        <v>175.666666666667</v>
      </c>
      <c r="Y403" s="47" t="n">
        <f aca="false">V403+W403+X403</f>
        <v>419.5</v>
      </c>
    </row>
    <row r="404" customFormat="false" ht="15" hidden="false" customHeight="false" outlineLevel="0" collapsed="false">
      <c r="A404" s="45"/>
      <c r="B404" s="31"/>
      <c r="C404" s="32"/>
      <c r="D404" s="31"/>
      <c r="E404" s="31"/>
      <c r="F404" s="29"/>
      <c r="G404" s="29" t="str">
        <f aca="false">IF(OR(D404="",E404="",F404=""),"",D404*E404*F404)</f>
        <v/>
      </c>
      <c r="H404" s="31"/>
      <c r="I404" s="36" t="str">
        <f aca="false">IF(OR(C404="",K404=""),"",IF(K404&gt;=_xlfn.MAXIFS($K$5:K403,$C$5:C403,C404),"Yes","No"))</f>
        <v/>
      </c>
      <c r="J404" s="32"/>
      <c r="K404" s="48" t="str">
        <f aca="false">IF(OR(E404="",F404=""),"",F404*(1+E404/30))</f>
        <v/>
      </c>
      <c r="L404" s="36" t="str">
        <f aca="false">IF(A404="","",INT((A404-StartDate)/7)+1)</f>
        <v/>
      </c>
      <c r="M404" s="36" t="str">
        <f aca="false">IF(A404="","",TEXT(A404,"mmm"))</f>
        <v/>
      </c>
      <c r="N404" s="48" t="str">
        <f aca="false">IFERROR(IF(ISNUMBER(SEARCH("squat",C404)),K404,""),"")</f>
        <v/>
      </c>
      <c r="O404" s="48" t="str">
        <f aca="false">IFERROR(IF(ISNUMBER(SEARCH("bench",C404)),K404,""),"")</f>
        <v/>
      </c>
      <c r="P404" s="48" t="str">
        <f aca="false">IFERROR(IF(ISNUMBER(SEARCH("deadlift",C404)),K404,""),"")</f>
        <v/>
      </c>
      <c r="V404" s="48" t="n">
        <f aca="false">MAX(V403,IF(N404="",0,N404))</f>
        <v>144.666666666667</v>
      </c>
      <c r="W404" s="48" t="n">
        <f aca="false">MAX(W403,IF(O404="",0,O404))</f>
        <v>99.1666666666667</v>
      </c>
      <c r="X404" s="48" t="n">
        <f aca="false">MAX(X403,IF(P404="",0,P404))</f>
        <v>175.666666666667</v>
      </c>
      <c r="Y404" s="48" t="n">
        <f aca="false">V404+W404+X404</f>
        <v>419.5</v>
      </c>
    </row>
    <row r="405" customFormat="false" ht="15" hidden="false" customHeight="false" outlineLevel="0" collapsed="false">
      <c r="A405" s="45"/>
      <c r="B405" s="31"/>
      <c r="C405" s="32"/>
      <c r="D405" s="31"/>
      <c r="E405" s="31"/>
      <c r="F405" s="29"/>
      <c r="G405" s="29" t="str">
        <f aca="false">IF(OR(D405="",E405="",F405=""),"",D405*E405*F405)</f>
        <v/>
      </c>
      <c r="H405" s="31"/>
      <c r="I405" s="46" t="str">
        <f aca="false">IF(OR(C405="",K405=""),"",IF(K405&gt;=_xlfn.MAXIFS($K$5:K404,$C$5:C404,C405),"Yes","No"))</f>
        <v/>
      </c>
      <c r="J405" s="32"/>
      <c r="K405" s="47" t="str">
        <f aca="false">IF(OR(E405="",F405=""),"",F405*(1+E405/30))</f>
        <v/>
      </c>
      <c r="L405" s="27" t="str">
        <f aca="false">IF(A405="","",INT((A405-StartDate)/7)+1)</f>
        <v/>
      </c>
      <c r="M405" s="27" t="str">
        <f aca="false">IF(A405="","",TEXT(A405,"mmm"))</f>
        <v/>
      </c>
      <c r="N405" s="47" t="str">
        <f aca="false">IFERROR(IF(ISNUMBER(SEARCH("squat",C405)),K405,""),"")</f>
        <v/>
      </c>
      <c r="O405" s="47" t="str">
        <f aca="false">IFERROR(IF(ISNUMBER(SEARCH("bench",C405)),K405,""),"")</f>
        <v/>
      </c>
      <c r="P405" s="47" t="str">
        <f aca="false">IFERROR(IF(ISNUMBER(SEARCH("deadlift",C405)),K405,""),"")</f>
        <v/>
      </c>
      <c r="V405" s="47" t="n">
        <f aca="false">MAX(V404,IF(N405="",0,N405))</f>
        <v>144.666666666667</v>
      </c>
      <c r="W405" s="47" t="n">
        <f aca="false">MAX(W404,IF(O405="",0,O405))</f>
        <v>99.1666666666667</v>
      </c>
      <c r="X405" s="47" t="n">
        <f aca="false">MAX(X404,IF(P405="",0,P405))</f>
        <v>175.666666666667</v>
      </c>
      <c r="Y405" s="47" t="n">
        <f aca="false">V405+W405+X405</f>
        <v>419.5</v>
      </c>
    </row>
    <row r="406" customFormat="false" ht="15" hidden="false" customHeight="false" outlineLevel="0" collapsed="false">
      <c r="A406" s="45"/>
      <c r="B406" s="31"/>
      <c r="C406" s="32"/>
      <c r="D406" s="31"/>
      <c r="E406" s="31"/>
      <c r="F406" s="29"/>
      <c r="G406" s="29" t="str">
        <f aca="false">IF(OR(D406="",E406="",F406=""),"",D406*E406*F406)</f>
        <v/>
      </c>
      <c r="H406" s="31"/>
      <c r="I406" s="36" t="str">
        <f aca="false">IF(OR(C406="",K406=""),"",IF(K406&gt;=_xlfn.MAXIFS($K$5:K405,$C$5:C405,C406),"Yes","No"))</f>
        <v/>
      </c>
      <c r="J406" s="32"/>
      <c r="K406" s="48" t="str">
        <f aca="false">IF(OR(E406="",F406=""),"",F406*(1+E406/30))</f>
        <v/>
      </c>
      <c r="L406" s="36" t="str">
        <f aca="false">IF(A406="","",INT((A406-StartDate)/7)+1)</f>
        <v/>
      </c>
      <c r="M406" s="36" t="str">
        <f aca="false">IF(A406="","",TEXT(A406,"mmm"))</f>
        <v/>
      </c>
      <c r="N406" s="48" t="str">
        <f aca="false">IFERROR(IF(ISNUMBER(SEARCH("squat",C406)),K406,""),"")</f>
        <v/>
      </c>
      <c r="O406" s="48" t="str">
        <f aca="false">IFERROR(IF(ISNUMBER(SEARCH("bench",C406)),K406,""),"")</f>
        <v/>
      </c>
      <c r="P406" s="48" t="str">
        <f aca="false">IFERROR(IF(ISNUMBER(SEARCH("deadlift",C406)),K406,""),"")</f>
        <v/>
      </c>
      <c r="V406" s="48" t="n">
        <f aca="false">MAX(V405,IF(N406="",0,N406))</f>
        <v>144.666666666667</v>
      </c>
      <c r="W406" s="48" t="n">
        <f aca="false">MAX(W405,IF(O406="",0,O406))</f>
        <v>99.1666666666667</v>
      </c>
      <c r="X406" s="48" t="n">
        <f aca="false">MAX(X405,IF(P406="",0,P406))</f>
        <v>175.666666666667</v>
      </c>
      <c r="Y406" s="48" t="n">
        <f aca="false">V406+W406+X406</f>
        <v>419.5</v>
      </c>
    </row>
    <row r="407" customFormat="false" ht="15" hidden="false" customHeight="false" outlineLevel="0" collapsed="false">
      <c r="A407" s="45"/>
      <c r="B407" s="31"/>
      <c r="C407" s="32"/>
      <c r="D407" s="31"/>
      <c r="E407" s="31"/>
      <c r="F407" s="29"/>
      <c r="G407" s="29" t="str">
        <f aca="false">IF(OR(D407="",E407="",F407=""),"",D407*E407*F407)</f>
        <v/>
      </c>
      <c r="H407" s="31"/>
      <c r="I407" s="46" t="str">
        <f aca="false">IF(OR(C407="",K407=""),"",IF(K407&gt;=_xlfn.MAXIFS($K$5:K406,$C$5:C406,C407),"Yes","No"))</f>
        <v/>
      </c>
      <c r="J407" s="32"/>
      <c r="K407" s="47" t="str">
        <f aca="false">IF(OR(E407="",F407=""),"",F407*(1+E407/30))</f>
        <v/>
      </c>
      <c r="L407" s="27" t="str">
        <f aca="false">IF(A407="","",INT((A407-StartDate)/7)+1)</f>
        <v/>
      </c>
      <c r="M407" s="27" t="str">
        <f aca="false">IF(A407="","",TEXT(A407,"mmm"))</f>
        <v/>
      </c>
      <c r="N407" s="47" t="str">
        <f aca="false">IFERROR(IF(ISNUMBER(SEARCH("squat",C407)),K407,""),"")</f>
        <v/>
      </c>
      <c r="O407" s="47" t="str">
        <f aca="false">IFERROR(IF(ISNUMBER(SEARCH("bench",C407)),K407,""),"")</f>
        <v/>
      </c>
      <c r="P407" s="47" t="str">
        <f aca="false">IFERROR(IF(ISNUMBER(SEARCH("deadlift",C407)),K407,""),"")</f>
        <v/>
      </c>
      <c r="V407" s="47" t="n">
        <f aca="false">MAX(V406,IF(N407="",0,N407))</f>
        <v>144.666666666667</v>
      </c>
      <c r="W407" s="47" t="n">
        <f aca="false">MAX(W406,IF(O407="",0,O407))</f>
        <v>99.1666666666667</v>
      </c>
      <c r="X407" s="47" t="n">
        <f aca="false">MAX(X406,IF(P407="",0,P407))</f>
        <v>175.666666666667</v>
      </c>
      <c r="Y407" s="47" t="n">
        <f aca="false">V407+W407+X407</f>
        <v>419.5</v>
      </c>
    </row>
    <row r="408" customFormat="false" ht="15" hidden="false" customHeight="false" outlineLevel="0" collapsed="false">
      <c r="A408" s="45"/>
      <c r="B408" s="31"/>
      <c r="C408" s="32"/>
      <c r="D408" s="31"/>
      <c r="E408" s="31"/>
      <c r="F408" s="29"/>
      <c r="G408" s="29" t="str">
        <f aca="false">IF(OR(D408="",E408="",F408=""),"",D408*E408*F408)</f>
        <v/>
      </c>
      <c r="H408" s="31"/>
      <c r="I408" s="36" t="str">
        <f aca="false">IF(OR(C408="",K408=""),"",IF(K408&gt;=_xlfn.MAXIFS($K$5:K407,$C$5:C407,C408),"Yes","No"))</f>
        <v/>
      </c>
      <c r="J408" s="32"/>
      <c r="K408" s="48" t="str">
        <f aca="false">IF(OR(E408="",F408=""),"",F408*(1+E408/30))</f>
        <v/>
      </c>
      <c r="L408" s="36" t="str">
        <f aca="false">IF(A408="","",INT((A408-StartDate)/7)+1)</f>
        <v/>
      </c>
      <c r="M408" s="36" t="str">
        <f aca="false">IF(A408="","",TEXT(A408,"mmm"))</f>
        <v/>
      </c>
      <c r="N408" s="48" t="str">
        <f aca="false">IFERROR(IF(ISNUMBER(SEARCH("squat",C408)),K408,""),"")</f>
        <v/>
      </c>
      <c r="O408" s="48" t="str">
        <f aca="false">IFERROR(IF(ISNUMBER(SEARCH("bench",C408)),K408,""),"")</f>
        <v/>
      </c>
      <c r="P408" s="48" t="str">
        <f aca="false">IFERROR(IF(ISNUMBER(SEARCH("deadlift",C408)),K408,""),"")</f>
        <v/>
      </c>
      <c r="V408" s="48" t="n">
        <f aca="false">MAX(V407,IF(N408="",0,N408))</f>
        <v>144.666666666667</v>
      </c>
      <c r="W408" s="48" t="n">
        <f aca="false">MAX(W407,IF(O408="",0,O408))</f>
        <v>99.1666666666667</v>
      </c>
      <c r="X408" s="48" t="n">
        <f aca="false">MAX(X407,IF(P408="",0,P408))</f>
        <v>175.666666666667</v>
      </c>
      <c r="Y408" s="48" t="n">
        <f aca="false">V408+W408+X408</f>
        <v>419.5</v>
      </c>
    </row>
    <row r="409" customFormat="false" ht="15" hidden="false" customHeight="false" outlineLevel="0" collapsed="false">
      <c r="A409" s="45"/>
      <c r="B409" s="31"/>
      <c r="C409" s="32"/>
      <c r="D409" s="31"/>
      <c r="E409" s="31"/>
      <c r="F409" s="29"/>
      <c r="G409" s="29" t="str">
        <f aca="false">IF(OR(D409="",E409="",F409=""),"",D409*E409*F409)</f>
        <v/>
      </c>
      <c r="H409" s="31"/>
      <c r="I409" s="46" t="str">
        <f aca="false">IF(OR(C409="",K409=""),"",IF(K409&gt;=_xlfn.MAXIFS($K$5:K408,$C$5:C408,C409),"Yes","No"))</f>
        <v/>
      </c>
      <c r="J409" s="32"/>
      <c r="K409" s="47" t="str">
        <f aca="false">IF(OR(E409="",F409=""),"",F409*(1+E409/30))</f>
        <v/>
      </c>
      <c r="L409" s="27" t="str">
        <f aca="false">IF(A409="","",INT((A409-StartDate)/7)+1)</f>
        <v/>
      </c>
      <c r="M409" s="27" t="str">
        <f aca="false">IF(A409="","",TEXT(A409,"mmm"))</f>
        <v/>
      </c>
      <c r="N409" s="47" t="str">
        <f aca="false">IFERROR(IF(ISNUMBER(SEARCH("squat",C409)),K409,""),"")</f>
        <v/>
      </c>
      <c r="O409" s="47" t="str">
        <f aca="false">IFERROR(IF(ISNUMBER(SEARCH("bench",C409)),K409,""),"")</f>
        <v/>
      </c>
      <c r="P409" s="47" t="str">
        <f aca="false">IFERROR(IF(ISNUMBER(SEARCH("deadlift",C409)),K409,""),"")</f>
        <v/>
      </c>
      <c r="V409" s="47" t="n">
        <f aca="false">MAX(V408,IF(N409="",0,N409))</f>
        <v>144.666666666667</v>
      </c>
      <c r="W409" s="47" t="n">
        <f aca="false">MAX(W408,IF(O409="",0,O409))</f>
        <v>99.1666666666667</v>
      </c>
      <c r="X409" s="47" t="n">
        <f aca="false">MAX(X408,IF(P409="",0,P409))</f>
        <v>175.666666666667</v>
      </c>
      <c r="Y409" s="47" t="n">
        <f aca="false">V409+W409+X409</f>
        <v>419.5</v>
      </c>
    </row>
    <row r="410" customFormat="false" ht="15" hidden="false" customHeight="false" outlineLevel="0" collapsed="false">
      <c r="A410" s="45"/>
      <c r="B410" s="31"/>
      <c r="C410" s="32"/>
      <c r="D410" s="31"/>
      <c r="E410" s="31"/>
      <c r="F410" s="29"/>
      <c r="G410" s="29" t="str">
        <f aca="false">IF(OR(D410="",E410="",F410=""),"",D410*E410*F410)</f>
        <v/>
      </c>
      <c r="H410" s="31"/>
      <c r="I410" s="36" t="str">
        <f aca="false">IF(OR(C410="",K410=""),"",IF(K410&gt;=_xlfn.MAXIFS($K$5:K409,$C$5:C409,C410),"Yes","No"))</f>
        <v/>
      </c>
      <c r="J410" s="32"/>
      <c r="K410" s="48" t="str">
        <f aca="false">IF(OR(E410="",F410=""),"",F410*(1+E410/30))</f>
        <v/>
      </c>
      <c r="L410" s="36" t="str">
        <f aca="false">IF(A410="","",INT((A410-StartDate)/7)+1)</f>
        <v/>
      </c>
      <c r="M410" s="36" t="str">
        <f aca="false">IF(A410="","",TEXT(A410,"mmm"))</f>
        <v/>
      </c>
      <c r="N410" s="48" t="str">
        <f aca="false">IFERROR(IF(ISNUMBER(SEARCH("squat",C410)),K410,""),"")</f>
        <v/>
      </c>
      <c r="O410" s="48" t="str">
        <f aca="false">IFERROR(IF(ISNUMBER(SEARCH("bench",C410)),K410,""),"")</f>
        <v/>
      </c>
      <c r="P410" s="48" t="str">
        <f aca="false">IFERROR(IF(ISNUMBER(SEARCH("deadlift",C410)),K410,""),"")</f>
        <v/>
      </c>
      <c r="V410" s="48" t="n">
        <f aca="false">MAX(V409,IF(N410="",0,N410))</f>
        <v>144.666666666667</v>
      </c>
      <c r="W410" s="48" t="n">
        <f aca="false">MAX(W409,IF(O410="",0,O410))</f>
        <v>99.1666666666667</v>
      </c>
      <c r="X410" s="48" t="n">
        <f aca="false">MAX(X409,IF(P410="",0,P410))</f>
        <v>175.666666666667</v>
      </c>
      <c r="Y410" s="48" t="n">
        <f aca="false">V410+W410+X410</f>
        <v>419.5</v>
      </c>
    </row>
    <row r="411" customFormat="false" ht="15" hidden="false" customHeight="false" outlineLevel="0" collapsed="false">
      <c r="A411" s="45"/>
      <c r="B411" s="31"/>
      <c r="C411" s="32"/>
      <c r="D411" s="31"/>
      <c r="E411" s="31"/>
      <c r="F411" s="29"/>
      <c r="G411" s="29" t="str">
        <f aca="false">IF(OR(D411="",E411="",F411=""),"",D411*E411*F411)</f>
        <v/>
      </c>
      <c r="H411" s="31"/>
      <c r="I411" s="46" t="str">
        <f aca="false">IF(OR(C411="",K411=""),"",IF(K411&gt;=_xlfn.MAXIFS($K$5:K410,$C$5:C410,C411),"Yes","No"))</f>
        <v/>
      </c>
      <c r="J411" s="32"/>
      <c r="K411" s="47" t="str">
        <f aca="false">IF(OR(E411="",F411=""),"",F411*(1+E411/30))</f>
        <v/>
      </c>
      <c r="L411" s="27" t="str">
        <f aca="false">IF(A411="","",INT((A411-StartDate)/7)+1)</f>
        <v/>
      </c>
      <c r="M411" s="27" t="str">
        <f aca="false">IF(A411="","",TEXT(A411,"mmm"))</f>
        <v/>
      </c>
      <c r="N411" s="47" t="str">
        <f aca="false">IFERROR(IF(ISNUMBER(SEARCH("squat",C411)),K411,""),"")</f>
        <v/>
      </c>
      <c r="O411" s="47" t="str">
        <f aca="false">IFERROR(IF(ISNUMBER(SEARCH("bench",C411)),K411,""),"")</f>
        <v/>
      </c>
      <c r="P411" s="47" t="str">
        <f aca="false">IFERROR(IF(ISNUMBER(SEARCH("deadlift",C411)),K411,""),"")</f>
        <v/>
      </c>
      <c r="V411" s="47" t="n">
        <f aca="false">MAX(V410,IF(N411="",0,N411))</f>
        <v>144.666666666667</v>
      </c>
      <c r="W411" s="47" t="n">
        <f aca="false">MAX(W410,IF(O411="",0,O411))</f>
        <v>99.1666666666667</v>
      </c>
      <c r="X411" s="47" t="n">
        <f aca="false">MAX(X410,IF(P411="",0,P411))</f>
        <v>175.666666666667</v>
      </c>
      <c r="Y411" s="47" t="n">
        <f aca="false">V411+W411+X411</f>
        <v>419.5</v>
      </c>
    </row>
    <row r="412" customFormat="false" ht="15" hidden="false" customHeight="false" outlineLevel="0" collapsed="false">
      <c r="A412" s="45"/>
      <c r="B412" s="31"/>
      <c r="C412" s="32"/>
      <c r="D412" s="31"/>
      <c r="E412" s="31"/>
      <c r="F412" s="29"/>
      <c r="G412" s="29" t="str">
        <f aca="false">IF(OR(D412="",E412="",F412=""),"",D412*E412*F412)</f>
        <v/>
      </c>
      <c r="H412" s="31"/>
      <c r="I412" s="36" t="str">
        <f aca="false">IF(OR(C412="",K412=""),"",IF(K412&gt;=_xlfn.MAXIFS($K$5:K411,$C$5:C411,C412),"Yes","No"))</f>
        <v/>
      </c>
      <c r="J412" s="32"/>
      <c r="K412" s="48" t="str">
        <f aca="false">IF(OR(E412="",F412=""),"",F412*(1+E412/30))</f>
        <v/>
      </c>
      <c r="L412" s="36" t="str">
        <f aca="false">IF(A412="","",INT((A412-StartDate)/7)+1)</f>
        <v/>
      </c>
      <c r="M412" s="36" t="str">
        <f aca="false">IF(A412="","",TEXT(A412,"mmm"))</f>
        <v/>
      </c>
      <c r="N412" s="48" t="str">
        <f aca="false">IFERROR(IF(ISNUMBER(SEARCH("squat",C412)),K412,""),"")</f>
        <v/>
      </c>
      <c r="O412" s="48" t="str">
        <f aca="false">IFERROR(IF(ISNUMBER(SEARCH("bench",C412)),K412,""),"")</f>
        <v/>
      </c>
      <c r="P412" s="48" t="str">
        <f aca="false">IFERROR(IF(ISNUMBER(SEARCH("deadlift",C412)),K412,""),"")</f>
        <v/>
      </c>
      <c r="V412" s="48" t="n">
        <f aca="false">MAX(V411,IF(N412="",0,N412))</f>
        <v>144.666666666667</v>
      </c>
      <c r="W412" s="48" t="n">
        <f aca="false">MAX(W411,IF(O412="",0,O412))</f>
        <v>99.1666666666667</v>
      </c>
      <c r="X412" s="48" t="n">
        <f aca="false">MAX(X411,IF(P412="",0,P412))</f>
        <v>175.666666666667</v>
      </c>
      <c r="Y412" s="48" t="n">
        <f aca="false">V412+W412+X412</f>
        <v>419.5</v>
      </c>
    </row>
    <row r="413" customFormat="false" ht="15" hidden="false" customHeight="false" outlineLevel="0" collapsed="false">
      <c r="A413" s="45"/>
      <c r="B413" s="31"/>
      <c r="C413" s="32"/>
      <c r="D413" s="31"/>
      <c r="E413" s="31"/>
      <c r="F413" s="29"/>
      <c r="G413" s="29" t="str">
        <f aca="false">IF(OR(D413="",E413="",F413=""),"",D413*E413*F413)</f>
        <v/>
      </c>
      <c r="H413" s="31"/>
      <c r="I413" s="46" t="str">
        <f aca="false">IF(OR(C413="",K413=""),"",IF(K413&gt;=_xlfn.MAXIFS($K$5:K412,$C$5:C412,C413),"Yes","No"))</f>
        <v/>
      </c>
      <c r="J413" s="32"/>
      <c r="K413" s="47" t="str">
        <f aca="false">IF(OR(E413="",F413=""),"",F413*(1+E413/30))</f>
        <v/>
      </c>
      <c r="L413" s="27" t="str">
        <f aca="false">IF(A413="","",INT((A413-StartDate)/7)+1)</f>
        <v/>
      </c>
      <c r="M413" s="27" t="str">
        <f aca="false">IF(A413="","",TEXT(A413,"mmm"))</f>
        <v/>
      </c>
      <c r="N413" s="47" t="str">
        <f aca="false">IFERROR(IF(ISNUMBER(SEARCH("squat",C413)),K413,""),"")</f>
        <v/>
      </c>
      <c r="O413" s="47" t="str">
        <f aca="false">IFERROR(IF(ISNUMBER(SEARCH("bench",C413)),K413,""),"")</f>
        <v/>
      </c>
      <c r="P413" s="47" t="str">
        <f aca="false">IFERROR(IF(ISNUMBER(SEARCH("deadlift",C413)),K413,""),"")</f>
        <v/>
      </c>
      <c r="V413" s="47" t="n">
        <f aca="false">MAX(V412,IF(N413="",0,N413))</f>
        <v>144.666666666667</v>
      </c>
      <c r="W413" s="47" t="n">
        <f aca="false">MAX(W412,IF(O413="",0,O413))</f>
        <v>99.1666666666667</v>
      </c>
      <c r="X413" s="47" t="n">
        <f aca="false">MAX(X412,IF(P413="",0,P413))</f>
        <v>175.666666666667</v>
      </c>
      <c r="Y413" s="47" t="n">
        <f aca="false">V413+W413+X413</f>
        <v>419.5</v>
      </c>
    </row>
    <row r="414" customFormat="false" ht="15" hidden="false" customHeight="false" outlineLevel="0" collapsed="false">
      <c r="A414" s="45"/>
      <c r="B414" s="31"/>
      <c r="C414" s="32"/>
      <c r="D414" s="31"/>
      <c r="E414" s="31"/>
      <c r="F414" s="29"/>
      <c r="G414" s="29" t="str">
        <f aca="false">IF(OR(D414="",E414="",F414=""),"",D414*E414*F414)</f>
        <v/>
      </c>
      <c r="H414" s="31"/>
      <c r="I414" s="36" t="str">
        <f aca="false">IF(OR(C414="",K414=""),"",IF(K414&gt;=_xlfn.MAXIFS($K$5:K413,$C$5:C413,C414),"Yes","No"))</f>
        <v/>
      </c>
      <c r="J414" s="32"/>
      <c r="K414" s="48" t="str">
        <f aca="false">IF(OR(E414="",F414=""),"",F414*(1+E414/30))</f>
        <v/>
      </c>
      <c r="L414" s="36" t="str">
        <f aca="false">IF(A414="","",INT((A414-StartDate)/7)+1)</f>
        <v/>
      </c>
      <c r="M414" s="36" t="str">
        <f aca="false">IF(A414="","",TEXT(A414,"mmm"))</f>
        <v/>
      </c>
      <c r="N414" s="48" t="str">
        <f aca="false">IFERROR(IF(ISNUMBER(SEARCH("squat",C414)),K414,""),"")</f>
        <v/>
      </c>
      <c r="O414" s="48" t="str">
        <f aca="false">IFERROR(IF(ISNUMBER(SEARCH("bench",C414)),K414,""),"")</f>
        <v/>
      </c>
      <c r="P414" s="48" t="str">
        <f aca="false">IFERROR(IF(ISNUMBER(SEARCH("deadlift",C414)),K414,""),"")</f>
        <v/>
      </c>
      <c r="V414" s="48" t="n">
        <f aca="false">MAX(V413,IF(N414="",0,N414))</f>
        <v>144.666666666667</v>
      </c>
      <c r="W414" s="48" t="n">
        <f aca="false">MAX(W413,IF(O414="",0,O414))</f>
        <v>99.1666666666667</v>
      </c>
      <c r="X414" s="48" t="n">
        <f aca="false">MAX(X413,IF(P414="",0,P414))</f>
        <v>175.666666666667</v>
      </c>
      <c r="Y414" s="48" t="n">
        <f aca="false">V414+W414+X414</f>
        <v>419.5</v>
      </c>
    </row>
    <row r="415" customFormat="false" ht="15" hidden="false" customHeight="false" outlineLevel="0" collapsed="false">
      <c r="A415" s="45"/>
      <c r="B415" s="31"/>
      <c r="C415" s="32"/>
      <c r="D415" s="31"/>
      <c r="E415" s="31"/>
      <c r="F415" s="29"/>
      <c r="G415" s="29" t="str">
        <f aca="false">IF(OR(D415="",E415="",F415=""),"",D415*E415*F415)</f>
        <v/>
      </c>
      <c r="H415" s="31"/>
      <c r="I415" s="46" t="str">
        <f aca="false">IF(OR(C415="",K415=""),"",IF(K415&gt;=_xlfn.MAXIFS($K$5:K414,$C$5:C414,C415),"Yes","No"))</f>
        <v/>
      </c>
      <c r="J415" s="32"/>
      <c r="K415" s="47" t="str">
        <f aca="false">IF(OR(E415="",F415=""),"",F415*(1+E415/30))</f>
        <v/>
      </c>
      <c r="L415" s="27" t="str">
        <f aca="false">IF(A415="","",INT((A415-StartDate)/7)+1)</f>
        <v/>
      </c>
      <c r="M415" s="27" t="str">
        <f aca="false">IF(A415="","",TEXT(A415,"mmm"))</f>
        <v/>
      </c>
      <c r="N415" s="47" t="str">
        <f aca="false">IFERROR(IF(ISNUMBER(SEARCH("squat",C415)),K415,""),"")</f>
        <v/>
      </c>
      <c r="O415" s="47" t="str">
        <f aca="false">IFERROR(IF(ISNUMBER(SEARCH("bench",C415)),K415,""),"")</f>
        <v/>
      </c>
      <c r="P415" s="47" t="str">
        <f aca="false">IFERROR(IF(ISNUMBER(SEARCH("deadlift",C415)),K415,""),"")</f>
        <v/>
      </c>
      <c r="V415" s="47" t="n">
        <f aca="false">MAX(V414,IF(N415="",0,N415))</f>
        <v>144.666666666667</v>
      </c>
      <c r="W415" s="47" t="n">
        <f aca="false">MAX(W414,IF(O415="",0,O415))</f>
        <v>99.1666666666667</v>
      </c>
      <c r="X415" s="47" t="n">
        <f aca="false">MAX(X414,IF(P415="",0,P415))</f>
        <v>175.666666666667</v>
      </c>
      <c r="Y415" s="47" t="n">
        <f aca="false">V415+W415+X415</f>
        <v>419.5</v>
      </c>
    </row>
    <row r="416" customFormat="false" ht="15" hidden="false" customHeight="false" outlineLevel="0" collapsed="false">
      <c r="A416" s="45"/>
      <c r="B416" s="31"/>
      <c r="C416" s="32"/>
      <c r="D416" s="31"/>
      <c r="E416" s="31"/>
      <c r="F416" s="29"/>
      <c r="G416" s="29" t="str">
        <f aca="false">IF(OR(D416="",E416="",F416=""),"",D416*E416*F416)</f>
        <v/>
      </c>
      <c r="H416" s="31"/>
      <c r="I416" s="36" t="str">
        <f aca="false">IF(OR(C416="",K416=""),"",IF(K416&gt;=_xlfn.MAXIFS($K$5:K415,$C$5:C415,C416),"Yes","No"))</f>
        <v/>
      </c>
      <c r="J416" s="32"/>
      <c r="K416" s="48" t="str">
        <f aca="false">IF(OR(E416="",F416=""),"",F416*(1+E416/30))</f>
        <v/>
      </c>
      <c r="L416" s="36" t="str">
        <f aca="false">IF(A416="","",INT((A416-StartDate)/7)+1)</f>
        <v/>
      </c>
      <c r="M416" s="36" t="str">
        <f aca="false">IF(A416="","",TEXT(A416,"mmm"))</f>
        <v/>
      </c>
      <c r="N416" s="48" t="str">
        <f aca="false">IFERROR(IF(ISNUMBER(SEARCH("squat",C416)),K416,""),"")</f>
        <v/>
      </c>
      <c r="O416" s="48" t="str">
        <f aca="false">IFERROR(IF(ISNUMBER(SEARCH("bench",C416)),K416,""),"")</f>
        <v/>
      </c>
      <c r="P416" s="48" t="str">
        <f aca="false">IFERROR(IF(ISNUMBER(SEARCH("deadlift",C416)),K416,""),"")</f>
        <v/>
      </c>
      <c r="V416" s="48" t="n">
        <f aca="false">MAX(V415,IF(N416="",0,N416))</f>
        <v>144.666666666667</v>
      </c>
      <c r="W416" s="48" t="n">
        <f aca="false">MAX(W415,IF(O416="",0,O416))</f>
        <v>99.1666666666667</v>
      </c>
      <c r="X416" s="48" t="n">
        <f aca="false">MAX(X415,IF(P416="",0,P416))</f>
        <v>175.666666666667</v>
      </c>
      <c r="Y416" s="48" t="n">
        <f aca="false">V416+W416+X416</f>
        <v>419.5</v>
      </c>
    </row>
    <row r="417" customFormat="false" ht="15" hidden="false" customHeight="false" outlineLevel="0" collapsed="false">
      <c r="A417" s="45"/>
      <c r="B417" s="31"/>
      <c r="C417" s="32"/>
      <c r="D417" s="31"/>
      <c r="E417" s="31"/>
      <c r="F417" s="29"/>
      <c r="G417" s="29" t="str">
        <f aca="false">IF(OR(D417="",E417="",F417=""),"",D417*E417*F417)</f>
        <v/>
      </c>
      <c r="H417" s="31"/>
      <c r="I417" s="46" t="str">
        <f aca="false">IF(OR(C417="",K417=""),"",IF(K417&gt;=_xlfn.MAXIFS($K$5:K416,$C$5:C416,C417),"Yes","No"))</f>
        <v/>
      </c>
      <c r="J417" s="32"/>
      <c r="K417" s="47" t="str">
        <f aca="false">IF(OR(E417="",F417=""),"",F417*(1+E417/30))</f>
        <v/>
      </c>
      <c r="L417" s="27" t="str">
        <f aca="false">IF(A417="","",INT((A417-StartDate)/7)+1)</f>
        <v/>
      </c>
      <c r="M417" s="27" t="str">
        <f aca="false">IF(A417="","",TEXT(A417,"mmm"))</f>
        <v/>
      </c>
      <c r="N417" s="47" t="str">
        <f aca="false">IFERROR(IF(ISNUMBER(SEARCH("squat",C417)),K417,""),"")</f>
        <v/>
      </c>
      <c r="O417" s="47" t="str">
        <f aca="false">IFERROR(IF(ISNUMBER(SEARCH("bench",C417)),K417,""),"")</f>
        <v/>
      </c>
      <c r="P417" s="47" t="str">
        <f aca="false">IFERROR(IF(ISNUMBER(SEARCH("deadlift",C417)),K417,""),"")</f>
        <v/>
      </c>
      <c r="V417" s="47" t="n">
        <f aca="false">MAX(V416,IF(N417="",0,N417))</f>
        <v>144.666666666667</v>
      </c>
      <c r="W417" s="47" t="n">
        <f aca="false">MAX(W416,IF(O417="",0,O417))</f>
        <v>99.1666666666667</v>
      </c>
      <c r="X417" s="47" t="n">
        <f aca="false">MAX(X416,IF(P417="",0,P417))</f>
        <v>175.666666666667</v>
      </c>
      <c r="Y417" s="47" t="n">
        <f aca="false">V417+W417+X417</f>
        <v>419.5</v>
      </c>
    </row>
    <row r="418" customFormat="false" ht="15" hidden="false" customHeight="false" outlineLevel="0" collapsed="false">
      <c r="A418" s="45"/>
      <c r="B418" s="31"/>
      <c r="C418" s="32"/>
      <c r="D418" s="31"/>
      <c r="E418" s="31"/>
      <c r="F418" s="29"/>
      <c r="G418" s="29" t="str">
        <f aca="false">IF(OR(D418="",E418="",F418=""),"",D418*E418*F418)</f>
        <v/>
      </c>
      <c r="H418" s="31"/>
      <c r="I418" s="36" t="str">
        <f aca="false">IF(OR(C418="",K418=""),"",IF(K418&gt;=_xlfn.MAXIFS($K$5:K417,$C$5:C417,C418),"Yes","No"))</f>
        <v/>
      </c>
      <c r="J418" s="32"/>
      <c r="K418" s="48" t="str">
        <f aca="false">IF(OR(E418="",F418=""),"",F418*(1+E418/30))</f>
        <v/>
      </c>
      <c r="L418" s="36" t="str">
        <f aca="false">IF(A418="","",INT((A418-StartDate)/7)+1)</f>
        <v/>
      </c>
      <c r="M418" s="36" t="str">
        <f aca="false">IF(A418="","",TEXT(A418,"mmm"))</f>
        <v/>
      </c>
      <c r="N418" s="48" t="str">
        <f aca="false">IFERROR(IF(ISNUMBER(SEARCH("squat",C418)),K418,""),"")</f>
        <v/>
      </c>
      <c r="O418" s="48" t="str">
        <f aca="false">IFERROR(IF(ISNUMBER(SEARCH("bench",C418)),K418,""),"")</f>
        <v/>
      </c>
      <c r="P418" s="48" t="str">
        <f aca="false">IFERROR(IF(ISNUMBER(SEARCH("deadlift",C418)),K418,""),"")</f>
        <v/>
      </c>
      <c r="V418" s="48" t="n">
        <f aca="false">MAX(V417,IF(N418="",0,N418))</f>
        <v>144.666666666667</v>
      </c>
      <c r="W418" s="48" t="n">
        <f aca="false">MAX(W417,IF(O418="",0,O418))</f>
        <v>99.1666666666667</v>
      </c>
      <c r="X418" s="48" t="n">
        <f aca="false">MAX(X417,IF(P418="",0,P418))</f>
        <v>175.666666666667</v>
      </c>
      <c r="Y418" s="48" t="n">
        <f aca="false">V418+W418+X418</f>
        <v>419.5</v>
      </c>
    </row>
    <row r="419" customFormat="false" ht="15" hidden="false" customHeight="false" outlineLevel="0" collapsed="false">
      <c r="A419" s="45"/>
      <c r="B419" s="31"/>
      <c r="C419" s="32"/>
      <c r="D419" s="31"/>
      <c r="E419" s="31"/>
      <c r="F419" s="29"/>
      <c r="G419" s="29" t="str">
        <f aca="false">IF(OR(D419="",E419="",F419=""),"",D419*E419*F419)</f>
        <v/>
      </c>
      <c r="H419" s="31"/>
      <c r="I419" s="46" t="str">
        <f aca="false">IF(OR(C419="",K419=""),"",IF(K419&gt;=_xlfn.MAXIFS($K$5:K418,$C$5:C418,C419),"Yes","No"))</f>
        <v/>
      </c>
      <c r="J419" s="32"/>
      <c r="K419" s="47" t="str">
        <f aca="false">IF(OR(E419="",F419=""),"",F419*(1+E419/30))</f>
        <v/>
      </c>
      <c r="L419" s="27" t="str">
        <f aca="false">IF(A419="","",INT((A419-StartDate)/7)+1)</f>
        <v/>
      </c>
      <c r="M419" s="27" t="str">
        <f aca="false">IF(A419="","",TEXT(A419,"mmm"))</f>
        <v/>
      </c>
      <c r="N419" s="47" t="str">
        <f aca="false">IFERROR(IF(ISNUMBER(SEARCH("squat",C419)),K419,""),"")</f>
        <v/>
      </c>
      <c r="O419" s="47" t="str">
        <f aca="false">IFERROR(IF(ISNUMBER(SEARCH("bench",C419)),K419,""),"")</f>
        <v/>
      </c>
      <c r="P419" s="47" t="str">
        <f aca="false">IFERROR(IF(ISNUMBER(SEARCH("deadlift",C419)),K419,""),"")</f>
        <v/>
      </c>
      <c r="V419" s="47" t="n">
        <f aca="false">MAX(V418,IF(N419="",0,N419))</f>
        <v>144.666666666667</v>
      </c>
      <c r="W419" s="47" t="n">
        <f aca="false">MAX(W418,IF(O419="",0,O419))</f>
        <v>99.1666666666667</v>
      </c>
      <c r="X419" s="47" t="n">
        <f aca="false">MAX(X418,IF(P419="",0,P419))</f>
        <v>175.666666666667</v>
      </c>
      <c r="Y419" s="47" t="n">
        <f aca="false">V419+W419+X419</f>
        <v>419.5</v>
      </c>
    </row>
    <row r="420" customFormat="false" ht="15" hidden="false" customHeight="false" outlineLevel="0" collapsed="false">
      <c r="A420" s="45"/>
      <c r="B420" s="31"/>
      <c r="C420" s="32"/>
      <c r="D420" s="31"/>
      <c r="E420" s="31"/>
      <c r="F420" s="29"/>
      <c r="G420" s="29" t="str">
        <f aca="false">IF(OR(D420="",E420="",F420=""),"",D420*E420*F420)</f>
        <v/>
      </c>
      <c r="H420" s="31"/>
      <c r="I420" s="36" t="str">
        <f aca="false">IF(OR(C420="",K420=""),"",IF(K420&gt;=_xlfn.MAXIFS($K$5:K419,$C$5:C419,C420),"Yes","No"))</f>
        <v/>
      </c>
      <c r="J420" s="32"/>
      <c r="K420" s="48" t="str">
        <f aca="false">IF(OR(E420="",F420=""),"",F420*(1+E420/30))</f>
        <v/>
      </c>
      <c r="L420" s="36" t="str">
        <f aca="false">IF(A420="","",INT((A420-StartDate)/7)+1)</f>
        <v/>
      </c>
      <c r="M420" s="36" t="str">
        <f aca="false">IF(A420="","",TEXT(A420,"mmm"))</f>
        <v/>
      </c>
      <c r="N420" s="48" t="str">
        <f aca="false">IFERROR(IF(ISNUMBER(SEARCH("squat",C420)),K420,""),"")</f>
        <v/>
      </c>
      <c r="O420" s="48" t="str">
        <f aca="false">IFERROR(IF(ISNUMBER(SEARCH("bench",C420)),K420,""),"")</f>
        <v/>
      </c>
      <c r="P420" s="48" t="str">
        <f aca="false">IFERROR(IF(ISNUMBER(SEARCH("deadlift",C420)),K420,""),"")</f>
        <v/>
      </c>
      <c r="V420" s="48" t="n">
        <f aca="false">MAX(V419,IF(N420="",0,N420))</f>
        <v>144.666666666667</v>
      </c>
      <c r="W420" s="48" t="n">
        <f aca="false">MAX(W419,IF(O420="",0,O420))</f>
        <v>99.1666666666667</v>
      </c>
      <c r="X420" s="48" t="n">
        <f aca="false">MAX(X419,IF(P420="",0,P420))</f>
        <v>175.666666666667</v>
      </c>
      <c r="Y420" s="48" t="n">
        <f aca="false">V420+W420+X420</f>
        <v>419.5</v>
      </c>
    </row>
    <row r="421" customFormat="false" ht="15" hidden="false" customHeight="false" outlineLevel="0" collapsed="false">
      <c r="A421" s="45"/>
      <c r="B421" s="31"/>
      <c r="C421" s="32"/>
      <c r="D421" s="31"/>
      <c r="E421" s="31"/>
      <c r="F421" s="29"/>
      <c r="G421" s="29" t="str">
        <f aca="false">IF(OR(D421="",E421="",F421=""),"",D421*E421*F421)</f>
        <v/>
      </c>
      <c r="H421" s="31"/>
      <c r="I421" s="46" t="str">
        <f aca="false">IF(OR(C421="",K421=""),"",IF(K421&gt;=_xlfn.MAXIFS($K$5:K420,$C$5:C420,C421),"Yes","No"))</f>
        <v/>
      </c>
      <c r="J421" s="32"/>
      <c r="K421" s="47" t="str">
        <f aca="false">IF(OR(E421="",F421=""),"",F421*(1+E421/30))</f>
        <v/>
      </c>
      <c r="L421" s="27" t="str">
        <f aca="false">IF(A421="","",INT((A421-StartDate)/7)+1)</f>
        <v/>
      </c>
      <c r="M421" s="27" t="str">
        <f aca="false">IF(A421="","",TEXT(A421,"mmm"))</f>
        <v/>
      </c>
      <c r="N421" s="47" t="str">
        <f aca="false">IFERROR(IF(ISNUMBER(SEARCH("squat",C421)),K421,""),"")</f>
        <v/>
      </c>
      <c r="O421" s="47" t="str">
        <f aca="false">IFERROR(IF(ISNUMBER(SEARCH("bench",C421)),K421,""),"")</f>
        <v/>
      </c>
      <c r="P421" s="47" t="str">
        <f aca="false">IFERROR(IF(ISNUMBER(SEARCH("deadlift",C421)),K421,""),"")</f>
        <v/>
      </c>
      <c r="V421" s="47" t="n">
        <f aca="false">MAX(V420,IF(N421="",0,N421))</f>
        <v>144.666666666667</v>
      </c>
      <c r="W421" s="47" t="n">
        <f aca="false">MAX(W420,IF(O421="",0,O421))</f>
        <v>99.1666666666667</v>
      </c>
      <c r="X421" s="47" t="n">
        <f aca="false">MAX(X420,IF(P421="",0,P421))</f>
        <v>175.666666666667</v>
      </c>
      <c r="Y421" s="47" t="n">
        <f aca="false">V421+W421+X421</f>
        <v>419.5</v>
      </c>
    </row>
    <row r="422" customFormat="false" ht="15" hidden="false" customHeight="false" outlineLevel="0" collapsed="false">
      <c r="A422" s="45"/>
      <c r="B422" s="31"/>
      <c r="C422" s="32"/>
      <c r="D422" s="31"/>
      <c r="E422" s="31"/>
      <c r="F422" s="29"/>
      <c r="G422" s="29" t="str">
        <f aca="false">IF(OR(D422="",E422="",F422=""),"",D422*E422*F422)</f>
        <v/>
      </c>
      <c r="H422" s="31"/>
      <c r="I422" s="36" t="str">
        <f aca="false">IF(OR(C422="",K422=""),"",IF(K422&gt;=_xlfn.MAXIFS($K$5:K421,$C$5:C421,C422),"Yes","No"))</f>
        <v/>
      </c>
      <c r="J422" s="32"/>
      <c r="K422" s="48" t="str">
        <f aca="false">IF(OR(E422="",F422=""),"",F422*(1+E422/30))</f>
        <v/>
      </c>
      <c r="L422" s="36" t="str">
        <f aca="false">IF(A422="","",INT((A422-StartDate)/7)+1)</f>
        <v/>
      </c>
      <c r="M422" s="36" t="str">
        <f aca="false">IF(A422="","",TEXT(A422,"mmm"))</f>
        <v/>
      </c>
      <c r="N422" s="48" t="str">
        <f aca="false">IFERROR(IF(ISNUMBER(SEARCH("squat",C422)),K422,""),"")</f>
        <v/>
      </c>
      <c r="O422" s="48" t="str">
        <f aca="false">IFERROR(IF(ISNUMBER(SEARCH("bench",C422)),K422,""),"")</f>
        <v/>
      </c>
      <c r="P422" s="48" t="str">
        <f aca="false">IFERROR(IF(ISNUMBER(SEARCH("deadlift",C422)),K422,""),"")</f>
        <v/>
      </c>
      <c r="V422" s="48" t="n">
        <f aca="false">MAX(V421,IF(N422="",0,N422))</f>
        <v>144.666666666667</v>
      </c>
      <c r="W422" s="48" t="n">
        <f aca="false">MAX(W421,IF(O422="",0,O422))</f>
        <v>99.1666666666667</v>
      </c>
      <c r="X422" s="48" t="n">
        <f aca="false">MAX(X421,IF(P422="",0,P422))</f>
        <v>175.666666666667</v>
      </c>
      <c r="Y422" s="48" t="n">
        <f aca="false">V422+W422+X422</f>
        <v>419.5</v>
      </c>
    </row>
    <row r="423" customFormat="false" ht="15" hidden="false" customHeight="false" outlineLevel="0" collapsed="false">
      <c r="A423" s="45"/>
      <c r="B423" s="31"/>
      <c r="C423" s="32"/>
      <c r="D423" s="31"/>
      <c r="E423" s="31"/>
      <c r="F423" s="29"/>
      <c r="G423" s="29" t="str">
        <f aca="false">IF(OR(D423="",E423="",F423=""),"",D423*E423*F423)</f>
        <v/>
      </c>
      <c r="H423" s="31"/>
      <c r="I423" s="46" t="str">
        <f aca="false">IF(OR(C423="",K423=""),"",IF(K423&gt;=_xlfn.MAXIFS($K$5:K422,$C$5:C422,C423),"Yes","No"))</f>
        <v/>
      </c>
      <c r="J423" s="32"/>
      <c r="K423" s="47" t="str">
        <f aca="false">IF(OR(E423="",F423=""),"",F423*(1+E423/30))</f>
        <v/>
      </c>
      <c r="L423" s="27" t="str">
        <f aca="false">IF(A423="","",INT((A423-StartDate)/7)+1)</f>
        <v/>
      </c>
      <c r="M423" s="27" t="str">
        <f aca="false">IF(A423="","",TEXT(A423,"mmm"))</f>
        <v/>
      </c>
      <c r="N423" s="47" t="str">
        <f aca="false">IFERROR(IF(ISNUMBER(SEARCH("squat",C423)),K423,""),"")</f>
        <v/>
      </c>
      <c r="O423" s="47" t="str">
        <f aca="false">IFERROR(IF(ISNUMBER(SEARCH("bench",C423)),K423,""),"")</f>
        <v/>
      </c>
      <c r="P423" s="47" t="str">
        <f aca="false">IFERROR(IF(ISNUMBER(SEARCH("deadlift",C423)),K423,""),"")</f>
        <v/>
      </c>
      <c r="V423" s="47" t="n">
        <f aca="false">MAX(V422,IF(N423="",0,N423))</f>
        <v>144.666666666667</v>
      </c>
      <c r="W423" s="47" t="n">
        <f aca="false">MAX(W422,IF(O423="",0,O423))</f>
        <v>99.1666666666667</v>
      </c>
      <c r="X423" s="47" t="n">
        <f aca="false">MAX(X422,IF(P423="",0,P423))</f>
        <v>175.666666666667</v>
      </c>
      <c r="Y423" s="47" t="n">
        <f aca="false">V423+W423+X423</f>
        <v>419.5</v>
      </c>
    </row>
    <row r="424" customFormat="false" ht="15" hidden="false" customHeight="false" outlineLevel="0" collapsed="false">
      <c r="A424" s="45"/>
      <c r="B424" s="31"/>
      <c r="C424" s="32"/>
      <c r="D424" s="31"/>
      <c r="E424" s="31"/>
      <c r="F424" s="29"/>
      <c r="G424" s="29" t="str">
        <f aca="false">IF(OR(D424="",E424="",F424=""),"",D424*E424*F424)</f>
        <v/>
      </c>
      <c r="H424" s="31"/>
      <c r="I424" s="36" t="str">
        <f aca="false">IF(OR(C424="",K424=""),"",IF(K424&gt;=_xlfn.MAXIFS($K$5:K423,$C$5:C423,C424),"Yes","No"))</f>
        <v/>
      </c>
      <c r="J424" s="32"/>
      <c r="K424" s="48" t="str">
        <f aca="false">IF(OR(E424="",F424=""),"",F424*(1+E424/30))</f>
        <v/>
      </c>
      <c r="L424" s="36" t="str">
        <f aca="false">IF(A424="","",INT((A424-StartDate)/7)+1)</f>
        <v/>
      </c>
      <c r="M424" s="36" t="str">
        <f aca="false">IF(A424="","",TEXT(A424,"mmm"))</f>
        <v/>
      </c>
      <c r="N424" s="48" t="str">
        <f aca="false">IFERROR(IF(ISNUMBER(SEARCH("squat",C424)),K424,""),"")</f>
        <v/>
      </c>
      <c r="O424" s="48" t="str">
        <f aca="false">IFERROR(IF(ISNUMBER(SEARCH("bench",C424)),K424,""),"")</f>
        <v/>
      </c>
      <c r="P424" s="48" t="str">
        <f aca="false">IFERROR(IF(ISNUMBER(SEARCH("deadlift",C424)),K424,""),"")</f>
        <v/>
      </c>
      <c r="V424" s="48" t="n">
        <f aca="false">MAX(V423,IF(N424="",0,N424))</f>
        <v>144.666666666667</v>
      </c>
      <c r="W424" s="48" t="n">
        <f aca="false">MAX(W423,IF(O424="",0,O424))</f>
        <v>99.1666666666667</v>
      </c>
      <c r="X424" s="48" t="n">
        <f aca="false">MAX(X423,IF(P424="",0,P424))</f>
        <v>175.666666666667</v>
      </c>
      <c r="Y424" s="48" t="n">
        <f aca="false">V424+W424+X424</f>
        <v>419.5</v>
      </c>
    </row>
    <row r="425" customFormat="false" ht="15" hidden="false" customHeight="false" outlineLevel="0" collapsed="false">
      <c r="A425" s="45"/>
      <c r="B425" s="31"/>
      <c r="C425" s="32"/>
      <c r="D425" s="31"/>
      <c r="E425" s="31"/>
      <c r="F425" s="29"/>
      <c r="G425" s="29" t="str">
        <f aca="false">IF(OR(D425="",E425="",F425=""),"",D425*E425*F425)</f>
        <v/>
      </c>
      <c r="H425" s="31"/>
      <c r="I425" s="46" t="str">
        <f aca="false">IF(OR(C425="",K425=""),"",IF(K425&gt;=_xlfn.MAXIFS($K$5:K424,$C$5:C424,C425),"Yes","No"))</f>
        <v/>
      </c>
      <c r="J425" s="32"/>
      <c r="K425" s="47" t="str">
        <f aca="false">IF(OR(E425="",F425=""),"",F425*(1+E425/30))</f>
        <v/>
      </c>
      <c r="L425" s="27" t="str">
        <f aca="false">IF(A425="","",INT((A425-StartDate)/7)+1)</f>
        <v/>
      </c>
      <c r="M425" s="27" t="str">
        <f aca="false">IF(A425="","",TEXT(A425,"mmm"))</f>
        <v/>
      </c>
      <c r="N425" s="47" t="str">
        <f aca="false">IFERROR(IF(ISNUMBER(SEARCH("squat",C425)),K425,""),"")</f>
        <v/>
      </c>
      <c r="O425" s="47" t="str">
        <f aca="false">IFERROR(IF(ISNUMBER(SEARCH("bench",C425)),K425,""),"")</f>
        <v/>
      </c>
      <c r="P425" s="47" t="str">
        <f aca="false">IFERROR(IF(ISNUMBER(SEARCH("deadlift",C425)),K425,""),"")</f>
        <v/>
      </c>
      <c r="V425" s="47" t="n">
        <f aca="false">MAX(V424,IF(N425="",0,N425))</f>
        <v>144.666666666667</v>
      </c>
      <c r="W425" s="47" t="n">
        <f aca="false">MAX(W424,IF(O425="",0,O425))</f>
        <v>99.1666666666667</v>
      </c>
      <c r="X425" s="47" t="n">
        <f aca="false">MAX(X424,IF(P425="",0,P425))</f>
        <v>175.666666666667</v>
      </c>
      <c r="Y425" s="47" t="n">
        <f aca="false">V425+W425+X425</f>
        <v>419.5</v>
      </c>
    </row>
    <row r="426" customFormat="false" ht="15" hidden="false" customHeight="false" outlineLevel="0" collapsed="false">
      <c r="A426" s="45"/>
      <c r="B426" s="31"/>
      <c r="C426" s="32"/>
      <c r="D426" s="31"/>
      <c r="E426" s="31"/>
      <c r="F426" s="29"/>
      <c r="G426" s="29" t="str">
        <f aca="false">IF(OR(D426="",E426="",F426=""),"",D426*E426*F426)</f>
        <v/>
      </c>
      <c r="H426" s="31"/>
      <c r="I426" s="36" t="str">
        <f aca="false">IF(OR(C426="",K426=""),"",IF(K426&gt;=_xlfn.MAXIFS($K$5:K425,$C$5:C425,C426),"Yes","No"))</f>
        <v/>
      </c>
      <c r="J426" s="32"/>
      <c r="K426" s="48" t="str">
        <f aca="false">IF(OR(E426="",F426=""),"",F426*(1+E426/30))</f>
        <v/>
      </c>
      <c r="L426" s="36" t="str">
        <f aca="false">IF(A426="","",INT((A426-StartDate)/7)+1)</f>
        <v/>
      </c>
      <c r="M426" s="36" t="str">
        <f aca="false">IF(A426="","",TEXT(A426,"mmm"))</f>
        <v/>
      </c>
      <c r="N426" s="48" t="str">
        <f aca="false">IFERROR(IF(ISNUMBER(SEARCH("squat",C426)),K426,""),"")</f>
        <v/>
      </c>
      <c r="O426" s="48" t="str">
        <f aca="false">IFERROR(IF(ISNUMBER(SEARCH("bench",C426)),K426,""),"")</f>
        <v/>
      </c>
      <c r="P426" s="48" t="str">
        <f aca="false">IFERROR(IF(ISNUMBER(SEARCH("deadlift",C426)),K426,""),"")</f>
        <v/>
      </c>
      <c r="V426" s="48" t="n">
        <f aca="false">MAX(V425,IF(N426="",0,N426))</f>
        <v>144.666666666667</v>
      </c>
      <c r="W426" s="48" t="n">
        <f aca="false">MAX(W425,IF(O426="",0,O426))</f>
        <v>99.1666666666667</v>
      </c>
      <c r="X426" s="48" t="n">
        <f aca="false">MAX(X425,IF(P426="",0,P426))</f>
        <v>175.666666666667</v>
      </c>
      <c r="Y426" s="48" t="n">
        <f aca="false">V426+W426+X426</f>
        <v>419.5</v>
      </c>
    </row>
    <row r="427" customFormat="false" ht="15" hidden="false" customHeight="false" outlineLevel="0" collapsed="false">
      <c r="A427" s="45"/>
      <c r="B427" s="31"/>
      <c r="C427" s="32"/>
      <c r="D427" s="31"/>
      <c r="E427" s="31"/>
      <c r="F427" s="29"/>
      <c r="G427" s="29" t="str">
        <f aca="false">IF(OR(D427="",E427="",F427=""),"",D427*E427*F427)</f>
        <v/>
      </c>
      <c r="H427" s="31"/>
      <c r="I427" s="46" t="str">
        <f aca="false">IF(OR(C427="",K427=""),"",IF(K427&gt;=_xlfn.MAXIFS($K$5:K426,$C$5:C426,C427),"Yes","No"))</f>
        <v/>
      </c>
      <c r="J427" s="32"/>
      <c r="K427" s="47" t="str">
        <f aca="false">IF(OR(E427="",F427=""),"",F427*(1+E427/30))</f>
        <v/>
      </c>
      <c r="L427" s="27" t="str">
        <f aca="false">IF(A427="","",INT((A427-StartDate)/7)+1)</f>
        <v/>
      </c>
      <c r="M427" s="27" t="str">
        <f aca="false">IF(A427="","",TEXT(A427,"mmm"))</f>
        <v/>
      </c>
      <c r="N427" s="47" t="str">
        <f aca="false">IFERROR(IF(ISNUMBER(SEARCH("squat",C427)),K427,""),"")</f>
        <v/>
      </c>
      <c r="O427" s="47" t="str">
        <f aca="false">IFERROR(IF(ISNUMBER(SEARCH("bench",C427)),K427,""),"")</f>
        <v/>
      </c>
      <c r="P427" s="47" t="str">
        <f aca="false">IFERROR(IF(ISNUMBER(SEARCH("deadlift",C427)),K427,""),"")</f>
        <v/>
      </c>
      <c r="V427" s="47" t="n">
        <f aca="false">MAX(V426,IF(N427="",0,N427))</f>
        <v>144.666666666667</v>
      </c>
      <c r="W427" s="47" t="n">
        <f aca="false">MAX(W426,IF(O427="",0,O427))</f>
        <v>99.1666666666667</v>
      </c>
      <c r="X427" s="47" t="n">
        <f aca="false">MAX(X426,IF(P427="",0,P427))</f>
        <v>175.666666666667</v>
      </c>
      <c r="Y427" s="47" t="n">
        <f aca="false">V427+W427+X427</f>
        <v>419.5</v>
      </c>
    </row>
    <row r="428" customFormat="false" ht="15" hidden="false" customHeight="false" outlineLevel="0" collapsed="false">
      <c r="A428" s="45"/>
      <c r="B428" s="31"/>
      <c r="C428" s="32"/>
      <c r="D428" s="31"/>
      <c r="E428" s="31"/>
      <c r="F428" s="29"/>
      <c r="G428" s="29" t="str">
        <f aca="false">IF(OR(D428="",E428="",F428=""),"",D428*E428*F428)</f>
        <v/>
      </c>
      <c r="H428" s="31"/>
      <c r="I428" s="36" t="str">
        <f aca="false">IF(OR(C428="",K428=""),"",IF(K428&gt;=_xlfn.MAXIFS($K$5:K427,$C$5:C427,C428),"Yes","No"))</f>
        <v/>
      </c>
      <c r="J428" s="32"/>
      <c r="K428" s="48" t="str">
        <f aca="false">IF(OR(E428="",F428=""),"",F428*(1+E428/30))</f>
        <v/>
      </c>
      <c r="L428" s="36" t="str">
        <f aca="false">IF(A428="","",INT((A428-StartDate)/7)+1)</f>
        <v/>
      </c>
      <c r="M428" s="36" t="str">
        <f aca="false">IF(A428="","",TEXT(A428,"mmm"))</f>
        <v/>
      </c>
      <c r="N428" s="48" t="str">
        <f aca="false">IFERROR(IF(ISNUMBER(SEARCH("squat",C428)),K428,""),"")</f>
        <v/>
      </c>
      <c r="O428" s="48" t="str">
        <f aca="false">IFERROR(IF(ISNUMBER(SEARCH("bench",C428)),K428,""),"")</f>
        <v/>
      </c>
      <c r="P428" s="48" t="str">
        <f aca="false">IFERROR(IF(ISNUMBER(SEARCH("deadlift",C428)),K428,""),"")</f>
        <v/>
      </c>
      <c r="V428" s="48" t="n">
        <f aca="false">MAX(V427,IF(N428="",0,N428))</f>
        <v>144.666666666667</v>
      </c>
      <c r="W428" s="48" t="n">
        <f aca="false">MAX(W427,IF(O428="",0,O428))</f>
        <v>99.1666666666667</v>
      </c>
      <c r="X428" s="48" t="n">
        <f aca="false">MAX(X427,IF(P428="",0,P428))</f>
        <v>175.666666666667</v>
      </c>
      <c r="Y428" s="48" t="n">
        <f aca="false">V428+W428+X428</f>
        <v>419.5</v>
      </c>
    </row>
    <row r="429" customFormat="false" ht="15" hidden="false" customHeight="false" outlineLevel="0" collapsed="false">
      <c r="A429" s="45"/>
      <c r="B429" s="31"/>
      <c r="C429" s="32"/>
      <c r="D429" s="31"/>
      <c r="E429" s="31"/>
      <c r="F429" s="29"/>
      <c r="G429" s="29" t="str">
        <f aca="false">IF(OR(D429="",E429="",F429=""),"",D429*E429*F429)</f>
        <v/>
      </c>
      <c r="H429" s="31"/>
      <c r="I429" s="46" t="str">
        <f aca="false">IF(OR(C429="",K429=""),"",IF(K429&gt;=_xlfn.MAXIFS($K$5:K428,$C$5:C428,C429),"Yes","No"))</f>
        <v/>
      </c>
      <c r="J429" s="32"/>
      <c r="K429" s="47" t="str">
        <f aca="false">IF(OR(E429="",F429=""),"",F429*(1+E429/30))</f>
        <v/>
      </c>
      <c r="L429" s="27" t="str">
        <f aca="false">IF(A429="","",INT((A429-StartDate)/7)+1)</f>
        <v/>
      </c>
      <c r="M429" s="27" t="str">
        <f aca="false">IF(A429="","",TEXT(A429,"mmm"))</f>
        <v/>
      </c>
      <c r="N429" s="47" t="str">
        <f aca="false">IFERROR(IF(ISNUMBER(SEARCH("squat",C429)),K429,""),"")</f>
        <v/>
      </c>
      <c r="O429" s="47" t="str">
        <f aca="false">IFERROR(IF(ISNUMBER(SEARCH("bench",C429)),K429,""),"")</f>
        <v/>
      </c>
      <c r="P429" s="47" t="str">
        <f aca="false">IFERROR(IF(ISNUMBER(SEARCH("deadlift",C429)),K429,""),"")</f>
        <v/>
      </c>
      <c r="V429" s="47" t="n">
        <f aca="false">MAX(V428,IF(N429="",0,N429))</f>
        <v>144.666666666667</v>
      </c>
      <c r="W429" s="47" t="n">
        <f aca="false">MAX(W428,IF(O429="",0,O429))</f>
        <v>99.1666666666667</v>
      </c>
      <c r="X429" s="47" t="n">
        <f aca="false">MAX(X428,IF(P429="",0,P429))</f>
        <v>175.666666666667</v>
      </c>
      <c r="Y429" s="47" t="n">
        <f aca="false">V429+W429+X429</f>
        <v>419.5</v>
      </c>
    </row>
    <row r="430" customFormat="false" ht="15" hidden="false" customHeight="false" outlineLevel="0" collapsed="false">
      <c r="A430" s="45"/>
      <c r="B430" s="31"/>
      <c r="C430" s="32"/>
      <c r="D430" s="31"/>
      <c r="E430" s="31"/>
      <c r="F430" s="29"/>
      <c r="G430" s="29" t="str">
        <f aca="false">IF(OR(D430="",E430="",F430=""),"",D430*E430*F430)</f>
        <v/>
      </c>
      <c r="H430" s="31"/>
      <c r="I430" s="36" t="str">
        <f aca="false">IF(OR(C430="",K430=""),"",IF(K430&gt;=_xlfn.MAXIFS($K$5:K429,$C$5:C429,C430),"Yes","No"))</f>
        <v/>
      </c>
      <c r="J430" s="32"/>
      <c r="K430" s="48" t="str">
        <f aca="false">IF(OR(E430="",F430=""),"",F430*(1+E430/30))</f>
        <v/>
      </c>
      <c r="L430" s="36" t="str">
        <f aca="false">IF(A430="","",INT((A430-StartDate)/7)+1)</f>
        <v/>
      </c>
      <c r="M430" s="36" t="str">
        <f aca="false">IF(A430="","",TEXT(A430,"mmm"))</f>
        <v/>
      </c>
      <c r="N430" s="48" t="str">
        <f aca="false">IFERROR(IF(ISNUMBER(SEARCH("squat",C430)),K430,""),"")</f>
        <v/>
      </c>
      <c r="O430" s="48" t="str">
        <f aca="false">IFERROR(IF(ISNUMBER(SEARCH("bench",C430)),K430,""),"")</f>
        <v/>
      </c>
      <c r="P430" s="48" t="str">
        <f aca="false">IFERROR(IF(ISNUMBER(SEARCH("deadlift",C430)),K430,""),"")</f>
        <v/>
      </c>
      <c r="V430" s="48" t="n">
        <f aca="false">MAX(V429,IF(N430="",0,N430))</f>
        <v>144.666666666667</v>
      </c>
      <c r="W430" s="48" t="n">
        <f aca="false">MAX(W429,IF(O430="",0,O430))</f>
        <v>99.1666666666667</v>
      </c>
      <c r="X430" s="48" t="n">
        <f aca="false">MAX(X429,IF(P430="",0,P430))</f>
        <v>175.666666666667</v>
      </c>
      <c r="Y430" s="48" t="n">
        <f aca="false">V430+W430+X430</f>
        <v>419.5</v>
      </c>
    </row>
    <row r="431" customFormat="false" ht="15" hidden="false" customHeight="false" outlineLevel="0" collapsed="false">
      <c r="A431" s="45"/>
      <c r="B431" s="31"/>
      <c r="C431" s="32"/>
      <c r="D431" s="31"/>
      <c r="E431" s="31"/>
      <c r="F431" s="29"/>
      <c r="G431" s="29" t="str">
        <f aca="false">IF(OR(D431="",E431="",F431=""),"",D431*E431*F431)</f>
        <v/>
      </c>
      <c r="H431" s="31"/>
      <c r="I431" s="46" t="str">
        <f aca="false">IF(OR(C431="",K431=""),"",IF(K431&gt;=_xlfn.MAXIFS($K$5:K430,$C$5:C430,C431),"Yes","No"))</f>
        <v/>
      </c>
      <c r="J431" s="32"/>
      <c r="K431" s="47" t="str">
        <f aca="false">IF(OR(E431="",F431=""),"",F431*(1+E431/30))</f>
        <v/>
      </c>
      <c r="L431" s="27" t="str">
        <f aca="false">IF(A431="","",INT((A431-StartDate)/7)+1)</f>
        <v/>
      </c>
      <c r="M431" s="27" t="str">
        <f aca="false">IF(A431="","",TEXT(A431,"mmm"))</f>
        <v/>
      </c>
      <c r="N431" s="47" t="str">
        <f aca="false">IFERROR(IF(ISNUMBER(SEARCH("squat",C431)),K431,""),"")</f>
        <v/>
      </c>
      <c r="O431" s="47" t="str">
        <f aca="false">IFERROR(IF(ISNUMBER(SEARCH("bench",C431)),K431,""),"")</f>
        <v/>
      </c>
      <c r="P431" s="47" t="str">
        <f aca="false">IFERROR(IF(ISNUMBER(SEARCH("deadlift",C431)),K431,""),"")</f>
        <v/>
      </c>
      <c r="V431" s="47" t="n">
        <f aca="false">MAX(V430,IF(N431="",0,N431))</f>
        <v>144.666666666667</v>
      </c>
      <c r="W431" s="47" t="n">
        <f aca="false">MAX(W430,IF(O431="",0,O431))</f>
        <v>99.1666666666667</v>
      </c>
      <c r="X431" s="47" t="n">
        <f aca="false">MAX(X430,IF(P431="",0,P431))</f>
        <v>175.666666666667</v>
      </c>
      <c r="Y431" s="47" t="n">
        <f aca="false">V431+W431+X431</f>
        <v>419.5</v>
      </c>
    </row>
    <row r="432" customFormat="false" ht="15" hidden="false" customHeight="false" outlineLevel="0" collapsed="false">
      <c r="A432" s="45"/>
      <c r="B432" s="31"/>
      <c r="C432" s="32"/>
      <c r="D432" s="31"/>
      <c r="E432" s="31"/>
      <c r="F432" s="29"/>
      <c r="G432" s="29" t="str">
        <f aca="false">IF(OR(D432="",E432="",F432=""),"",D432*E432*F432)</f>
        <v/>
      </c>
      <c r="H432" s="31"/>
      <c r="I432" s="36" t="str">
        <f aca="false">IF(OR(C432="",K432=""),"",IF(K432&gt;=_xlfn.MAXIFS($K$5:K431,$C$5:C431,C432),"Yes","No"))</f>
        <v/>
      </c>
      <c r="J432" s="32"/>
      <c r="K432" s="48" t="str">
        <f aca="false">IF(OR(E432="",F432=""),"",F432*(1+E432/30))</f>
        <v/>
      </c>
      <c r="L432" s="36" t="str">
        <f aca="false">IF(A432="","",INT((A432-StartDate)/7)+1)</f>
        <v/>
      </c>
      <c r="M432" s="36" t="str">
        <f aca="false">IF(A432="","",TEXT(A432,"mmm"))</f>
        <v/>
      </c>
      <c r="N432" s="48" t="str">
        <f aca="false">IFERROR(IF(ISNUMBER(SEARCH("squat",C432)),K432,""),"")</f>
        <v/>
      </c>
      <c r="O432" s="48" t="str">
        <f aca="false">IFERROR(IF(ISNUMBER(SEARCH("bench",C432)),K432,""),"")</f>
        <v/>
      </c>
      <c r="P432" s="48" t="str">
        <f aca="false">IFERROR(IF(ISNUMBER(SEARCH("deadlift",C432)),K432,""),"")</f>
        <v/>
      </c>
      <c r="V432" s="48" t="n">
        <f aca="false">MAX(V431,IF(N432="",0,N432))</f>
        <v>144.666666666667</v>
      </c>
      <c r="W432" s="48" t="n">
        <f aca="false">MAX(W431,IF(O432="",0,O432))</f>
        <v>99.1666666666667</v>
      </c>
      <c r="X432" s="48" t="n">
        <f aca="false">MAX(X431,IF(P432="",0,P432))</f>
        <v>175.666666666667</v>
      </c>
      <c r="Y432" s="48" t="n">
        <f aca="false">V432+W432+X432</f>
        <v>419.5</v>
      </c>
    </row>
    <row r="433" customFormat="false" ht="15" hidden="false" customHeight="false" outlineLevel="0" collapsed="false">
      <c r="A433" s="45"/>
      <c r="B433" s="31"/>
      <c r="C433" s="32"/>
      <c r="D433" s="31"/>
      <c r="E433" s="31"/>
      <c r="F433" s="29"/>
      <c r="G433" s="29" t="str">
        <f aca="false">IF(OR(D433="",E433="",F433=""),"",D433*E433*F433)</f>
        <v/>
      </c>
      <c r="H433" s="31"/>
      <c r="I433" s="46" t="str">
        <f aca="false">IF(OR(C433="",K433=""),"",IF(K433&gt;=_xlfn.MAXIFS($K$5:K432,$C$5:C432,C433),"Yes","No"))</f>
        <v/>
      </c>
      <c r="J433" s="32"/>
      <c r="K433" s="47" t="str">
        <f aca="false">IF(OR(E433="",F433=""),"",F433*(1+E433/30))</f>
        <v/>
      </c>
      <c r="L433" s="27" t="str">
        <f aca="false">IF(A433="","",INT((A433-StartDate)/7)+1)</f>
        <v/>
      </c>
      <c r="M433" s="27" t="str">
        <f aca="false">IF(A433="","",TEXT(A433,"mmm"))</f>
        <v/>
      </c>
      <c r="N433" s="47" t="str">
        <f aca="false">IFERROR(IF(ISNUMBER(SEARCH("squat",C433)),K433,""),"")</f>
        <v/>
      </c>
      <c r="O433" s="47" t="str">
        <f aca="false">IFERROR(IF(ISNUMBER(SEARCH("bench",C433)),K433,""),"")</f>
        <v/>
      </c>
      <c r="P433" s="47" t="str">
        <f aca="false">IFERROR(IF(ISNUMBER(SEARCH("deadlift",C433)),K433,""),"")</f>
        <v/>
      </c>
      <c r="V433" s="47" t="n">
        <f aca="false">MAX(V432,IF(N433="",0,N433))</f>
        <v>144.666666666667</v>
      </c>
      <c r="W433" s="47" t="n">
        <f aca="false">MAX(W432,IF(O433="",0,O433))</f>
        <v>99.1666666666667</v>
      </c>
      <c r="X433" s="47" t="n">
        <f aca="false">MAX(X432,IF(P433="",0,P433))</f>
        <v>175.666666666667</v>
      </c>
      <c r="Y433" s="47" t="n">
        <f aca="false">V433+W433+X433</f>
        <v>419.5</v>
      </c>
    </row>
    <row r="434" customFormat="false" ht="15" hidden="false" customHeight="false" outlineLevel="0" collapsed="false">
      <c r="A434" s="45"/>
      <c r="B434" s="31"/>
      <c r="C434" s="32"/>
      <c r="D434" s="31"/>
      <c r="E434" s="31"/>
      <c r="F434" s="29"/>
      <c r="G434" s="29" t="str">
        <f aca="false">IF(OR(D434="",E434="",F434=""),"",D434*E434*F434)</f>
        <v/>
      </c>
      <c r="H434" s="31"/>
      <c r="I434" s="36" t="str">
        <f aca="false">IF(OR(C434="",K434=""),"",IF(K434&gt;=_xlfn.MAXIFS($K$5:K433,$C$5:C433,C434),"Yes","No"))</f>
        <v/>
      </c>
      <c r="J434" s="32"/>
      <c r="K434" s="48" t="str">
        <f aca="false">IF(OR(E434="",F434=""),"",F434*(1+E434/30))</f>
        <v/>
      </c>
      <c r="L434" s="36" t="str">
        <f aca="false">IF(A434="","",INT((A434-StartDate)/7)+1)</f>
        <v/>
      </c>
      <c r="M434" s="36" t="str">
        <f aca="false">IF(A434="","",TEXT(A434,"mmm"))</f>
        <v/>
      </c>
      <c r="N434" s="48" t="str">
        <f aca="false">IFERROR(IF(ISNUMBER(SEARCH("squat",C434)),K434,""),"")</f>
        <v/>
      </c>
      <c r="O434" s="48" t="str">
        <f aca="false">IFERROR(IF(ISNUMBER(SEARCH("bench",C434)),K434,""),"")</f>
        <v/>
      </c>
      <c r="P434" s="48" t="str">
        <f aca="false">IFERROR(IF(ISNUMBER(SEARCH("deadlift",C434)),K434,""),"")</f>
        <v/>
      </c>
      <c r="V434" s="48" t="n">
        <f aca="false">MAX(V433,IF(N434="",0,N434))</f>
        <v>144.666666666667</v>
      </c>
      <c r="W434" s="48" t="n">
        <f aca="false">MAX(W433,IF(O434="",0,O434))</f>
        <v>99.1666666666667</v>
      </c>
      <c r="X434" s="48" t="n">
        <f aca="false">MAX(X433,IF(P434="",0,P434))</f>
        <v>175.666666666667</v>
      </c>
      <c r="Y434" s="48" t="n">
        <f aca="false">V434+W434+X434</f>
        <v>419.5</v>
      </c>
    </row>
    <row r="435" customFormat="false" ht="15" hidden="false" customHeight="false" outlineLevel="0" collapsed="false">
      <c r="A435" s="45"/>
      <c r="B435" s="31"/>
      <c r="C435" s="32"/>
      <c r="D435" s="31"/>
      <c r="E435" s="31"/>
      <c r="F435" s="29"/>
      <c r="G435" s="29" t="str">
        <f aca="false">IF(OR(D435="",E435="",F435=""),"",D435*E435*F435)</f>
        <v/>
      </c>
      <c r="H435" s="31"/>
      <c r="I435" s="46" t="str">
        <f aca="false">IF(OR(C435="",K435=""),"",IF(K435&gt;=_xlfn.MAXIFS($K$5:K434,$C$5:C434,C435),"Yes","No"))</f>
        <v/>
      </c>
      <c r="J435" s="32"/>
      <c r="K435" s="47" t="str">
        <f aca="false">IF(OR(E435="",F435=""),"",F435*(1+E435/30))</f>
        <v/>
      </c>
      <c r="L435" s="27" t="str">
        <f aca="false">IF(A435="","",INT((A435-StartDate)/7)+1)</f>
        <v/>
      </c>
      <c r="M435" s="27" t="str">
        <f aca="false">IF(A435="","",TEXT(A435,"mmm"))</f>
        <v/>
      </c>
      <c r="N435" s="47" t="str">
        <f aca="false">IFERROR(IF(ISNUMBER(SEARCH("squat",C435)),K435,""),"")</f>
        <v/>
      </c>
      <c r="O435" s="47" t="str">
        <f aca="false">IFERROR(IF(ISNUMBER(SEARCH("bench",C435)),K435,""),"")</f>
        <v/>
      </c>
      <c r="P435" s="47" t="str">
        <f aca="false">IFERROR(IF(ISNUMBER(SEARCH("deadlift",C435)),K435,""),"")</f>
        <v/>
      </c>
      <c r="V435" s="47" t="n">
        <f aca="false">MAX(V434,IF(N435="",0,N435))</f>
        <v>144.666666666667</v>
      </c>
      <c r="W435" s="47" t="n">
        <f aca="false">MAX(W434,IF(O435="",0,O435))</f>
        <v>99.1666666666667</v>
      </c>
      <c r="X435" s="47" t="n">
        <f aca="false">MAX(X434,IF(P435="",0,P435))</f>
        <v>175.666666666667</v>
      </c>
      <c r="Y435" s="47" t="n">
        <f aca="false">V435+W435+X435</f>
        <v>419.5</v>
      </c>
    </row>
    <row r="436" customFormat="false" ht="15" hidden="false" customHeight="false" outlineLevel="0" collapsed="false">
      <c r="A436" s="45"/>
      <c r="B436" s="31"/>
      <c r="C436" s="32"/>
      <c r="D436" s="31"/>
      <c r="E436" s="31"/>
      <c r="F436" s="29"/>
      <c r="G436" s="29" t="str">
        <f aca="false">IF(OR(D436="",E436="",F436=""),"",D436*E436*F436)</f>
        <v/>
      </c>
      <c r="H436" s="31"/>
      <c r="I436" s="36" t="str">
        <f aca="false">IF(OR(C436="",K436=""),"",IF(K436&gt;=_xlfn.MAXIFS($K$5:K435,$C$5:C435,C436),"Yes","No"))</f>
        <v/>
      </c>
      <c r="J436" s="32"/>
      <c r="K436" s="48" t="str">
        <f aca="false">IF(OR(E436="",F436=""),"",F436*(1+E436/30))</f>
        <v/>
      </c>
      <c r="L436" s="36" t="str">
        <f aca="false">IF(A436="","",INT((A436-StartDate)/7)+1)</f>
        <v/>
      </c>
      <c r="M436" s="36" t="str">
        <f aca="false">IF(A436="","",TEXT(A436,"mmm"))</f>
        <v/>
      </c>
      <c r="N436" s="48" t="str">
        <f aca="false">IFERROR(IF(ISNUMBER(SEARCH("squat",C436)),K436,""),"")</f>
        <v/>
      </c>
      <c r="O436" s="48" t="str">
        <f aca="false">IFERROR(IF(ISNUMBER(SEARCH("bench",C436)),K436,""),"")</f>
        <v/>
      </c>
      <c r="P436" s="48" t="str">
        <f aca="false">IFERROR(IF(ISNUMBER(SEARCH("deadlift",C436)),K436,""),"")</f>
        <v/>
      </c>
      <c r="V436" s="48" t="n">
        <f aca="false">MAX(V435,IF(N436="",0,N436))</f>
        <v>144.666666666667</v>
      </c>
      <c r="W436" s="48" t="n">
        <f aca="false">MAX(W435,IF(O436="",0,O436))</f>
        <v>99.1666666666667</v>
      </c>
      <c r="X436" s="48" t="n">
        <f aca="false">MAX(X435,IF(P436="",0,P436))</f>
        <v>175.666666666667</v>
      </c>
      <c r="Y436" s="48" t="n">
        <f aca="false">V436+W436+X436</f>
        <v>419.5</v>
      </c>
    </row>
    <row r="437" customFormat="false" ht="15" hidden="false" customHeight="false" outlineLevel="0" collapsed="false">
      <c r="A437" s="45"/>
      <c r="B437" s="31"/>
      <c r="C437" s="32"/>
      <c r="D437" s="31"/>
      <c r="E437" s="31"/>
      <c r="F437" s="29"/>
      <c r="G437" s="29" t="str">
        <f aca="false">IF(OR(D437="",E437="",F437=""),"",D437*E437*F437)</f>
        <v/>
      </c>
      <c r="H437" s="31"/>
      <c r="I437" s="46" t="str">
        <f aca="false">IF(OR(C437="",K437=""),"",IF(K437&gt;=_xlfn.MAXIFS($K$5:K436,$C$5:C436,C437),"Yes","No"))</f>
        <v/>
      </c>
      <c r="J437" s="32"/>
      <c r="K437" s="47" t="str">
        <f aca="false">IF(OR(E437="",F437=""),"",F437*(1+E437/30))</f>
        <v/>
      </c>
      <c r="L437" s="27" t="str">
        <f aca="false">IF(A437="","",INT((A437-StartDate)/7)+1)</f>
        <v/>
      </c>
      <c r="M437" s="27" t="str">
        <f aca="false">IF(A437="","",TEXT(A437,"mmm"))</f>
        <v/>
      </c>
      <c r="N437" s="47" t="str">
        <f aca="false">IFERROR(IF(ISNUMBER(SEARCH("squat",C437)),K437,""),"")</f>
        <v/>
      </c>
      <c r="O437" s="47" t="str">
        <f aca="false">IFERROR(IF(ISNUMBER(SEARCH("bench",C437)),K437,""),"")</f>
        <v/>
      </c>
      <c r="P437" s="47" t="str">
        <f aca="false">IFERROR(IF(ISNUMBER(SEARCH("deadlift",C437)),K437,""),"")</f>
        <v/>
      </c>
      <c r="V437" s="47" t="n">
        <f aca="false">MAX(V436,IF(N437="",0,N437))</f>
        <v>144.666666666667</v>
      </c>
      <c r="W437" s="47" t="n">
        <f aca="false">MAX(W436,IF(O437="",0,O437))</f>
        <v>99.1666666666667</v>
      </c>
      <c r="X437" s="47" t="n">
        <f aca="false">MAX(X436,IF(P437="",0,P437))</f>
        <v>175.666666666667</v>
      </c>
      <c r="Y437" s="47" t="n">
        <f aca="false">V437+W437+X437</f>
        <v>419.5</v>
      </c>
    </row>
    <row r="438" customFormat="false" ht="15" hidden="false" customHeight="false" outlineLevel="0" collapsed="false">
      <c r="A438" s="45"/>
      <c r="B438" s="31"/>
      <c r="C438" s="32"/>
      <c r="D438" s="31"/>
      <c r="E438" s="31"/>
      <c r="F438" s="29"/>
      <c r="G438" s="29" t="str">
        <f aca="false">IF(OR(D438="",E438="",F438=""),"",D438*E438*F438)</f>
        <v/>
      </c>
      <c r="H438" s="31"/>
      <c r="I438" s="36" t="str">
        <f aca="false">IF(OR(C438="",K438=""),"",IF(K438&gt;=_xlfn.MAXIFS($K$5:K437,$C$5:C437,C438),"Yes","No"))</f>
        <v/>
      </c>
      <c r="J438" s="32"/>
      <c r="K438" s="48" t="str">
        <f aca="false">IF(OR(E438="",F438=""),"",F438*(1+E438/30))</f>
        <v/>
      </c>
      <c r="L438" s="36" t="str">
        <f aca="false">IF(A438="","",INT((A438-StartDate)/7)+1)</f>
        <v/>
      </c>
      <c r="M438" s="36" t="str">
        <f aca="false">IF(A438="","",TEXT(A438,"mmm"))</f>
        <v/>
      </c>
      <c r="N438" s="48" t="str">
        <f aca="false">IFERROR(IF(ISNUMBER(SEARCH("squat",C438)),K438,""),"")</f>
        <v/>
      </c>
      <c r="O438" s="48" t="str">
        <f aca="false">IFERROR(IF(ISNUMBER(SEARCH("bench",C438)),K438,""),"")</f>
        <v/>
      </c>
      <c r="P438" s="48" t="str">
        <f aca="false">IFERROR(IF(ISNUMBER(SEARCH("deadlift",C438)),K438,""),"")</f>
        <v/>
      </c>
      <c r="V438" s="48" t="n">
        <f aca="false">MAX(V437,IF(N438="",0,N438))</f>
        <v>144.666666666667</v>
      </c>
      <c r="W438" s="48" t="n">
        <f aca="false">MAX(W437,IF(O438="",0,O438))</f>
        <v>99.1666666666667</v>
      </c>
      <c r="X438" s="48" t="n">
        <f aca="false">MAX(X437,IF(P438="",0,P438))</f>
        <v>175.666666666667</v>
      </c>
      <c r="Y438" s="48" t="n">
        <f aca="false">V438+W438+X438</f>
        <v>419.5</v>
      </c>
    </row>
    <row r="439" customFormat="false" ht="15" hidden="false" customHeight="false" outlineLevel="0" collapsed="false">
      <c r="A439" s="45"/>
      <c r="B439" s="31"/>
      <c r="C439" s="32"/>
      <c r="D439" s="31"/>
      <c r="E439" s="31"/>
      <c r="F439" s="29"/>
      <c r="G439" s="29" t="str">
        <f aca="false">IF(OR(D439="",E439="",F439=""),"",D439*E439*F439)</f>
        <v/>
      </c>
      <c r="H439" s="31"/>
      <c r="I439" s="46" t="str">
        <f aca="false">IF(OR(C439="",K439=""),"",IF(K439&gt;=_xlfn.MAXIFS($K$5:K438,$C$5:C438,C439),"Yes","No"))</f>
        <v/>
      </c>
      <c r="J439" s="32"/>
      <c r="K439" s="47" t="str">
        <f aca="false">IF(OR(E439="",F439=""),"",F439*(1+E439/30))</f>
        <v/>
      </c>
      <c r="L439" s="27" t="str">
        <f aca="false">IF(A439="","",INT((A439-StartDate)/7)+1)</f>
        <v/>
      </c>
      <c r="M439" s="27" t="str">
        <f aca="false">IF(A439="","",TEXT(A439,"mmm"))</f>
        <v/>
      </c>
      <c r="N439" s="47" t="str">
        <f aca="false">IFERROR(IF(ISNUMBER(SEARCH("squat",C439)),K439,""),"")</f>
        <v/>
      </c>
      <c r="O439" s="47" t="str">
        <f aca="false">IFERROR(IF(ISNUMBER(SEARCH("bench",C439)),K439,""),"")</f>
        <v/>
      </c>
      <c r="P439" s="47" t="str">
        <f aca="false">IFERROR(IF(ISNUMBER(SEARCH("deadlift",C439)),K439,""),"")</f>
        <v/>
      </c>
      <c r="V439" s="47" t="n">
        <f aca="false">MAX(V438,IF(N439="",0,N439))</f>
        <v>144.666666666667</v>
      </c>
      <c r="W439" s="47" t="n">
        <f aca="false">MAX(W438,IF(O439="",0,O439))</f>
        <v>99.1666666666667</v>
      </c>
      <c r="X439" s="47" t="n">
        <f aca="false">MAX(X438,IF(P439="",0,P439))</f>
        <v>175.666666666667</v>
      </c>
      <c r="Y439" s="47" t="n">
        <f aca="false">V439+W439+X439</f>
        <v>419.5</v>
      </c>
    </row>
    <row r="440" customFormat="false" ht="15" hidden="false" customHeight="false" outlineLevel="0" collapsed="false">
      <c r="A440" s="45"/>
      <c r="B440" s="31"/>
      <c r="C440" s="32"/>
      <c r="D440" s="31"/>
      <c r="E440" s="31"/>
      <c r="F440" s="29"/>
      <c r="G440" s="29" t="str">
        <f aca="false">IF(OR(D440="",E440="",F440=""),"",D440*E440*F440)</f>
        <v/>
      </c>
      <c r="H440" s="31"/>
      <c r="I440" s="36" t="str">
        <f aca="false">IF(OR(C440="",K440=""),"",IF(K440&gt;=_xlfn.MAXIFS($K$5:K439,$C$5:C439,C440),"Yes","No"))</f>
        <v/>
      </c>
      <c r="J440" s="32"/>
      <c r="K440" s="48" t="str">
        <f aca="false">IF(OR(E440="",F440=""),"",F440*(1+E440/30))</f>
        <v/>
      </c>
      <c r="L440" s="36" t="str">
        <f aca="false">IF(A440="","",INT((A440-StartDate)/7)+1)</f>
        <v/>
      </c>
      <c r="M440" s="36" t="str">
        <f aca="false">IF(A440="","",TEXT(A440,"mmm"))</f>
        <v/>
      </c>
      <c r="N440" s="48" t="str">
        <f aca="false">IFERROR(IF(ISNUMBER(SEARCH("squat",C440)),K440,""),"")</f>
        <v/>
      </c>
      <c r="O440" s="48" t="str">
        <f aca="false">IFERROR(IF(ISNUMBER(SEARCH("bench",C440)),K440,""),"")</f>
        <v/>
      </c>
      <c r="P440" s="48" t="str">
        <f aca="false">IFERROR(IF(ISNUMBER(SEARCH("deadlift",C440)),K440,""),"")</f>
        <v/>
      </c>
      <c r="V440" s="48" t="n">
        <f aca="false">MAX(V439,IF(N440="",0,N440))</f>
        <v>144.666666666667</v>
      </c>
      <c r="W440" s="48" t="n">
        <f aca="false">MAX(W439,IF(O440="",0,O440))</f>
        <v>99.1666666666667</v>
      </c>
      <c r="X440" s="48" t="n">
        <f aca="false">MAX(X439,IF(P440="",0,P440))</f>
        <v>175.666666666667</v>
      </c>
      <c r="Y440" s="48" t="n">
        <f aca="false">V440+W440+X440</f>
        <v>419.5</v>
      </c>
    </row>
    <row r="441" customFormat="false" ht="15" hidden="false" customHeight="false" outlineLevel="0" collapsed="false">
      <c r="A441" s="45"/>
      <c r="B441" s="31"/>
      <c r="C441" s="32"/>
      <c r="D441" s="31"/>
      <c r="E441" s="31"/>
      <c r="F441" s="29"/>
      <c r="G441" s="29" t="str">
        <f aca="false">IF(OR(D441="",E441="",F441=""),"",D441*E441*F441)</f>
        <v/>
      </c>
      <c r="H441" s="31"/>
      <c r="I441" s="46" t="str">
        <f aca="false">IF(OR(C441="",K441=""),"",IF(K441&gt;=_xlfn.MAXIFS($K$5:K440,$C$5:C440,C441),"Yes","No"))</f>
        <v/>
      </c>
      <c r="J441" s="32"/>
      <c r="K441" s="47" t="str">
        <f aca="false">IF(OR(E441="",F441=""),"",F441*(1+E441/30))</f>
        <v/>
      </c>
      <c r="L441" s="27" t="str">
        <f aca="false">IF(A441="","",INT((A441-StartDate)/7)+1)</f>
        <v/>
      </c>
      <c r="M441" s="27" t="str">
        <f aca="false">IF(A441="","",TEXT(A441,"mmm"))</f>
        <v/>
      </c>
      <c r="N441" s="47" t="str">
        <f aca="false">IFERROR(IF(ISNUMBER(SEARCH("squat",C441)),K441,""),"")</f>
        <v/>
      </c>
      <c r="O441" s="47" t="str">
        <f aca="false">IFERROR(IF(ISNUMBER(SEARCH("bench",C441)),K441,""),"")</f>
        <v/>
      </c>
      <c r="P441" s="47" t="str">
        <f aca="false">IFERROR(IF(ISNUMBER(SEARCH("deadlift",C441)),K441,""),"")</f>
        <v/>
      </c>
      <c r="V441" s="47" t="n">
        <f aca="false">MAX(V440,IF(N441="",0,N441))</f>
        <v>144.666666666667</v>
      </c>
      <c r="W441" s="47" t="n">
        <f aca="false">MAX(W440,IF(O441="",0,O441))</f>
        <v>99.1666666666667</v>
      </c>
      <c r="X441" s="47" t="n">
        <f aca="false">MAX(X440,IF(P441="",0,P441))</f>
        <v>175.666666666667</v>
      </c>
      <c r="Y441" s="47" t="n">
        <f aca="false">V441+W441+X441</f>
        <v>419.5</v>
      </c>
    </row>
    <row r="442" customFormat="false" ht="15" hidden="false" customHeight="false" outlineLevel="0" collapsed="false">
      <c r="A442" s="45"/>
      <c r="B442" s="31"/>
      <c r="C442" s="32"/>
      <c r="D442" s="31"/>
      <c r="E442" s="31"/>
      <c r="F442" s="29"/>
      <c r="G442" s="29" t="str">
        <f aca="false">IF(OR(D442="",E442="",F442=""),"",D442*E442*F442)</f>
        <v/>
      </c>
      <c r="H442" s="31"/>
      <c r="I442" s="36" t="str">
        <f aca="false">IF(OR(C442="",K442=""),"",IF(K442&gt;=_xlfn.MAXIFS($K$5:K441,$C$5:C441,C442),"Yes","No"))</f>
        <v/>
      </c>
      <c r="J442" s="32"/>
      <c r="K442" s="48" t="str">
        <f aca="false">IF(OR(E442="",F442=""),"",F442*(1+E442/30))</f>
        <v/>
      </c>
      <c r="L442" s="36" t="str">
        <f aca="false">IF(A442="","",INT((A442-StartDate)/7)+1)</f>
        <v/>
      </c>
      <c r="M442" s="36" t="str">
        <f aca="false">IF(A442="","",TEXT(A442,"mmm"))</f>
        <v/>
      </c>
      <c r="N442" s="48" t="str">
        <f aca="false">IFERROR(IF(ISNUMBER(SEARCH("squat",C442)),K442,""),"")</f>
        <v/>
      </c>
      <c r="O442" s="48" t="str">
        <f aca="false">IFERROR(IF(ISNUMBER(SEARCH("bench",C442)),K442,""),"")</f>
        <v/>
      </c>
      <c r="P442" s="48" t="str">
        <f aca="false">IFERROR(IF(ISNUMBER(SEARCH("deadlift",C442)),K442,""),"")</f>
        <v/>
      </c>
      <c r="V442" s="48" t="n">
        <f aca="false">MAX(V441,IF(N442="",0,N442))</f>
        <v>144.666666666667</v>
      </c>
      <c r="W442" s="48" t="n">
        <f aca="false">MAX(W441,IF(O442="",0,O442))</f>
        <v>99.1666666666667</v>
      </c>
      <c r="X442" s="48" t="n">
        <f aca="false">MAX(X441,IF(P442="",0,P442))</f>
        <v>175.666666666667</v>
      </c>
      <c r="Y442" s="48" t="n">
        <f aca="false">V442+W442+X442</f>
        <v>419.5</v>
      </c>
    </row>
    <row r="443" customFormat="false" ht="15" hidden="false" customHeight="false" outlineLevel="0" collapsed="false">
      <c r="A443" s="45"/>
      <c r="B443" s="31"/>
      <c r="C443" s="32"/>
      <c r="D443" s="31"/>
      <c r="E443" s="31"/>
      <c r="F443" s="29"/>
      <c r="G443" s="29" t="str">
        <f aca="false">IF(OR(D443="",E443="",F443=""),"",D443*E443*F443)</f>
        <v/>
      </c>
      <c r="H443" s="31"/>
      <c r="I443" s="46" t="str">
        <f aca="false">IF(OR(C443="",K443=""),"",IF(K443&gt;=_xlfn.MAXIFS($K$5:K442,$C$5:C442,C443),"Yes","No"))</f>
        <v/>
      </c>
      <c r="J443" s="32"/>
      <c r="K443" s="47" t="str">
        <f aca="false">IF(OR(E443="",F443=""),"",F443*(1+E443/30))</f>
        <v/>
      </c>
      <c r="L443" s="27" t="str">
        <f aca="false">IF(A443="","",INT((A443-StartDate)/7)+1)</f>
        <v/>
      </c>
      <c r="M443" s="27" t="str">
        <f aca="false">IF(A443="","",TEXT(A443,"mmm"))</f>
        <v/>
      </c>
      <c r="N443" s="47" t="str">
        <f aca="false">IFERROR(IF(ISNUMBER(SEARCH("squat",C443)),K443,""),"")</f>
        <v/>
      </c>
      <c r="O443" s="47" t="str">
        <f aca="false">IFERROR(IF(ISNUMBER(SEARCH("bench",C443)),K443,""),"")</f>
        <v/>
      </c>
      <c r="P443" s="47" t="str">
        <f aca="false">IFERROR(IF(ISNUMBER(SEARCH("deadlift",C443)),K443,""),"")</f>
        <v/>
      </c>
      <c r="V443" s="47" t="n">
        <f aca="false">MAX(V442,IF(N443="",0,N443))</f>
        <v>144.666666666667</v>
      </c>
      <c r="W443" s="47" t="n">
        <f aca="false">MAX(W442,IF(O443="",0,O443))</f>
        <v>99.1666666666667</v>
      </c>
      <c r="X443" s="47" t="n">
        <f aca="false">MAX(X442,IF(P443="",0,P443))</f>
        <v>175.666666666667</v>
      </c>
      <c r="Y443" s="47" t="n">
        <f aca="false">V443+W443+X443</f>
        <v>419.5</v>
      </c>
    </row>
    <row r="444" customFormat="false" ht="15" hidden="false" customHeight="false" outlineLevel="0" collapsed="false">
      <c r="A444" s="45"/>
      <c r="B444" s="31"/>
      <c r="C444" s="32"/>
      <c r="D444" s="31"/>
      <c r="E444" s="31"/>
      <c r="F444" s="29"/>
      <c r="G444" s="29" t="str">
        <f aca="false">IF(OR(D444="",E444="",F444=""),"",D444*E444*F444)</f>
        <v/>
      </c>
      <c r="H444" s="31"/>
      <c r="I444" s="36" t="str">
        <f aca="false">IF(OR(C444="",K444=""),"",IF(K444&gt;=_xlfn.MAXIFS($K$5:K443,$C$5:C443,C444),"Yes","No"))</f>
        <v/>
      </c>
      <c r="J444" s="32"/>
      <c r="K444" s="48" t="str">
        <f aca="false">IF(OR(E444="",F444=""),"",F444*(1+E444/30))</f>
        <v/>
      </c>
      <c r="L444" s="36" t="str">
        <f aca="false">IF(A444="","",INT((A444-StartDate)/7)+1)</f>
        <v/>
      </c>
      <c r="M444" s="36" t="str">
        <f aca="false">IF(A444="","",TEXT(A444,"mmm"))</f>
        <v/>
      </c>
      <c r="N444" s="48" t="str">
        <f aca="false">IFERROR(IF(ISNUMBER(SEARCH("squat",C444)),K444,""),"")</f>
        <v/>
      </c>
      <c r="O444" s="48" t="str">
        <f aca="false">IFERROR(IF(ISNUMBER(SEARCH("bench",C444)),K444,""),"")</f>
        <v/>
      </c>
      <c r="P444" s="48" t="str">
        <f aca="false">IFERROR(IF(ISNUMBER(SEARCH("deadlift",C444)),K444,""),"")</f>
        <v/>
      </c>
      <c r="V444" s="48" t="n">
        <f aca="false">MAX(V443,IF(N444="",0,N444))</f>
        <v>144.666666666667</v>
      </c>
      <c r="W444" s="48" t="n">
        <f aca="false">MAX(W443,IF(O444="",0,O444))</f>
        <v>99.1666666666667</v>
      </c>
      <c r="X444" s="48" t="n">
        <f aca="false">MAX(X443,IF(P444="",0,P444))</f>
        <v>175.666666666667</v>
      </c>
      <c r="Y444" s="48" t="n">
        <f aca="false">V444+W444+X444</f>
        <v>419.5</v>
      </c>
    </row>
    <row r="445" customFormat="false" ht="15" hidden="false" customHeight="false" outlineLevel="0" collapsed="false">
      <c r="A445" s="45"/>
      <c r="B445" s="31"/>
      <c r="C445" s="32"/>
      <c r="D445" s="31"/>
      <c r="E445" s="31"/>
      <c r="F445" s="29"/>
      <c r="G445" s="29" t="str">
        <f aca="false">IF(OR(D445="",E445="",F445=""),"",D445*E445*F445)</f>
        <v/>
      </c>
      <c r="H445" s="31"/>
      <c r="I445" s="46" t="str">
        <f aca="false">IF(OR(C445="",K445=""),"",IF(K445&gt;=_xlfn.MAXIFS($K$5:K444,$C$5:C444,C445),"Yes","No"))</f>
        <v/>
      </c>
      <c r="J445" s="32"/>
      <c r="K445" s="47" t="str">
        <f aca="false">IF(OR(E445="",F445=""),"",F445*(1+E445/30))</f>
        <v/>
      </c>
      <c r="L445" s="27" t="str">
        <f aca="false">IF(A445="","",INT((A445-StartDate)/7)+1)</f>
        <v/>
      </c>
      <c r="M445" s="27" t="str">
        <f aca="false">IF(A445="","",TEXT(A445,"mmm"))</f>
        <v/>
      </c>
      <c r="N445" s="47" t="str">
        <f aca="false">IFERROR(IF(ISNUMBER(SEARCH("squat",C445)),K445,""),"")</f>
        <v/>
      </c>
      <c r="O445" s="47" t="str">
        <f aca="false">IFERROR(IF(ISNUMBER(SEARCH("bench",C445)),K445,""),"")</f>
        <v/>
      </c>
      <c r="P445" s="47" t="str">
        <f aca="false">IFERROR(IF(ISNUMBER(SEARCH("deadlift",C445)),K445,""),"")</f>
        <v/>
      </c>
      <c r="V445" s="47" t="n">
        <f aca="false">MAX(V444,IF(N445="",0,N445))</f>
        <v>144.666666666667</v>
      </c>
      <c r="W445" s="47" t="n">
        <f aca="false">MAX(W444,IF(O445="",0,O445))</f>
        <v>99.1666666666667</v>
      </c>
      <c r="X445" s="47" t="n">
        <f aca="false">MAX(X444,IF(P445="",0,P445))</f>
        <v>175.666666666667</v>
      </c>
      <c r="Y445" s="47" t="n">
        <f aca="false">V445+W445+X445</f>
        <v>419.5</v>
      </c>
    </row>
    <row r="446" customFormat="false" ht="15" hidden="false" customHeight="false" outlineLevel="0" collapsed="false">
      <c r="A446" s="45"/>
      <c r="B446" s="31"/>
      <c r="C446" s="32"/>
      <c r="D446" s="31"/>
      <c r="E446" s="31"/>
      <c r="F446" s="29"/>
      <c r="G446" s="29" t="str">
        <f aca="false">IF(OR(D446="",E446="",F446=""),"",D446*E446*F446)</f>
        <v/>
      </c>
      <c r="H446" s="31"/>
      <c r="I446" s="36" t="str">
        <f aca="false">IF(OR(C446="",K446=""),"",IF(K446&gt;=_xlfn.MAXIFS($K$5:K445,$C$5:C445,C446),"Yes","No"))</f>
        <v/>
      </c>
      <c r="J446" s="32"/>
      <c r="K446" s="48" t="str">
        <f aca="false">IF(OR(E446="",F446=""),"",F446*(1+E446/30))</f>
        <v/>
      </c>
      <c r="L446" s="36" t="str">
        <f aca="false">IF(A446="","",INT((A446-StartDate)/7)+1)</f>
        <v/>
      </c>
      <c r="M446" s="36" t="str">
        <f aca="false">IF(A446="","",TEXT(A446,"mmm"))</f>
        <v/>
      </c>
      <c r="N446" s="48" t="str">
        <f aca="false">IFERROR(IF(ISNUMBER(SEARCH("squat",C446)),K446,""),"")</f>
        <v/>
      </c>
      <c r="O446" s="48" t="str">
        <f aca="false">IFERROR(IF(ISNUMBER(SEARCH("bench",C446)),K446,""),"")</f>
        <v/>
      </c>
      <c r="P446" s="48" t="str">
        <f aca="false">IFERROR(IF(ISNUMBER(SEARCH("deadlift",C446)),K446,""),"")</f>
        <v/>
      </c>
      <c r="V446" s="48" t="n">
        <f aca="false">MAX(V445,IF(N446="",0,N446))</f>
        <v>144.666666666667</v>
      </c>
      <c r="W446" s="48" t="n">
        <f aca="false">MAX(W445,IF(O446="",0,O446))</f>
        <v>99.1666666666667</v>
      </c>
      <c r="X446" s="48" t="n">
        <f aca="false">MAX(X445,IF(P446="",0,P446))</f>
        <v>175.666666666667</v>
      </c>
      <c r="Y446" s="48" t="n">
        <f aca="false">V446+W446+X446</f>
        <v>419.5</v>
      </c>
    </row>
    <row r="447" customFormat="false" ht="15" hidden="false" customHeight="false" outlineLevel="0" collapsed="false">
      <c r="A447" s="45"/>
      <c r="B447" s="31"/>
      <c r="C447" s="32"/>
      <c r="D447" s="31"/>
      <c r="E447" s="31"/>
      <c r="F447" s="29"/>
      <c r="G447" s="29" t="str">
        <f aca="false">IF(OR(D447="",E447="",F447=""),"",D447*E447*F447)</f>
        <v/>
      </c>
      <c r="H447" s="31"/>
      <c r="I447" s="46" t="str">
        <f aca="false">IF(OR(C447="",K447=""),"",IF(K447&gt;=_xlfn.MAXIFS($K$5:K446,$C$5:C446,C447),"Yes","No"))</f>
        <v/>
      </c>
      <c r="J447" s="32"/>
      <c r="K447" s="47" t="str">
        <f aca="false">IF(OR(E447="",F447=""),"",F447*(1+E447/30))</f>
        <v/>
      </c>
      <c r="L447" s="27" t="str">
        <f aca="false">IF(A447="","",INT((A447-StartDate)/7)+1)</f>
        <v/>
      </c>
      <c r="M447" s="27" t="str">
        <f aca="false">IF(A447="","",TEXT(A447,"mmm"))</f>
        <v/>
      </c>
      <c r="N447" s="47" t="str">
        <f aca="false">IFERROR(IF(ISNUMBER(SEARCH("squat",C447)),K447,""),"")</f>
        <v/>
      </c>
      <c r="O447" s="47" t="str">
        <f aca="false">IFERROR(IF(ISNUMBER(SEARCH("bench",C447)),K447,""),"")</f>
        <v/>
      </c>
      <c r="P447" s="47" t="str">
        <f aca="false">IFERROR(IF(ISNUMBER(SEARCH("deadlift",C447)),K447,""),"")</f>
        <v/>
      </c>
      <c r="V447" s="47" t="n">
        <f aca="false">MAX(V446,IF(N447="",0,N447))</f>
        <v>144.666666666667</v>
      </c>
      <c r="W447" s="47" t="n">
        <f aca="false">MAX(W446,IF(O447="",0,O447))</f>
        <v>99.1666666666667</v>
      </c>
      <c r="X447" s="47" t="n">
        <f aca="false">MAX(X446,IF(P447="",0,P447))</f>
        <v>175.666666666667</v>
      </c>
      <c r="Y447" s="47" t="n">
        <f aca="false">V447+W447+X447</f>
        <v>419.5</v>
      </c>
    </row>
    <row r="448" customFormat="false" ht="15" hidden="false" customHeight="false" outlineLevel="0" collapsed="false">
      <c r="A448" s="45"/>
      <c r="B448" s="31"/>
      <c r="C448" s="32"/>
      <c r="D448" s="31"/>
      <c r="E448" s="31"/>
      <c r="F448" s="29"/>
      <c r="G448" s="29" t="str">
        <f aca="false">IF(OR(D448="",E448="",F448=""),"",D448*E448*F448)</f>
        <v/>
      </c>
      <c r="H448" s="31"/>
      <c r="I448" s="36" t="str">
        <f aca="false">IF(OR(C448="",K448=""),"",IF(K448&gt;=_xlfn.MAXIFS($K$5:K447,$C$5:C447,C448),"Yes","No"))</f>
        <v/>
      </c>
      <c r="J448" s="32"/>
      <c r="K448" s="48" t="str">
        <f aca="false">IF(OR(E448="",F448=""),"",F448*(1+E448/30))</f>
        <v/>
      </c>
      <c r="L448" s="36" t="str">
        <f aca="false">IF(A448="","",INT((A448-StartDate)/7)+1)</f>
        <v/>
      </c>
      <c r="M448" s="36" t="str">
        <f aca="false">IF(A448="","",TEXT(A448,"mmm"))</f>
        <v/>
      </c>
      <c r="N448" s="48" t="str">
        <f aca="false">IFERROR(IF(ISNUMBER(SEARCH("squat",C448)),K448,""),"")</f>
        <v/>
      </c>
      <c r="O448" s="48" t="str">
        <f aca="false">IFERROR(IF(ISNUMBER(SEARCH("bench",C448)),K448,""),"")</f>
        <v/>
      </c>
      <c r="P448" s="48" t="str">
        <f aca="false">IFERROR(IF(ISNUMBER(SEARCH("deadlift",C448)),K448,""),"")</f>
        <v/>
      </c>
      <c r="V448" s="48" t="n">
        <f aca="false">MAX(V447,IF(N448="",0,N448))</f>
        <v>144.666666666667</v>
      </c>
      <c r="W448" s="48" t="n">
        <f aca="false">MAX(W447,IF(O448="",0,O448))</f>
        <v>99.1666666666667</v>
      </c>
      <c r="X448" s="48" t="n">
        <f aca="false">MAX(X447,IF(P448="",0,P448))</f>
        <v>175.666666666667</v>
      </c>
      <c r="Y448" s="48" t="n">
        <f aca="false">V448+W448+X448</f>
        <v>419.5</v>
      </c>
    </row>
    <row r="449" customFormat="false" ht="15" hidden="false" customHeight="false" outlineLevel="0" collapsed="false">
      <c r="A449" s="45"/>
      <c r="B449" s="31"/>
      <c r="C449" s="32"/>
      <c r="D449" s="31"/>
      <c r="E449" s="31"/>
      <c r="F449" s="29"/>
      <c r="G449" s="29" t="str">
        <f aca="false">IF(OR(D449="",E449="",F449=""),"",D449*E449*F449)</f>
        <v/>
      </c>
      <c r="H449" s="31"/>
      <c r="I449" s="46" t="str">
        <f aca="false">IF(OR(C449="",K449=""),"",IF(K449&gt;=_xlfn.MAXIFS($K$5:K448,$C$5:C448,C449),"Yes","No"))</f>
        <v/>
      </c>
      <c r="J449" s="32"/>
      <c r="K449" s="47" t="str">
        <f aca="false">IF(OR(E449="",F449=""),"",F449*(1+E449/30))</f>
        <v/>
      </c>
      <c r="L449" s="27" t="str">
        <f aca="false">IF(A449="","",INT((A449-StartDate)/7)+1)</f>
        <v/>
      </c>
      <c r="M449" s="27" t="str">
        <f aca="false">IF(A449="","",TEXT(A449,"mmm"))</f>
        <v/>
      </c>
      <c r="N449" s="47" t="str">
        <f aca="false">IFERROR(IF(ISNUMBER(SEARCH("squat",C449)),K449,""),"")</f>
        <v/>
      </c>
      <c r="O449" s="47" t="str">
        <f aca="false">IFERROR(IF(ISNUMBER(SEARCH("bench",C449)),K449,""),"")</f>
        <v/>
      </c>
      <c r="P449" s="47" t="str">
        <f aca="false">IFERROR(IF(ISNUMBER(SEARCH("deadlift",C449)),K449,""),"")</f>
        <v/>
      </c>
      <c r="V449" s="47" t="n">
        <f aca="false">MAX(V448,IF(N449="",0,N449))</f>
        <v>144.666666666667</v>
      </c>
      <c r="W449" s="47" t="n">
        <f aca="false">MAX(W448,IF(O449="",0,O449))</f>
        <v>99.1666666666667</v>
      </c>
      <c r="X449" s="47" t="n">
        <f aca="false">MAX(X448,IF(P449="",0,P449))</f>
        <v>175.666666666667</v>
      </c>
      <c r="Y449" s="47" t="n">
        <f aca="false">V449+W449+X449</f>
        <v>419.5</v>
      </c>
    </row>
    <row r="450" customFormat="false" ht="15" hidden="false" customHeight="false" outlineLevel="0" collapsed="false">
      <c r="A450" s="45"/>
      <c r="B450" s="31"/>
      <c r="C450" s="32"/>
      <c r="D450" s="31"/>
      <c r="E450" s="31"/>
      <c r="F450" s="29"/>
      <c r="G450" s="29" t="str">
        <f aca="false">IF(OR(D450="",E450="",F450=""),"",D450*E450*F450)</f>
        <v/>
      </c>
      <c r="H450" s="31"/>
      <c r="I450" s="36" t="str">
        <f aca="false">IF(OR(C450="",K450=""),"",IF(K450&gt;=_xlfn.MAXIFS($K$5:K449,$C$5:C449,C450),"Yes","No"))</f>
        <v/>
      </c>
      <c r="J450" s="32"/>
      <c r="K450" s="48" t="str">
        <f aca="false">IF(OR(E450="",F450=""),"",F450*(1+E450/30))</f>
        <v/>
      </c>
      <c r="L450" s="36" t="str">
        <f aca="false">IF(A450="","",INT((A450-StartDate)/7)+1)</f>
        <v/>
      </c>
      <c r="M450" s="36" t="str">
        <f aca="false">IF(A450="","",TEXT(A450,"mmm"))</f>
        <v/>
      </c>
      <c r="N450" s="48" t="str">
        <f aca="false">IFERROR(IF(ISNUMBER(SEARCH("squat",C450)),K450,""),"")</f>
        <v/>
      </c>
      <c r="O450" s="48" t="str">
        <f aca="false">IFERROR(IF(ISNUMBER(SEARCH("bench",C450)),K450,""),"")</f>
        <v/>
      </c>
      <c r="P450" s="48" t="str">
        <f aca="false">IFERROR(IF(ISNUMBER(SEARCH("deadlift",C450)),K450,""),"")</f>
        <v/>
      </c>
      <c r="V450" s="48" t="n">
        <f aca="false">MAX(V449,IF(N450="",0,N450))</f>
        <v>144.666666666667</v>
      </c>
      <c r="W450" s="48" t="n">
        <f aca="false">MAX(W449,IF(O450="",0,O450))</f>
        <v>99.1666666666667</v>
      </c>
      <c r="X450" s="48" t="n">
        <f aca="false">MAX(X449,IF(P450="",0,P450))</f>
        <v>175.666666666667</v>
      </c>
      <c r="Y450" s="48" t="n">
        <f aca="false">V450+W450+X450</f>
        <v>419.5</v>
      </c>
    </row>
    <row r="451" customFormat="false" ht="15" hidden="false" customHeight="false" outlineLevel="0" collapsed="false">
      <c r="A451" s="45"/>
      <c r="B451" s="31"/>
      <c r="C451" s="32"/>
      <c r="D451" s="31"/>
      <c r="E451" s="31"/>
      <c r="F451" s="29"/>
      <c r="G451" s="29" t="str">
        <f aca="false">IF(OR(D451="",E451="",F451=""),"",D451*E451*F451)</f>
        <v/>
      </c>
      <c r="H451" s="31"/>
      <c r="I451" s="46" t="str">
        <f aca="false">IF(OR(C451="",K451=""),"",IF(K451&gt;=_xlfn.MAXIFS($K$5:K450,$C$5:C450,C451),"Yes","No"))</f>
        <v/>
      </c>
      <c r="J451" s="32"/>
      <c r="K451" s="47" t="str">
        <f aca="false">IF(OR(E451="",F451=""),"",F451*(1+E451/30))</f>
        <v/>
      </c>
      <c r="L451" s="27" t="str">
        <f aca="false">IF(A451="","",INT((A451-StartDate)/7)+1)</f>
        <v/>
      </c>
      <c r="M451" s="27" t="str">
        <f aca="false">IF(A451="","",TEXT(A451,"mmm"))</f>
        <v/>
      </c>
      <c r="N451" s="47" t="str">
        <f aca="false">IFERROR(IF(ISNUMBER(SEARCH("squat",C451)),K451,""),"")</f>
        <v/>
      </c>
      <c r="O451" s="47" t="str">
        <f aca="false">IFERROR(IF(ISNUMBER(SEARCH("bench",C451)),K451,""),"")</f>
        <v/>
      </c>
      <c r="P451" s="47" t="str">
        <f aca="false">IFERROR(IF(ISNUMBER(SEARCH("deadlift",C451)),K451,""),"")</f>
        <v/>
      </c>
      <c r="V451" s="47" t="n">
        <f aca="false">MAX(V450,IF(N451="",0,N451))</f>
        <v>144.666666666667</v>
      </c>
      <c r="W451" s="47" t="n">
        <f aca="false">MAX(W450,IF(O451="",0,O451))</f>
        <v>99.1666666666667</v>
      </c>
      <c r="X451" s="47" t="n">
        <f aca="false">MAX(X450,IF(P451="",0,P451))</f>
        <v>175.666666666667</v>
      </c>
      <c r="Y451" s="47" t="n">
        <f aca="false">V451+W451+X451</f>
        <v>419.5</v>
      </c>
    </row>
    <row r="452" customFormat="false" ht="15" hidden="false" customHeight="false" outlineLevel="0" collapsed="false">
      <c r="A452" s="45"/>
      <c r="B452" s="31"/>
      <c r="C452" s="32"/>
      <c r="D452" s="31"/>
      <c r="E452" s="31"/>
      <c r="F452" s="29"/>
      <c r="G452" s="29" t="str">
        <f aca="false">IF(OR(D452="",E452="",F452=""),"",D452*E452*F452)</f>
        <v/>
      </c>
      <c r="H452" s="31"/>
      <c r="I452" s="36" t="str">
        <f aca="false">IF(OR(C452="",K452=""),"",IF(K452&gt;=_xlfn.MAXIFS($K$5:K451,$C$5:C451,C452),"Yes","No"))</f>
        <v/>
      </c>
      <c r="J452" s="32"/>
      <c r="K452" s="48" t="str">
        <f aca="false">IF(OR(E452="",F452=""),"",F452*(1+E452/30))</f>
        <v/>
      </c>
      <c r="L452" s="36" t="str">
        <f aca="false">IF(A452="","",INT((A452-StartDate)/7)+1)</f>
        <v/>
      </c>
      <c r="M452" s="36" t="str">
        <f aca="false">IF(A452="","",TEXT(A452,"mmm"))</f>
        <v/>
      </c>
      <c r="N452" s="48" t="str">
        <f aca="false">IFERROR(IF(ISNUMBER(SEARCH("squat",C452)),K452,""),"")</f>
        <v/>
      </c>
      <c r="O452" s="48" t="str">
        <f aca="false">IFERROR(IF(ISNUMBER(SEARCH("bench",C452)),K452,""),"")</f>
        <v/>
      </c>
      <c r="P452" s="48" t="str">
        <f aca="false">IFERROR(IF(ISNUMBER(SEARCH("deadlift",C452)),K452,""),"")</f>
        <v/>
      </c>
      <c r="V452" s="48" t="n">
        <f aca="false">MAX(V451,IF(N452="",0,N452))</f>
        <v>144.666666666667</v>
      </c>
      <c r="W452" s="48" t="n">
        <f aca="false">MAX(W451,IF(O452="",0,O452))</f>
        <v>99.1666666666667</v>
      </c>
      <c r="X452" s="48" t="n">
        <f aca="false">MAX(X451,IF(P452="",0,P452))</f>
        <v>175.666666666667</v>
      </c>
      <c r="Y452" s="48" t="n">
        <f aca="false">V452+W452+X452</f>
        <v>419.5</v>
      </c>
    </row>
    <row r="453" customFormat="false" ht="15" hidden="false" customHeight="false" outlineLevel="0" collapsed="false">
      <c r="A453" s="45"/>
      <c r="B453" s="31"/>
      <c r="C453" s="32"/>
      <c r="D453" s="31"/>
      <c r="E453" s="31"/>
      <c r="F453" s="29"/>
      <c r="G453" s="29" t="str">
        <f aca="false">IF(OR(D453="",E453="",F453=""),"",D453*E453*F453)</f>
        <v/>
      </c>
      <c r="H453" s="31"/>
      <c r="I453" s="46" t="str">
        <f aca="false">IF(OR(C453="",K453=""),"",IF(K453&gt;=_xlfn.MAXIFS($K$5:K452,$C$5:C452,C453),"Yes","No"))</f>
        <v/>
      </c>
      <c r="J453" s="32"/>
      <c r="K453" s="47" t="str">
        <f aca="false">IF(OR(E453="",F453=""),"",F453*(1+E453/30))</f>
        <v/>
      </c>
      <c r="L453" s="27" t="str">
        <f aca="false">IF(A453="","",INT((A453-StartDate)/7)+1)</f>
        <v/>
      </c>
      <c r="M453" s="27" t="str">
        <f aca="false">IF(A453="","",TEXT(A453,"mmm"))</f>
        <v/>
      </c>
      <c r="N453" s="47" t="str">
        <f aca="false">IFERROR(IF(ISNUMBER(SEARCH("squat",C453)),K453,""),"")</f>
        <v/>
      </c>
      <c r="O453" s="47" t="str">
        <f aca="false">IFERROR(IF(ISNUMBER(SEARCH("bench",C453)),K453,""),"")</f>
        <v/>
      </c>
      <c r="P453" s="47" t="str">
        <f aca="false">IFERROR(IF(ISNUMBER(SEARCH("deadlift",C453)),K453,""),"")</f>
        <v/>
      </c>
      <c r="V453" s="47" t="n">
        <f aca="false">MAX(V452,IF(N453="",0,N453))</f>
        <v>144.666666666667</v>
      </c>
      <c r="W453" s="47" t="n">
        <f aca="false">MAX(W452,IF(O453="",0,O453))</f>
        <v>99.1666666666667</v>
      </c>
      <c r="X453" s="47" t="n">
        <f aca="false">MAX(X452,IF(P453="",0,P453))</f>
        <v>175.666666666667</v>
      </c>
      <c r="Y453" s="47" t="n">
        <f aca="false">V453+W453+X453</f>
        <v>419.5</v>
      </c>
    </row>
    <row r="454" customFormat="false" ht="15" hidden="false" customHeight="false" outlineLevel="0" collapsed="false">
      <c r="A454" s="45"/>
      <c r="B454" s="31"/>
      <c r="C454" s="32"/>
      <c r="D454" s="31"/>
      <c r="E454" s="31"/>
      <c r="F454" s="29"/>
      <c r="G454" s="29" t="str">
        <f aca="false">IF(OR(D454="",E454="",F454=""),"",D454*E454*F454)</f>
        <v/>
      </c>
      <c r="H454" s="31"/>
      <c r="I454" s="36" t="str">
        <f aca="false">IF(OR(C454="",K454=""),"",IF(K454&gt;=_xlfn.MAXIFS($K$5:K453,$C$5:C453,C454),"Yes","No"))</f>
        <v/>
      </c>
      <c r="J454" s="32"/>
      <c r="K454" s="48" t="str">
        <f aca="false">IF(OR(E454="",F454=""),"",F454*(1+E454/30))</f>
        <v/>
      </c>
      <c r="L454" s="36" t="str">
        <f aca="false">IF(A454="","",INT((A454-StartDate)/7)+1)</f>
        <v/>
      </c>
      <c r="M454" s="36" t="str">
        <f aca="false">IF(A454="","",TEXT(A454,"mmm"))</f>
        <v/>
      </c>
      <c r="N454" s="48" t="str">
        <f aca="false">IFERROR(IF(ISNUMBER(SEARCH("squat",C454)),K454,""),"")</f>
        <v/>
      </c>
      <c r="O454" s="48" t="str">
        <f aca="false">IFERROR(IF(ISNUMBER(SEARCH("bench",C454)),K454,""),"")</f>
        <v/>
      </c>
      <c r="P454" s="48" t="str">
        <f aca="false">IFERROR(IF(ISNUMBER(SEARCH("deadlift",C454)),K454,""),"")</f>
        <v/>
      </c>
      <c r="V454" s="48" t="n">
        <f aca="false">MAX(V453,IF(N454="",0,N454))</f>
        <v>144.666666666667</v>
      </c>
      <c r="W454" s="48" t="n">
        <f aca="false">MAX(W453,IF(O454="",0,O454))</f>
        <v>99.1666666666667</v>
      </c>
      <c r="X454" s="48" t="n">
        <f aca="false">MAX(X453,IF(P454="",0,P454))</f>
        <v>175.666666666667</v>
      </c>
      <c r="Y454" s="48" t="n">
        <f aca="false">V454+W454+X454</f>
        <v>419.5</v>
      </c>
    </row>
    <row r="455" customFormat="false" ht="15" hidden="false" customHeight="false" outlineLevel="0" collapsed="false">
      <c r="A455" s="45"/>
      <c r="B455" s="31"/>
      <c r="C455" s="32"/>
      <c r="D455" s="31"/>
      <c r="E455" s="31"/>
      <c r="F455" s="29"/>
      <c r="G455" s="29" t="str">
        <f aca="false">IF(OR(D455="",E455="",F455=""),"",D455*E455*F455)</f>
        <v/>
      </c>
      <c r="H455" s="31"/>
      <c r="I455" s="46" t="str">
        <f aca="false">IF(OR(C455="",K455=""),"",IF(K455&gt;=_xlfn.MAXIFS($K$5:K454,$C$5:C454,C455),"Yes","No"))</f>
        <v/>
      </c>
      <c r="J455" s="32"/>
      <c r="K455" s="47" t="str">
        <f aca="false">IF(OR(E455="",F455=""),"",F455*(1+E455/30))</f>
        <v/>
      </c>
      <c r="L455" s="27" t="str">
        <f aca="false">IF(A455="","",INT((A455-StartDate)/7)+1)</f>
        <v/>
      </c>
      <c r="M455" s="27" t="str">
        <f aca="false">IF(A455="","",TEXT(A455,"mmm"))</f>
        <v/>
      </c>
      <c r="N455" s="47" t="str">
        <f aca="false">IFERROR(IF(ISNUMBER(SEARCH("squat",C455)),K455,""),"")</f>
        <v/>
      </c>
      <c r="O455" s="47" t="str">
        <f aca="false">IFERROR(IF(ISNUMBER(SEARCH("bench",C455)),K455,""),"")</f>
        <v/>
      </c>
      <c r="P455" s="47" t="str">
        <f aca="false">IFERROR(IF(ISNUMBER(SEARCH("deadlift",C455)),K455,""),"")</f>
        <v/>
      </c>
      <c r="V455" s="47" t="n">
        <f aca="false">MAX(V454,IF(N455="",0,N455))</f>
        <v>144.666666666667</v>
      </c>
      <c r="W455" s="47" t="n">
        <f aca="false">MAX(W454,IF(O455="",0,O455))</f>
        <v>99.1666666666667</v>
      </c>
      <c r="X455" s="47" t="n">
        <f aca="false">MAX(X454,IF(P455="",0,P455))</f>
        <v>175.666666666667</v>
      </c>
      <c r="Y455" s="47" t="n">
        <f aca="false">V455+W455+X455</f>
        <v>419.5</v>
      </c>
    </row>
    <row r="456" customFormat="false" ht="15" hidden="false" customHeight="false" outlineLevel="0" collapsed="false">
      <c r="A456" s="45"/>
      <c r="B456" s="31"/>
      <c r="C456" s="32"/>
      <c r="D456" s="31"/>
      <c r="E456" s="31"/>
      <c r="F456" s="29"/>
      <c r="G456" s="29" t="str">
        <f aca="false">IF(OR(D456="",E456="",F456=""),"",D456*E456*F456)</f>
        <v/>
      </c>
      <c r="H456" s="31"/>
      <c r="I456" s="36" t="str">
        <f aca="false">IF(OR(C456="",K456=""),"",IF(K456&gt;=_xlfn.MAXIFS($K$5:K455,$C$5:C455,C456),"Yes","No"))</f>
        <v/>
      </c>
      <c r="J456" s="32"/>
      <c r="K456" s="48" t="str">
        <f aca="false">IF(OR(E456="",F456=""),"",F456*(1+E456/30))</f>
        <v/>
      </c>
      <c r="L456" s="36" t="str">
        <f aca="false">IF(A456="","",INT((A456-StartDate)/7)+1)</f>
        <v/>
      </c>
      <c r="M456" s="36" t="str">
        <f aca="false">IF(A456="","",TEXT(A456,"mmm"))</f>
        <v/>
      </c>
      <c r="N456" s="48" t="str">
        <f aca="false">IFERROR(IF(ISNUMBER(SEARCH("squat",C456)),K456,""),"")</f>
        <v/>
      </c>
      <c r="O456" s="48" t="str">
        <f aca="false">IFERROR(IF(ISNUMBER(SEARCH("bench",C456)),K456,""),"")</f>
        <v/>
      </c>
      <c r="P456" s="48" t="str">
        <f aca="false">IFERROR(IF(ISNUMBER(SEARCH("deadlift",C456)),K456,""),"")</f>
        <v/>
      </c>
      <c r="V456" s="48" t="n">
        <f aca="false">MAX(V455,IF(N456="",0,N456))</f>
        <v>144.666666666667</v>
      </c>
      <c r="W456" s="48" t="n">
        <f aca="false">MAX(W455,IF(O456="",0,O456))</f>
        <v>99.1666666666667</v>
      </c>
      <c r="X456" s="48" t="n">
        <f aca="false">MAX(X455,IF(P456="",0,P456))</f>
        <v>175.666666666667</v>
      </c>
      <c r="Y456" s="48" t="n">
        <f aca="false">V456+W456+X456</f>
        <v>419.5</v>
      </c>
    </row>
    <row r="457" customFormat="false" ht="15" hidden="false" customHeight="false" outlineLevel="0" collapsed="false">
      <c r="A457" s="45"/>
      <c r="B457" s="31"/>
      <c r="C457" s="32"/>
      <c r="D457" s="31"/>
      <c r="E457" s="31"/>
      <c r="F457" s="29"/>
      <c r="G457" s="29" t="str">
        <f aca="false">IF(OR(D457="",E457="",F457=""),"",D457*E457*F457)</f>
        <v/>
      </c>
      <c r="H457" s="31"/>
      <c r="I457" s="46" t="str">
        <f aca="false">IF(OR(C457="",K457=""),"",IF(K457&gt;=_xlfn.MAXIFS($K$5:K456,$C$5:C456,C457),"Yes","No"))</f>
        <v/>
      </c>
      <c r="J457" s="32"/>
      <c r="K457" s="47" t="str">
        <f aca="false">IF(OR(E457="",F457=""),"",F457*(1+E457/30))</f>
        <v/>
      </c>
      <c r="L457" s="27" t="str">
        <f aca="false">IF(A457="","",INT((A457-StartDate)/7)+1)</f>
        <v/>
      </c>
      <c r="M457" s="27" t="str">
        <f aca="false">IF(A457="","",TEXT(A457,"mmm"))</f>
        <v/>
      </c>
      <c r="N457" s="47" t="str">
        <f aca="false">IFERROR(IF(ISNUMBER(SEARCH("squat",C457)),K457,""),"")</f>
        <v/>
      </c>
      <c r="O457" s="47" t="str">
        <f aca="false">IFERROR(IF(ISNUMBER(SEARCH("bench",C457)),K457,""),"")</f>
        <v/>
      </c>
      <c r="P457" s="47" t="str">
        <f aca="false">IFERROR(IF(ISNUMBER(SEARCH("deadlift",C457)),K457,""),"")</f>
        <v/>
      </c>
      <c r="V457" s="47" t="n">
        <f aca="false">MAX(V456,IF(N457="",0,N457))</f>
        <v>144.666666666667</v>
      </c>
      <c r="W457" s="47" t="n">
        <f aca="false">MAX(W456,IF(O457="",0,O457))</f>
        <v>99.1666666666667</v>
      </c>
      <c r="X457" s="47" t="n">
        <f aca="false">MAX(X456,IF(P457="",0,P457))</f>
        <v>175.666666666667</v>
      </c>
      <c r="Y457" s="47" t="n">
        <f aca="false">V457+W457+X457</f>
        <v>419.5</v>
      </c>
    </row>
    <row r="458" customFormat="false" ht="15" hidden="false" customHeight="false" outlineLevel="0" collapsed="false">
      <c r="A458" s="45"/>
      <c r="B458" s="31"/>
      <c r="C458" s="32"/>
      <c r="D458" s="31"/>
      <c r="E458" s="31"/>
      <c r="F458" s="29"/>
      <c r="G458" s="29" t="str">
        <f aca="false">IF(OR(D458="",E458="",F458=""),"",D458*E458*F458)</f>
        <v/>
      </c>
      <c r="H458" s="31"/>
      <c r="I458" s="36" t="str">
        <f aca="false">IF(OR(C458="",K458=""),"",IF(K458&gt;=_xlfn.MAXIFS($K$5:K457,$C$5:C457,C458),"Yes","No"))</f>
        <v/>
      </c>
      <c r="J458" s="32"/>
      <c r="K458" s="48" t="str">
        <f aca="false">IF(OR(E458="",F458=""),"",F458*(1+E458/30))</f>
        <v/>
      </c>
      <c r="L458" s="36" t="str">
        <f aca="false">IF(A458="","",INT((A458-StartDate)/7)+1)</f>
        <v/>
      </c>
      <c r="M458" s="36" t="str">
        <f aca="false">IF(A458="","",TEXT(A458,"mmm"))</f>
        <v/>
      </c>
      <c r="N458" s="48" t="str">
        <f aca="false">IFERROR(IF(ISNUMBER(SEARCH("squat",C458)),K458,""),"")</f>
        <v/>
      </c>
      <c r="O458" s="48" t="str">
        <f aca="false">IFERROR(IF(ISNUMBER(SEARCH("bench",C458)),K458,""),"")</f>
        <v/>
      </c>
      <c r="P458" s="48" t="str">
        <f aca="false">IFERROR(IF(ISNUMBER(SEARCH("deadlift",C458)),K458,""),"")</f>
        <v/>
      </c>
      <c r="V458" s="48" t="n">
        <f aca="false">MAX(V457,IF(N458="",0,N458))</f>
        <v>144.666666666667</v>
      </c>
      <c r="W458" s="48" t="n">
        <f aca="false">MAX(W457,IF(O458="",0,O458))</f>
        <v>99.1666666666667</v>
      </c>
      <c r="X458" s="48" t="n">
        <f aca="false">MAX(X457,IF(P458="",0,P458))</f>
        <v>175.666666666667</v>
      </c>
      <c r="Y458" s="48" t="n">
        <f aca="false">V458+W458+X458</f>
        <v>419.5</v>
      </c>
    </row>
    <row r="459" customFormat="false" ht="15" hidden="false" customHeight="false" outlineLevel="0" collapsed="false">
      <c r="A459" s="45"/>
      <c r="B459" s="31"/>
      <c r="C459" s="32"/>
      <c r="D459" s="31"/>
      <c r="E459" s="31"/>
      <c r="F459" s="29"/>
      <c r="G459" s="29" t="str">
        <f aca="false">IF(OR(D459="",E459="",F459=""),"",D459*E459*F459)</f>
        <v/>
      </c>
      <c r="H459" s="31"/>
      <c r="I459" s="46" t="str">
        <f aca="false">IF(OR(C459="",K459=""),"",IF(K459&gt;=_xlfn.MAXIFS($K$5:K458,$C$5:C458,C459),"Yes","No"))</f>
        <v/>
      </c>
      <c r="J459" s="32"/>
      <c r="K459" s="47" t="str">
        <f aca="false">IF(OR(E459="",F459=""),"",F459*(1+E459/30))</f>
        <v/>
      </c>
      <c r="L459" s="27" t="str">
        <f aca="false">IF(A459="","",INT((A459-StartDate)/7)+1)</f>
        <v/>
      </c>
      <c r="M459" s="27" t="str">
        <f aca="false">IF(A459="","",TEXT(A459,"mmm"))</f>
        <v/>
      </c>
      <c r="N459" s="47" t="str">
        <f aca="false">IFERROR(IF(ISNUMBER(SEARCH("squat",C459)),K459,""),"")</f>
        <v/>
      </c>
      <c r="O459" s="47" t="str">
        <f aca="false">IFERROR(IF(ISNUMBER(SEARCH("bench",C459)),K459,""),"")</f>
        <v/>
      </c>
      <c r="P459" s="47" t="str">
        <f aca="false">IFERROR(IF(ISNUMBER(SEARCH("deadlift",C459)),K459,""),"")</f>
        <v/>
      </c>
      <c r="V459" s="47" t="n">
        <f aca="false">MAX(V458,IF(N459="",0,N459))</f>
        <v>144.666666666667</v>
      </c>
      <c r="W459" s="47" t="n">
        <f aca="false">MAX(W458,IF(O459="",0,O459))</f>
        <v>99.1666666666667</v>
      </c>
      <c r="X459" s="47" t="n">
        <f aca="false">MAX(X458,IF(P459="",0,P459))</f>
        <v>175.666666666667</v>
      </c>
      <c r="Y459" s="47" t="n">
        <f aca="false">V459+W459+X459</f>
        <v>419.5</v>
      </c>
    </row>
    <row r="460" customFormat="false" ht="15" hidden="false" customHeight="false" outlineLevel="0" collapsed="false">
      <c r="A460" s="45"/>
      <c r="B460" s="31"/>
      <c r="C460" s="32"/>
      <c r="D460" s="31"/>
      <c r="E460" s="31"/>
      <c r="F460" s="29"/>
      <c r="G460" s="29" t="str">
        <f aca="false">IF(OR(D460="",E460="",F460=""),"",D460*E460*F460)</f>
        <v/>
      </c>
      <c r="H460" s="31"/>
      <c r="I460" s="36" t="str">
        <f aca="false">IF(OR(C460="",K460=""),"",IF(K460&gt;=_xlfn.MAXIFS($K$5:K459,$C$5:C459,C460),"Yes","No"))</f>
        <v/>
      </c>
      <c r="J460" s="32"/>
      <c r="K460" s="48" t="str">
        <f aca="false">IF(OR(E460="",F460=""),"",F460*(1+E460/30))</f>
        <v/>
      </c>
      <c r="L460" s="36" t="str">
        <f aca="false">IF(A460="","",INT((A460-StartDate)/7)+1)</f>
        <v/>
      </c>
      <c r="M460" s="36" t="str">
        <f aca="false">IF(A460="","",TEXT(A460,"mmm"))</f>
        <v/>
      </c>
      <c r="N460" s="48" t="str">
        <f aca="false">IFERROR(IF(ISNUMBER(SEARCH("squat",C460)),K460,""),"")</f>
        <v/>
      </c>
      <c r="O460" s="48" t="str">
        <f aca="false">IFERROR(IF(ISNUMBER(SEARCH("bench",C460)),K460,""),"")</f>
        <v/>
      </c>
      <c r="P460" s="48" t="str">
        <f aca="false">IFERROR(IF(ISNUMBER(SEARCH("deadlift",C460)),K460,""),"")</f>
        <v/>
      </c>
      <c r="V460" s="48" t="n">
        <f aca="false">MAX(V459,IF(N460="",0,N460))</f>
        <v>144.666666666667</v>
      </c>
      <c r="W460" s="48" t="n">
        <f aca="false">MAX(W459,IF(O460="",0,O460))</f>
        <v>99.1666666666667</v>
      </c>
      <c r="X460" s="48" t="n">
        <f aca="false">MAX(X459,IF(P460="",0,P460))</f>
        <v>175.666666666667</v>
      </c>
      <c r="Y460" s="48" t="n">
        <f aca="false">V460+W460+X460</f>
        <v>419.5</v>
      </c>
    </row>
    <row r="461" customFormat="false" ht="15" hidden="false" customHeight="false" outlineLevel="0" collapsed="false">
      <c r="A461" s="45"/>
      <c r="B461" s="31"/>
      <c r="C461" s="32"/>
      <c r="D461" s="31"/>
      <c r="E461" s="31"/>
      <c r="F461" s="29"/>
      <c r="G461" s="29" t="str">
        <f aca="false">IF(OR(D461="",E461="",F461=""),"",D461*E461*F461)</f>
        <v/>
      </c>
      <c r="H461" s="31"/>
      <c r="I461" s="46" t="str">
        <f aca="false">IF(OR(C461="",K461=""),"",IF(K461&gt;=_xlfn.MAXIFS($K$5:K460,$C$5:C460,C461),"Yes","No"))</f>
        <v/>
      </c>
      <c r="J461" s="32"/>
      <c r="K461" s="47" t="str">
        <f aca="false">IF(OR(E461="",F461=""),"",F461*(1+E461/30))</f>
        <v/>
      </c>
      <c r="L461" s="27" t="str">
        <f aca="false">IF(A461="","",INT((A461-StartDate)/7)+1)</f>
        <v/>
      </c>
      <c r="M461" s="27" t="str">
        <f aca="false">IF(A461="","",TEXT(A461,"mmm"))</f>
        <v/>
      </c>
      <c r="N461" s="47" t="str">
        <f aca="false">IFERROR(IF(ISNUMBER(SEARCH("squat",C461)),K461,""),"")</f>
        <v/>
      </c>
      <c r="O461" s="47" t="str">
        <f aca="false">IFERROR(IF(ISNUMBER(SEARCH("bench",C461)),K461,""),"")</f>
        <v/>
      </c>
      <c r="P461" s="47" t="str">
        <f aca="false">IFERROR(IF(ISNUMBER(SEARCH("deadlift",C461)),K461,""),"")</f>
        <v/>
      </c>
      <c r="V461" s="47" t="n">
        <f aca="false">MAX(V460,IF(N461="",0,N461))</f>
        <v>144.666666666667</v>
      </c>
      <c r="W461" s="47" t="n">
        <f aca="false">MAX(W460,IF(O461="",0,O461))</f>
        <v>99.1666666666667</v>
      </c>
      <c r="X461" s="47" t="n">
        <f aca="false">MAX(X460,IF(P461="",0,P461))</f>
        <v>175.666666666667</v>
      </c>
      <c r="Y461" s="47" t="n">
        <f aca="false">V461+W461+X461</f>
        <v>419.5</v>
      </c>
    </row>
    <row r="462" customFormat="false" ht="15" hidden="false" customHeight="false" outlineLevel="0" collapsed="false">
      <c r="A462" s="45"/>
      <c r="B462" s="31"/>
      <c r="C462" s="32"/>
      <c r="D462" s="31"/>
      <c r="E462" s="31"/>
      <c r="F462" s="29"/>
      <c r="G462" s="29" t="str">
        <f aca="false">IF(OR(D462="",E462="",F462=""),"",D462*E462*F462)</f>
        <v/>
      </c>
      <c r="H462" s="31"/>
      <c r="I462" s="36" t="str">
        <f aca="false">IF(OR(C462="",K462=""),"",IF(K462&gt;=_xlfn.MAXIFS($K$5:K461,$C$5:C461,C462),"Yes","No"))</f>
        <v/>
      </c>
      <c r="J462" s="32"/>
      <c r="K462" s="48" t="str">
        <f aca="false">IF(OR(E462="",F462=""),"",F462*(1+E462/30))</f>
        <v/>
      </c>
      <c r="L462" s="36" t="str">
        <f aca="false">IF(A462="","",INT((A462-StartDate)/7)+1)</f>
        <v/>
      </c>
      <c r="M462" s="36" t="str">
        <f aca="false">IF(A462="","",TEXT(A462,"mmm"))</f>
        <v/>
      </c>
      <c r="N462" s="48" t="str">
        <f aca="false">IFERROR(IF(ISNUMBER(SEARCH("squat",C462)),K462,""),"")</f>
        <v/>
      </c>
      <c r="O462" s="48" t="str">
        <f aca="false">IFERROR(IF(ISNUMBER(SEARCH("bench",C462)),K462,""),"")</f>
        <v/>
      </c>
      <c r="P462" s="48" t="str">
        <f aca="false">IFERROR(IF(ISNUMBER(SEARCH("deadlift",C462)),K462,""),"")</f>
        <v/>
      </c>
      <c r="V462" s="48" t="n">
        <f aca="false">MAX(V461,IF(N462="",0,N462))</f>
        <v>144.666666666667</v>
      </c>
      <c r="W462" s="48" t="n">
        <f aca="false">MAX(W461,IF(O462="",0,O462))</f>
        <v>99.1666666666667</v>
      </c>
      <c r="X462" s="48" t="n">
        <f aca="false">MAX(X461,IF(P462="",0,P462))</f>
        <v>175.666666666667</v>
      </c>
      <c r="Y462" s="48" t="n">
        <f aca="false">V462+W462+X462</f>
        <v>419.5</v>
      </c>
    </row>
    <row r="463" customFormat="false" ht="15" hidden="false" customHeight="false" outlineLevel="0" collapsed="false">
      <c r="A463" s="45"/>
      <c r="B463" s="31"/>
      <c r="C463" s="32"/>
      <c r="D463" s="31"/>
      <c r="E463" s="31"/>
      <c r="F463" s="29"/>
      <c r="G463" s="29" t="str">
        <f aca="false">IF(OR(D463="",E463="",F463=""),"",D463*E463*F463)</f>
        <v/>
      </c>
      <c r="H463" s="31"/>
      <c r="I463" s="46" t="str">
        <f aca="false">IF(OR(C463="",K463=""),"",IF(K463&gt;=_xlfn.MAXIFS($K$5:K462,$C$5:C462,C463),"Yes","No"))</f>
        <v/>
      </c>
      <c r="J463" s="32"/>
      <c r="K463" s="47" t="str">
        <f aca="false">IF(OR(E463="",F463=""),"",F463*(1+E463/30))</f>
        <v/>
      </c>
      <c r="L463" s="27" t="str">
        <f aca="false">IF(A463="","",INT((A463-StartDate)/7)+1)</f>
        <v/>
      </c>
      <c r="M463" s="27" t="str">
        <f aca="false">IF(A463="","",TEXT(A463,"mmm"))</f>
        <v/>
      </c>
      <c r="N463" s="47" t="str">
        <f aca="false">IFERROR(IF(ISNUMBER(SEARCH("squat",C463)),K463,""),"")</f>
        <v/>
      </c>
      <c r="O463" s="47" t="str">
        <f aca="false">IFERROR(IF(ISNUMBER(SEARCH("bench",C463)),K463,""),"")</f>
        <v/>
      </c>
      <c r="P463" s="47" t="str">
        <f aca="false">IFERROR(IF(ISNUMBER(SEARCH("deadlift",C463)),K463,""),"")</f>
        <v/>
      </c>
      <c r="V463" s="47" t="n">
        <f aca="false">MAX(V462,IF(N463="",0,N463))</f>
        <v>144.666666666667</v>
      </c>
      <c r="W463" s="47" t="n">
        <f aca="false">MAX(W462,IF(O463="",0,O463))</f>
        <v>99.1666666666667</v>
      </c>
      <c r="X463" s="47" t="n">
        <f aca="false">MAX(X462,IF(P463="",0,P463))</f>
        <v>175.666666666667</v>
      </c>
      <c r="Y463" s="47" t="n">
        <f aca="false">V463+W463+X463</f>
        <v>419.5</v>
      </c>
    </row>
    <row r="464" customFormat="false" ht="15" hidden="false" customHeight="false" outlineLevel="0" collapsed="false">
      <c r="A464" s="45"/>
      <c r="B464" s="31"/>
      <c r="C464" s="32"/>
      <c r="D464" s="31"/>
      <c r="E464" s="31"/>
      <c r="F464" s="29"/>
      <c r="G464" s="29" t="str">
        <f aca="false">IF(OR(D464="",E464="",F464=""),"",D464*E464*F464)</f>
        <v/>
      </c>
      <c r="H464" s="31"/>
      <c r="I464" s="36" t="str">
        <f aca="false">IF(OR(C464="",K464=""),"",IF(K464&gt;=_xlfn.MAXIFS($K$5:K463,$C$5:C463,C464),"Yes","No"))</f>
        <v/>
      </c>
      <c r="J464" s="32"/>
      <c r="K464" s="48" t="str">
        <f aca="false">IF(OR(E464="",F464=""),"",F464*(1+E464/30))</f>
        <v/>
      </c>
      <c r="L464" s="36" t="str">
        <f aca="false">IF(A464="","",INT((A464-StartDate)/7)+1)</f>
        <v/>
      </c>
      <c r="M464" s="36" t="str">
        <f aca="false">IF(A464="","",TEXT(A464,"mmm"))</f>
        <v/>
      </c>
      <c r="N464" s="48" t="str">
        <f aca="false">IFERROR(IF(ISNUMBER(SEARCH("squat",C464)),K464,""),"")</f>
        <v/>
      </c>
      <c r="O464" s="48" t="str">
        <f aca="false">IFERROR(IF(ISNUMBER(SEARCH("bench",C464)),K464,""),"")</f>
        <v/>
      </c>
      <c r="P464" s="48" t="str">
        <f aca="false">IFERROR(IF(ISNUMBER(SEARCH("deadlift",C464)),K464,""),"")</f>
        <v/>
      </c>
      <c r="V464" s="48" t="n">
        <f aca="false">MAX(V463,IF(N464="",0,N464))</f>
        <v>144.666666666667</v>
      </c>
      <c r="W464" s="48" t="n">
        <f aca="false">MAX(W463,IF(O464="",0,O464))</f>
        <v>99.1666666666667</v>
      </c>
      <c r="X464" s="48" t="n">
        <f aca="false">MAX(X463,IF(P464="",0,P464))</f>
        <v>175.666666666667</v>
      </c>
      <c r="Y464" s="48" t="n">
        <f aca="false">V464+W464+X464</f>
        <v>419.5</v>
      </c>
    </row>
    <row r="465" customFormat="false" ht="15" hidden="false" customHeight="false" outlineLevel="0" collapsed="false">
      <c r="A465" s="45"/>
      <c r="B465" s="31"/>
      <c r="C465" s="32"/>
      <c r="D465" s="31"/>
      <c r="E465" s="31"/>
      <c r="F465" s="29"/>
      <c r="G465" s="29" t="str">
        <f aca="false">IF(OR(D465="",E465="",F465=""),"",D465*E465*F465)</f>
        <v/>
      </c>
      <c r="H465" s="31"/>
      <c r="I465" s="46" t="str">
        <f aca="false">IF(OR(C465="",K465=""),"",IF(K465&gt;=_xlfn.MAXIFS($K$5:K464,$C$5:C464,C465),"Yes","No"))</f>
        <v/>
      </c>
      <c r="J465" s="32"/>
      <c r="K465" s="47" t="str">
        <f aca="false">IF(OR(E465="",F465=""),"",F465*(1+E465/30))</f>
        <v/>
      </c>
      <c r="L465" s="27" t="str">
        <f aca="false">IF(A465="","",INT((A465-StartDate)/7)+1)</f>
        <v/>
      </c>
      <c r="M465" s="27" t="str">
        <f aca="false">IF(A465="","",TEXT(A465,"mmm"))</f>
        <v/>
      </c>
      <c r="N465" s="47" t="str">
        <f aca="false">IFERROR(IF(ISNUMBER(SEARCH("squat",C465)),K465,""),"")</f>
        <v/>
      </c>
      <c r="O465" s="47" t="str">
        <f aca="false">IFERROR(IF(ISNUMBER(SEARCH("bench",C465)),K465,""),"")</f>
        <v/>
      </c>
      <c r="P465" s="47" t="str">
        <f aca="false">IFERROR(IF(ISNUMBER(SEARCH("deadlift",C465)),K465,""),"")</f>
        <v/>
      </c>
      <c r="V465" s="47" t="n">
        <f aca="false">MAX(V464,IF(N465="",0,N465))</f>
        <v>144.666666666667</v>
      </c>
      <c r="W465" s="47" t="n">
        <f aca="false">MAX(W464,IF(O465="",0,O465))</f>
        <v>99.1666666666667</v>
      </c>
      <c r="X465" s="47" t="n">
        <f aca="false">MAX(X464,IF(P465="",0,P465))</f>
        <v>175.666666666667</v>
      </c>
      <c r="Y465" s="47" t="n">
        <f aca="false">V465+W465+X465</f>
        <v>419.5</v>
      </c>
    </row>
    <row r="466" customFormat="false" ht="15" hidden="false" customHeight="false" outlineLevel="0" collapsed="false">
      <c r="A466" s="45"/>
      <c r="B466" s="31"/>
      <c r="C466" s="32"/>
      <c r="D466" s="31"/>
      <c r="E466" s="31"/>
      <c r="F466" s="29"/>
      <c r="G466" s="29" t="str">
        <f aca="false">IF(OR(D466="",E466="",F466=""),"",D466*E466*F466)</f>
        <v/>
      </c>
      <c r="H466" s="31"/>
      <c r="I466" s="36" t="str">
        <f aca="false">IF(OR(C466="",K466=""),"",IF(K466&gt;=_xlfn.MAXIFS($K$5:K465,$C$5:C465,C466),"Yes","No"))</f>
        <v/>
      </c>
      <c r="J466" s="32"/>
      <c r="K466" s="48" t="str">
        <f aca="false">IF(OR(E466="",F466=""),"",F466*(1+E466/30))</f>
        <v/>
      </c>
      <c r="L466" s="36" t="str">
        <f aca="false">IF(A466="","",INT((A466-StartDate)/7)+1)</f>
        <v/>
      </c>
      <c r="M466" s="36" t="str">
        <f aca="false">IF(A466="","",TEXT(A466,"mmm"))</f>
        <v/>
      </c>
      <c r="N466" s="48" t="str">
        <f aca="false">IFERROR(IF(ISNUMBER(SEARCH("squat",C466)),K466,""),"")</f>
        <v/>
      </c>
      <c r="O466" s="48" t="str">
        <f aca="false">IFERROR(IF(ISNUMBER(SEARCH("bench",C466)),K466,""),"")</f>
        <v/>
      </c>
      <c r="P466" s="48" t="str">
        <f aca="false">IFERROR(IF(ISNUMBER(SEARCH("deadlift",C466)),K466,""),"")</f>
        <v/>
      </c>
      <c r="V466" s="48" t="n">
        <f aca="false">MAX(V465,IF(N466="",0,N466))</f>
        <v>144.666666666667</v>
      </c>
      <c r="W466" s="48" t="n">
        <f aca="false">MAX(W465,IF(O466="",0,O466))</f>
        <v>99.1666666666667</v>
      </c>
      <c r="X466" s="48" t="n">
        <f aca="false">MAX(X465,IF(P466="",0,P466))</f>
        <v>175.666666666667</v>
      </c>
      <c r="Y466" s="48" t="n">
        <f aca="false">V466+W466+X466</f>
        <v>419.5</v>
      </c>
    </row>
    <row r="467" customFormat="false" ht="15" hidden="false" customHeight="false" outlineLevel="0" collapsed="false">
      <c r="A467" s="45"/>
      <c r="B467" s="31"/>
      <c r="C467" s="32"/>
      <c r="D467" s="31"/>
      <c r="E467" s="31"/>
      <c r="F467" s="29"/>
      <c r="G467" s="29" t="str">
        <f aca="false">IF(OR(D467="",E467="",F467=""),"",D467*E467*F467)</f>
        <v/>
      </c>
      <c r="H467" s="31"/>
      <c r="I467" s="46" t="str">
        <f aca="false">IF(OR(C467="",K467=""),"",IF(K467&gt;=_xlfn.MAXIFS($K$5:K466,$C$5:C466,C467),"Yes","No"))</f>
        <v/>
      </c>
      <c r="J467" s="32"/>
      <c r="K467" s="47" t="str">
        <f aca="false">IF(OR(E467="",F467=""),"",F467*(1+E467/30))</f>
        <v/>
      </c>
      <c r="L467" s="27" t="str">
        <f aca="false">IF(A467="","",INT((A467-StartDate)/7)+1)</f>
        <v/>
      </c>
      <c r="M467" s="27" t="str">
        <f aca="false">IF(A467="","",TEXT(A467,"mmm"))</f>
        <v/>
      </c>
      <c r="N467" s="47" t="str">
        <f aca="false">IFERROR(IF(ISNUMBER(SEARCH("squat",C467)),K467,""),"")</f>
        <v/>
      </c>
      <c r="O467" s="47" t="str">
        <f aca="false">IFERROR(IF(ISNUMBER(SEARCH("bench",C467)),K467,""),"")</f>
        <v/>
      </c>
      <c r="P467" s="47" t="str">
        <f aca="false">IFERROR(IF(ISNUMBER(SEARCH("deadlift",C467)),K467,""),"")</f>
        <v/>
      </c>
      <c r="V467" s="47" t="n">
        <f aca="false">MAX(V466,IF(N467="",0,N467))</f>
        <v>144.666666666667</v>
      </c>
      <c r="W467" s="47" t="n">
        <f aca="false">MAX(W466,IF(O467="",0,O467))</f>
        <v>99.1666666666667</v>
      </c>
      <c r="X467" s="47" t="n">
        <f aca="false">MAX(X466,IF(P467="",0,P467))</f>
        <v>175.666666666667</v>
      </c>
      <c r="Y467" s="47" t="n">
        <f aca="false">V467+W467+X467</f>
        <v>419.5</v>
      </c>
    </row>
    <row r="468" customFormat="false" ht="15" hidden="false" customHeight="false" outlineLevel="0" collapsed="false">
      <c r="A468" s="45"/>
      <c r="B468" s="31"/>
      <c r="C468" s="32"/>
      <c r="D468" s="31"/>
      <c r="E468" s="31"/>
      <c r="F468" s="29"/>
      <c r="G468" s="29" t="str">
        <f aca="false">IF(OR(D468="",E468="",F468=""),"",D468*E468*F468)</f>
        <v/>
      </c>
      <c r="H468" s="31"/>
      <c r="I468" s="36" t="str">
        <f aca="false">IF(OR(C468="",K468=""),"",IF(K468&gt;=_xlfn.MAXIFS($K$5:K467,$C$5:C467,C468),"Yes","No"))</f>
        <v/>
      </c>
      <c r="J468" s="32"/>
      <c r="K468" s="48" t="str">
        <f aca="false">IF(OR(E468="",F468=""),"",F468*(1+E468/30))</f>
        <v/>
      </c>
      <c r="L468" s="36" t="str">
        <f aca="false">IF(A468="","",INT((A468-StartDate)/7)+1)</f>
        <v/>
      </c>
      <c r="M468" s="36" t="str">
        <f aca="false">IF(A468="","",TEXT(A468,"mmm"))</f>
        <v/>
      </c>
      <c r="N468" s="48" t="str">
        <f aca="false">IFERROR(IF(ISNUMBER(SEARCH("squat",C468)),K468,""),"")</f>
        <v/>
      </c>
      <c r="O468" s="48" t="str">
        <f aca="false">IFERROR(IF(ISNUMBER(SEARCH("bench",C468)),K468,""),"")</f>
        <v/>
      </c>
      <c r="P468" s="48" t="str">
        <f aca="false">IFERROR(IF(ISNUMBER(SEARCH("deadlift",C468)),K468,""),"")</f>
        <v/>
      </c>
      <c r="V468" s="48" t="n">
        <f aca="false">MAX(V467,IF(N468="",0,N468))</f>
        <v>144.666666666667</v>
      </c>
      <c r="W468" s="48" t="n">
        <f aca="false">MAX(W467,IF(O468="",0,O468))</f>
        <v>99.1666666666667</v>
      </c>
      <c r="X468" s="48" t="n">
        <f aca="false">MAX(X467,IF(P468="",0,P468))</f>
        <v>175.666666666667</v>
      </c>
      <c r="Y468" s="48" t="n">
        <f aca="false">V468+W468+X468</f>
        <v>419.5</v>
      </c>
    </row>
    <row r="469" customFormat="false" ht="15" hidden="false" customHeight="false" outlineLevel="0" collapsed="false">
      <c r="A469" s="45"/>
      <c r="B469" s="31"/>
      <c r="C469" s="32"/>
      <c r="D469" s="31"/>
      <c r="E469" s="31"/>
      <c r="F469" s="29"/>
      <c r="G469" s="29" t="str">
        <f aca="false">IF(OR(D469="",E469="",F469=""),"",D469*E469*F469)</f>
        <v/>
      </c>
      <c r="H469" s="31"/>
      <c r="I469" s="46" t="str">
        <f aca="false">IF(OR(C469="",K469=""),"",IF(K469&gt;=_xlfn.MAXIFS($K$5:K468,$C$5:C468,C469),"Yes","No"))</f>
        <v/>
      </c>
      <c r="J469" s="32"/>
      <c r="K469" s="47" t="str">
        <f aca="false">IF(OR(E469="",F469=""),"",F469*(1+E469/30))</f>
        <v/>
      </c>
      <c r="L469" s="27" t="str">
        <f aca="false">IF(A469="","",INT((A469-StartDate)/7)+1)</f>
        <v/>
      </c>
      <c r="M469" s="27" t="str">
        <f aca="false">IF(A469="","",TEXT(A469,"mmm"))</f>
        <v/>
      </c>
      <c r="N469" s="47" t="str">
        <f aca="false">IFERROR(IF(ISNUMBER(SEARCH("squat",C469)),K469,""),"")</f>
        <v/>
      </c>
      <c r="O469" s="47" t="str">
        <f aca="false">IFERROR(IF(ISNUMBER(SEARCH("bench",C469)),K469,""),"")</f>
        <v/>
      </c>
      <c r="P469" s="47" t="str">
        <f aca="false">IFERROR(IF(ISNUMBER(SEARCH("deadlift",C469)),K469,""),"")</f>
        <v/>
      </c>
      <c r="V469" s="47" t="n">
        <f aca="false">MAX(V468,IF(N469="",0,N469))</f>
        <v>144.666666666667</v>
      </c>
      <c r="W469" s="47" t="n">
        <f aca="false">MAX(W468,IF(O469="",0,O469))</f>
        <v>99.1666666666667</v>
      </c>
      <c r="X469" s="47" t="n">
        <f aca="false">MAX(X468,IF(P469="",0,P469))</f>
        <v>175.666666666667</v>
      </c>
      <c r="Y469" s="47" t="n">
        <f aca="false">V469+W469+X469</f>
        <v>419.5</v>
      </c>
    </row>
    <row r="470" customFormat="false" ht="15" hidden="false" customHeight="false" outlineLevel="0" collapsed="false">
      <c r="A470" s="45"/>
      <c r="B470" s="31"/>
      <c r="C470" s="32"/>
      <c r="D470" s="31"/>
      <c r="E470" s="31"/>
      <c r="F470" s="29"/>
      <c r="G470" s="29" t="str">
        <f aca="false">IF(OR(D470="",E470="",F470=""),"",D470*E470*F470)</f>
        <v/>
      </c>
      <c r="H470" s="31"/>
      <c r="I470" s="36" t="str">
        <f aca="false">IF(OR(C470="",K470=""),"",IF(K470&gt;=_xlfn.MAXIFS($K$5:K469,$C$5:C469,C470),"Yes","No"))</f>
        <v/>
      </c>
      <c r="J470" s="32"/>
      <c r="K470" s="48" t="str">
        <f aca="false">IF(OR(E470="",F470=""),"",F470*(1+E470/30))</f>
        <v/>
      </c>
      <c r="L470" s="36" t="str">
        <f aca="false">IF(A470="","",INT((A470-StartDate)/7)+1)</f>
        <v/>
      </c>
      <c r="M470" s="36" t="str">
        <f aca="false">IF(A470="","",TEXT(A470,"mmm"))</f>
        <v/>
      </c>
      <c r="N470" s="48" t="str">
        <f aca="false">IFERROR(IF(ISNUMBER(SEARCH("squat",C470)),K470,""),"")</f>
        <v/>
      </c>
      <c r="O470" s="48" t="str">
        <f aca="false">IFERROR(IF(ISNUMBER(SEARCH("bench",C470)),K470,""),"")</f>
        <v/>
      </c>
      <c r="P470" s="48" t="str">
        <f aca="false">IFERROR(IF(ISNUMBER(SEARCH("deadlift",C470)),K470,""),"")</f>
        <v/>
      </c>
      <c r="V470" s="48" t="n">
        <f aca="false">MAX(V469,IF(N470="",0,N470))</f>
        <v>144.666666666667</v>
      </c>
      <c r="W470" s="48" t="n">
        <f aca="false">MAX(W469,IF(O470="",0,O470))</f>
        <v>99.1666666666667</v>
      </c>
      <c r="X470" s="48" t="n">
        <f aca="false">MAX(X469,IF(P470="",0,P470))</f>
        <v>175.666666666667</v>
      </c>
      <c r="Y470" s="48" t="n">
        <f aca="false">V470+W470+X470</f>
        <v>419.5</v>
      </c>
    </row>
    <row r="471" customFormat="false" ht="15" hidden="false" customHeight="false" outlineLevel="0" collapsed="false">
      <c r="A471" s="45"/>
      <c r="B471" s="31"/>
      <c r="C471" s="32"/>
      <c r="D471" s="31"/>
      <c r="E471" s="31"/>
      <c r="F471" s="29"/>
      <c r="G471" s="29" t="str">
        <f aca="false">IF(OR(D471="",E471="",F471=""),"",D471*E471*F471)</f>
        <v/>
      </c>
      <c r="H471" s="31"/>
      <c r="I471" s="46" t="str">
        <f aca="false">IF(OR(C471="",K471=""),"",IF(K471&gt;=_xlfn.MAXIFS($K$5:K470,$C$5:C470,C471),"Yes","No"))</f>
        <v/>
      </c>
      <c r="J471" s="32"/>
      <c r="K471" s="47" t="str">
        <f aca="false">IF(OR(E471="",F471=""),"",F471*(1+E471/30))</f>
        <v/>
      </c>
      <c r="L471" s="27" t="str">
        <f aca="false">IF(A471="","",INT((A471-StartDate)/7)+1)</f>
        <v/>
      </c>
      <c r="M471" s="27" t="str">
        <f aca="false">IF(A471="","",TEXT(A471,"mmm"))</f>
        <v/>
      </c>
      <c r="N471" s="47" t="str">
        <f aca="false">IFERROR(IF(ISNUMBER(SEARCH("squat",C471)),K471,""),"")</f>
        <v/>
      </c>
      <c r="O471" s="47" t="str">
        <f aca="false">IFERROR(IF(ISNUMBER(SEARCH("bench",C471)),K471,""),"")</f>
        <v/>
      </c>
      <c r="P471" s="47" t="str">
        <f aca="false">IFERROR(IF(ISNUMBER(SEARCH("deadlift",C471)),K471,""),"")</f>
        <v/>
      </c>
      <c r="V471" s="47" t="n">
        <f aca="false">MAX(V470,IF(N471="",0,N471))</f>
        <v>144.666666666667</v>
      </c>
      <c r="W471" s="47" t="n">
        <f aca="false">MAX(W470,IF(O471="",0,O471))</f>
        <v>99.1666666666667</v>
      </c>
      <c r="X471" s="47" t="n">
        <f aca="false">MAX(X470,IF(P471="",0,P471))</f>
        <v>175.666666666667</v>
      </c>
      <c r="Y471" s="47" t="n">
        <f aca="false">V471+W471+X471</f>
        <v>419.5</v>
      </c>
    </row>
    <row r="472" customFormat="false" ht="15" hidden="false" customHeight="false" outlineLevel="0" collapsed="false">
      <c r="A472" s="45"/>
      <c r="B472" s="31"/>
      <c r="C472" s="32"/>
      <c r="D472" s="31"/>
      <c r="E472" s="31"/>
      <c r="F472" s="29"/>
      <c r="G472" s="29" t="str">
        <f aca="false">IF(OR(D472="",E472="",F472=""),"",D472*E472*F472)</f>
        <v/>
      </c>
      <c r="H472" s="31"/>
      <c r="I472" s="36" t="str">
        <f aca="false">IF(OR(C472="",K472=""),"",IF(K472&gt;=_xlfn.MAXIFS($K$5:K471,$C$5:C471,C472),"Yes","No"))</f>
        <v/>
      </c>
      <c r="J472" s="32"/>
      <c r="K472" s="48" t="str">
        <f aca="false">IF(OR(E472="",F472=""),"",F472*(1+E472/30))</f>
        <v/>
      </c>
      <c r="L472" s="36" t="str">
        <f aca="false">IF(A472="","",INT((A472-StartDate)/7)+1)</f>
        <v/>
      </c>
      <c r="M472" s="36" t="str">
        <f aca="false">IF(A472="","",TEXT(A472,"mmm"))</f>
        <v/>
      </c>
      <c r="N472" s="48" t="str">
        <f aca="false">IFERROR(IF(ISNUMBER(SEARCH("squat",C472)),K472,""),"")</f>
        <v/>
      </c>
      <c r="O472" s="48" t="str">
        <f aca="false">IFERROR(IF(ISNUMBER(SEARCH("bench",C472)),K472,""),"")</f>
        <v/>
      </c>
      <c r="P472" s="48" t="str">
        <f aca="false">IFERROR(IF(ISNUMBER(SEARCH("deadlift",C472)),K472,""),"")</f>
        <v/>
      </c>
      <c r="V472" s="48" t="n">
        <f aca="false">MAX(V471,IF(N472="",0,N472))</f>
        <v>144.666666666667</v>
      </c>
      <c r="W472" s="48" t="n">
        <f aca="false">MAX(W471,IF(O472="",0,O472))</f>
        <v>99.1666666666667</v>
      </c>
      <c r="X472" s="48" t="n">
        <f aca="false">MAX(X471,IF(P472="",0,P472))</f>
        <v>175.666666666667</v>
      </c>
      <c r="Y472" s="48" t="n">
        <f aca="false">V472+W472+X472</f>
        <v>419.5</v>
      </c>
    </row>
    <row r="473" customFormat="false" ht="15" hidden="false" customHeight="false" outlineLevel="0" collapsed="false">
      <c r="A473" s="45"/>
      <c r="B473" s="31"/>
      <c r="C473" s="32"/>
      <c r="D473" s="31"/>
      <c r="E473" s="31"/>
      <c r="F473" s="29"/>
      <c r="G473" s="29" t="str">
        <f aca="false">IF(OR(D473="",E473="",F473=""),"",D473*E473*F473)</f>
        <v/>
      </c>
      <c r="H473" s="31"/>
      <c r="I473" s="46" t="str">
        <f aca="false">IF(OR(C473="",K473=""),"",IF(K473&gt;=_xlfn.MAXIFS($K$5:K472,$C$5:C472,C473),"Yes","No"))</f>
        <v/>
      </c>
      <c r="J473" s="32"/>
      <c r="K473" s="47" t="str">
        <f aca="false">IF(OR(E473="",F473=""),"",F473*(1+E473/30))</f>
        <v/>
      </c>
      <c r="L473" s="27" t="str">
        <f aca="false">IF(A473="","",INT((A473-StartDate)/7)+1)</f>
        <v/>
      </c>
      <c r="M473" s="27" t="str">
        <f aca="false">IF(A473="","",TEXT(A473,"mmm"))</f>
        <v/>
      </c>
      <c r="N473" s="47" t="str">
        <f aca="false">IFERROR(IF(ISNUMBER(SEARCH("squat",C473)),K473,""),"")</f>
        <v/>
      </c>
      <c r="O473" s="47" t="str">
        <f aca="false">IFERROR(IF(ISNUMBER(SEARCH("bench",C473)),K473,""),"")</f>
        <v/>
      </c>
      <c r="P473" s="47" t="str">
        <f aca="false">IFERROR(IF(ISNUMBER(SEARCH("deadlift",C473)),K473,""),"")</f>
        <v/>
      </c>
      <c r="V473" s="47" t="n">
        <f aca="false">MAX(V472,IF(N473="",0,N473))</f>
        <v>144.666666666667</v>
      </c>
      <c r="W473" s="47" t="n">
        <f aca="false">MAX(W472,IF(O473="",0,O473))</f>
        <v>99.1666666666667</v>
      </c>
      <c r="X473" s="47" t="n">
        <f aca="false">MAX(X472,IF(P473="",0,P473))</f>
        <v>175.666666666667</v>
      </c>
      <c r="Y473" s="47" t="n">
        <f aca="false">V473+W473+X473</f>
        <v>419.5</v>
      </c>
    </row>
    <row r="474" customFormat="false" ht="15" hidden="false" customHeight="false" outlineLevel="0" collapsed="false">
      <c r="A474" s="45"/>
      <c r="B474" s="31"/>
      <c r="C474" s="32"/>
      <c r="D474" s="31"/>
      <c r="E474" s="31"/>
      <c r="F474" s="29"/>
      <c r="G474" s="29" t="str">
        <f aca="false">IF(OR(D474="",E474="",F474=""),"",D474*E474*F474)</f>
        <v/>
      </c>
      <c r="H474" s="31"/>
      <c r="I474" s="36" t="str">
        <f aca="false">IF(OR(C474="",K474=""),"",IF(K474&gt;=_xlfn.MAXIFS($K$5:K473,$C$5:C473,C474),"Yes","No"))</f>
        <v/>
      </c>
      <c r="J474" s="32"/>
      <c r="K474" s="48" t="str">
        <f aca="false">IF(OR(E474="",F474=""),"",F474*(1+E474/30))</f>
        <v/>
      </c>
      <c r="L474" s="36" t="str">
        <f aca="false">IF(A474="","",INT((A474-StartDate)/7)+1)</f>
        <v/>
      </c>
      <c r="M474" s="36" t="str">
        <f aca="false">IF(A474="","",TEXT(A474,"mmm"))</f>
        <v/>
      </c>
      <c r="N474" s="48" t="str">
        <f aca="false">IFERROR(IF(ISNUMBER(SEARCH("squat",C474)),K474,""),"")</f>
        <v/>
      </c>
      <c r="O474" s="48" t="str">
        <f aca="false">IFERROR(IF(ISNUMBER(SEARCH("bench",C474)),K474,""),"")</f>
        <v/>
      </c>
      <c r="P474" s="48" t="str">
        <f aca="false">IFERROR(IF(ISNUMBER(SEARCH("deadlift",C474)),K474,""),"")</f>
        <v/>
      </c>
      <c r="V474" s="48" t="n">
        <f aca="false">MAX(V473,IF(N474="",0,N474))</f>
        <v>144.666666666667</v>
      </c>
      <c r="W474" s="48" t="n">
        <f aca="false">MAX(W473,IF(O474="",0,O474))</f>
        <v>99.1666666666667</v>
      </c>
      <c r="X474" s="48" t="n">
        <f aca="false">MAX(X473,IF(P474="",0,P474))</f>
        <v>175.666666666667</v>
      </c>
      <c r="Y474" s="48" t="n">
        <f aca="false">V474+W474+X474</f>
        <v>419.5</v>
      </c>
    </row>
    <row r="475" customFormat="false" ht="15" hidden="false" customHeight="false" outlineLevel="0" collapsed="false">
      <c r="A475" s="45"/>
      <c r="B475" s="31"/>
      <c r="C475" s="32"/>
      <c r="D475" s="31"/>
      <c r="E475" s="31"/>
      <c r="F475" s="29"/>
      <c r="G475" s="29" t="str">
        <f aca="false">IF(OR(D475="",E475="",F475=""),"",D475*E475*F475)</f>
        <v/>
      </c>
      <c r="H475" s="31"/>
      <c r="I475" s="46" t="str">
        <f aca="false">IF(OR(C475="",K475=""),"",IF(K475&gt;=_xlfn.MAXIFS($K$5:K474,$C$5:C474,C475),"Yes","No"))</f>
        <v/>
      </c>
      <c r="J475" s="32"/>
      <c r="K475" s="47" t="str">
        <f aca="false">IF(OR(E475="",F475=""),"",F475*(1+E475/30))</f>
        <v/>
      </c>
      <c r="L475" s="27" t="str">
        <f aca="false">IF(A475="","",INT((A475-StartDate)/7)+1)</f>
        <v/>
      </c>
      <c r="M475" s="27" t="str">
        <f aca="false">IF(A475="","",TEXT(A475,"mmm"))</f>
        <v/>
      </c>
      <c r="N475" s="47" t="str">
        <f aca="false">IFERROR(IF(ISNUMBER(SEARCH("squat",C475)),K475,""),"")</f>
        <v/>
      </c>
      <c r="O475" s="47" t="str">
        <f aca="false">IFERROR(IF(ISNUMBER(SEARCH("bench",C475)),K475,""),"")</f>
        <v/>
      </c>
      <c r="P475" s="47" t="str">
        <f aca="false">IFERROR(IF(ISNUMBER(SEARCH("deadlift",C475)),K475,""),"")</f>
        <v/>
      </c>
      <c r="V475" s="47" t="n">
        <f aca="false">MAX(V474,IF(N475="",0,N475))</f>
        <v>144.666666666667</v>
      </c>
      <c r="W475" s="47" t="n">
        <f aca="false">MAX(W474,IF(O475="",0,O475))</f>
        <v>99.1666666666667</v>
      </c>
      <c r="X475" s="47" t="n">
        <f aca="false">MAX(X474,IF(P475="",0,P475))</f>
        <v>175.666666666667</v>
      </c>
      <c r="Y475" s="47" t="n">
        <f aca="false">V475+W475+X475</f>
        <v>419.5</v>
      </c>
    </row>
    <row r="476" customFormat="false" ht="15" hidden="false" customHeight="false" outlineLevel="0" collapsed="false">
      <c r="A476" s="45"/>
      <c r="B476" s="31"/>
      <c r="C476" s="32"/>
      <c r="D476" s="31"/>
      <c r="E476" s="31"/>
      <c r="F476" s="29"/>
      <c r="G476" s="29" t="str">
        <f aca="false">IF(OR(D476="",E476="",F476=""),"",D476*E476*F476)</f>
        <v/>
      </c>
      <c r="H476" s="31"/>
      <c r="I476" s="36" t="str">
        <f aca="false">IF(OR(C476="",K476=""),"",IF(K476&gt;=_xlfn.MAXIFS($K$5:K475,$C$5:C475,C476),"Yes","No"))</f>
        <v/>
      </c>
      <c r="J476" s="32"/>
      <c r="K476" s="48" t="str">
        <f aca="false">IF(OR(E476="",F476=""),"",F476*(1+E476/30))</f>
        <v/>
      </c>
      <c r="L476" s="36" t="str">
        <f aca="false">IF(A476="","",INT((A476-StartDate)/7)+1)</f>
        <v/>
      </c>
      <c r="M476" s="36" t="str">
        <f aca="false">IF(A476="","",TEXT(A476,"mmm"))</f>
        <v/>
      </c>
      <c r="N476" s="48" t="str">
        <f aca="false">IFERROR(IF(ISNUMBER(SEARCH("squat",C476)),K476,""),"")</f>
        <v/>
      </c>
      <c r="O476" s="48" t="str">
        <f aca="false">IFERROR(IF(ISNUMBER(SEARCH("bench",C476)),K476,""),"")</f>
        <v/>
      </c>
      <c r="P476" s="48" t="str">
        <f aca="false">IFERROR(IF(ISNUMBER(SEARCH("deadlift",C476)),K476,""),"")</f>
        <v/>
      </c>
      <c r="V476" s="48" t="n">
        <f aca="false">MAX(V475,IF(N476="",0,N476))</f>
        <v>144.666666666667</v>
      </c>
      <c r="W476" s="48" t="n">
        <f aca="false">MAX(W475,IF(O476="",0,O476))</f>
        <v>99.1666666666667</v>
      </c>
      <c r="X476" s="48" t="n">
        <f aca="false">MAX(X475,IF(P476="",0,P476))</f>
        <v>175.666666666667</v>
      </c>
      <c r="Y476" s="48" t="n">
        <f aca="false">V476+W476+X476</f>
        <v>419.5</v>
      </c>
    </row>
    <row r="477" customFormat="false" ht="15" hidden="false" customHeight="false" outlineLevel="0" collapsed="false">
      <c r="A477" s="45"/>
      <c r="B477" s="31"/>
      <c r="C477" s="32"/>
      <c r="D477" s="31"/>
      <c r="E477" s="31"/>
      <c r="F477" s="29"/>
      <c r="G477" s="29" t="str">
        <f aca="false">IF(OR(D477="",E477="",F477=""),"",D477*E477*F477)</f>
        <v/>
      </c>
      <c r="H477" s="31"/>
      <c r="I477" s="46" t="str">
        <f aca="false">IF(OR(C477="",K477=""),"",IF(K477&gt;=_xlfn.MAXIFS($K$5:K476,$C$5:C476,C477),"Yes","No"))</f>
        <v/>
      </c>
      <c r="J477" s="32"/>
      <c r="K477" s="47" t="str">
        <f aca="false">IF(OR(E477="",F477=""),"",F477*(1+E477/30))</f>
        <v/>
      </c>
      <c r="L477" s="27" t="str">
        <f aca="false">IF(A477="","",INT((A477-StartDate)/7)+1)</f>
        <v/>
      </c>
      <c r="M477" s="27" t="str">
        <f aca="false">IF(A477="","",TEXT(A477,"mmm"))</f>
        <v/>
      </c>
      <c r="N477" s="47" t="str">
        <f aca="false">IFERROR(IF(ISNUMBER(SEARCH("squat",C477)),K477,""),"")</f>
        <v/>
      </c>
      <c r="O477" s="47" t="str">
        <f aca="false">IFERROR(IF(ISNUMBER(SEARCH("bench",C477)),K477,""),"")</f>
        <v/>
      </c>
      <c r="P477" s="47" t="str">
        <f aca="false">IFERROR(IF(ISNUMBER(SEARCH("deadlift",C477)),K477,""),"")</f>
        <v/>
      </c>
      <c r="V477" s="47" t="n">
        <f aca="false">MAX(V476,IF(N477="",0,N477))</f>
        <v>144.666666666667</v>
      </c>
      <c r="W477" s="47" t="n">
        <f aca="false">MAX(W476,IF(O477="",0,O477))</f>
        <v>99.1666666666667</v>
      </c>
      <c r="X477" s="47" t="n">
        <f aca="false">MAX(X476,IF(P477="",0,P477))</f>
        <v>175.666666666667</v>
      </c>
      <c r="Y477" s="47" t="n">
        <f aca="false">V477+W477+X477</f>
        <v>419.5</v>
      </c>
    </row>
    <row r="478" customFormat="false" ht="15" hidden="false" customHeight="false" outlineLevel="0" collapsed="false">
      <c r="A478" s="45"/>
      <c r="B478" s="31"/>
      <c r="C478" s="32"/>
      <c r="D478" s="31"/>
      <c r="E478" s="31"/>
      <c r="F478" s="29"/>
      <c r="G478" s="29" t="str">
        <f aca="false">IF(OR(D478="",E478="",F478=""),"",D478*E478*F478)</f>
        <v/>
      </c>
      <c r="H478" s="31"/>
      <c r="I478" s="36" t="str">
        <f aca="false">IF(OR(C478="",K478=""),"",IF(K478&gt;=_xlfn.MAXIFS($K$5:K477,$C$5:C477,C478),"Yes","No"))</f>
        <v/>
      </c>
      <c r="J478" s="32"/>
      <c r="K478" s="48" t="str">
        <f aca="false">IF(OR(E478="",F478=""),"",F478*(1+E478/30))</f>
        <v/>
      </c>
      <c r="L478" s="36" t="str">
        <f aca="false">IF(A478="","",INT((A478-StartDate)/7)+1)</f>
        <v/>
      </c>
      <c r="M478" s="36" t="str">
        <f aca="false">IF(A478="","",TEXT(A478,"mmm"))</f>
        <v/>
      </c>
      <c r="N478" s="48" t="str">
        <f aca="false">IFERROR(IF(ISNUMBER(SEARCH("squat",C478)),K478,""),"")</f>
        <v/>
      </c>
      <c r="O478" s="48" t="str">
        <f aca="false">IFERROR(IF(ISNUMBER(SEARCH("bench",C478)),K478,""),"")</f>
        <v/>
      </c>
      <c r="P478" s="48" t="str">
        <f aca="false">IFERROR(IF(ISNUMBER(SEARCH("deadlift",C478)),K478,""),"")</f>
        <v/>
      </c>
      <c r="V478" s="48" t="n">
        <f aca="false">MAX(V477,IF(N478="",0,N478))</f>
        <v>144.666666666667</v>
      </c>
      <c r="W478" s="48" t="n">
        <f aca="false">MAX(W477,IF(O478="",0,O478))</f>
        <v>99.1666666666667</v>
      </c>
      <c r="X478" s="48" t="n">
        <f aca="false">MAX(X477,IF(P478="",0,P478))</f>
        <v>175.666666666667</v>
      </c>
      <c r="Y478" s="48" t="n">
        <f aca="false">V478+W478+X478</f>
        <v>419.5</v>
      </c>
    </row>
    <row r="479" customFormat="false" ht="15" hidden="false" customHeight="false" outlineLevel="0" collapsed="false">
      <c r="A479" s="45"/>
      <c r="B479" s="31"/>
      <c r="C479" s="32"/>
      <c r="D479" s="31"/>
      <c r="E479" s="31"/>
      <c r="F479" s="29"/>
      <c r="G479" s="29" t="str">
        <f aca="false">IF(OR(D479="",E479="",F479=""),"",D479*E479*F479)</f>
        <v/>
      </c>
      <c r="H479" s="31"/>
      <c r="I479" s="46" t="str">
        <f aca="false">IF(OR(C479="",K479=""),"",IF(K479&gt;=_xlfn.MAXIFS($K$5:K478,$C$5:C478,C479),"Yes","No"))</f>
        <v/>
      </c>
      <c r="J479" s="32"/>
      <c r="K479" s="47" t="str">
        <f aca="false">IF(OR(E479="",F479=""),"",F479*(1+E479/30))</f>
        <v/>
      </c>
      <c r="L479" s="27" t="str">
        <f aca="false">IF(A479="","",INT((A479-StartDate)/7)+1)</f>
        <v/>
      </c>
      <c r="M479" s="27" t="str">
        <f aca="false">IF(A479="","",TEXT(A479,"mmm"))</f>
        <v/>
      </c>
      <c r="N479" s="47" t="str">
        <f aca="false">IFERROR(IF(ISNUMBER(SEARCH("squat",C479)),K479,""),"")</f>
        <v/>
      </c>
      <c r="O479" s="47" t="str">
        <f aca="false">IFERROR(IF(ISNUMBER(SEARCH("bench",C479)),K479,""),"")</f>
        <v/>
      </c>
      <c r="P479" s="47" t="str">
        <f aca="false">IFERROR(IF(ISNUMBER(SEARCH("deadlift",C479)),K479,""),"")</f>
        <v/>
      </c>
      <c r="V479" s="47" t="n">
        <f aca="false">MAX(V478,IF(N479="",0,N479))</f>
        <v>144.666666666667</v>
      </c>
      <c r="W479" s="47" t="n">
        <f aca="false">MAX(W478,IF(O479="",0,O479))</f>
        <v>99.1666666666667</v>
      </c>
      <c r="X479" s="47" t="n">
        <f aca="false">MAX(X478,IF(P479="",0,P479))</f>
        <v>175.666666666667</v>
      </c>
      <c r="Y479" s="47" t="n">
        <f aca="false">V479+W479+X479</f>
        <v>419.5</v>
      </c>
    </row>
    <row r="480" customFormat="false" ht="15" hidden="false" customHeight="false" outlineLevel="0" collapsed="false">
      <c r="A480" s="45"/>
      <c r="B480" s="31"/>
      <c r="C480" s="32"/>
      <c r="D480" s="31"/>
      <c r="E480" s="31"/>
      <c r="F480" s="29"/>
      <c r="G480" s="29" t="str">
        <f aca="false">IF(OR(D480="",E480="",F480=""),"",D480*E480*F480)</f>
        <v/>
      </c>
      <c r="H480" s="31"/>
      <c r="I480" s="36" t="str">
        <f aca="false">IF(OR(C480="",K480=""),"",IF(K480&gt;=_xlfn.MAXIFS($K$5:K479,$C$5:C479,C480),"Yes","No"))</f>
        <v/>
      </c>
      <c r="J480" s="32"/>
      <c r="K480" s="48" t="str">
        <f aca="false">IF(OR(E480="",F480=""),"",F480*(1+E480/30))</f>
        <v/>
      </c>
      <c r="L480" s="36" t="str">
        <f aca="false">IF(A480="","",INT((A480-StartDate)/7)+1)</f>
        <v/>
      </c>
      <c r="M480" s="36" t="str">
        <f aca="false">IF(A480="","",TEXT(A480,"mmm"))</f>
        <v/>
      </c>
      <c r="N480" s="48" t="str">
        <f aca="false">IFERROR(IF(ISNUMBER(SEARCH("squat",C480)),K480,""),"")</f>
        <v/>
      </c>
      <c r="O480" s="48" t="str">
        <f aca="false">IFERROR(IF(ISNUMBER(SEARCH("bench",C480)),K480,""),"")</f>
        <v/>
      </c>
      <c r="P480" s="48" t="str">
        <f aca="false">IFERROR(IF(ISNUMBER(SEARCH("deadlift",C480)),K480,""),"")</f>
        <v/>
      </c>
      <c r="V480" s="48" t="n">
        <f aca="false">MAX(V479,IF(N480="",0,N480))</f>
        <v>144.666666666667</v>
      </c>
      <c r="W480" s="48" t="n">
        <f aca="false">MAX(W479,IF(O480="",0,O480))</f>
        <v>99.1666666666667</v>
      </c>
      <c r="X480" s="48" t="n">
        <f aca="false">MAX(X479,IF(P480="",0,P480))</f>
        <v>175.666666666667</v>
      </c>
      <c r="Y480" s="48" t="n">
        <f aca="false">V480+W480+X480</f>
        <v>419.5</v>
      </c>
    </row>
    <row r="481" customFormat="false" ht="15" hidden="false" customHeight="false" outlineLevel="0" collapsed="false">
      <c r="A481" s="45"/>
      <c r="B481" s="31"/>
      <c r="C481" s="32"/>
      <c r="D481" s="31"/>
      <c r="E481" s="31"/>
      <c r="F481" s="29"/>
      <c r="G481" s="29" t="str">
        <f aca="false">IF(OR(D481="",E481="",F481=""),"",D481*E481*F481)</f>
        <v/>
      </c>
      <c r="H481" s="31"/>
      <c r="I481" s="46" t="str">
        <f aca="false">IF(OR(C481="",K481=""),"",IF(K481&gt;=_xlfn.MAXIFS($K$5:K480,$C$5:C480,C481),"Yes","No"))</f>
        <v/>
      </c>
      <c r="J481" s="32"/>
      <c r="K481" s="47" t="str">
        <f aca="false">IF(OR(E481="",F481=""),"",F481*(1+E481/30))</f>
        <v/>
      </c>
      <c r="L481" s="27" t="str">
        <f aca="false">IF(A481="","",INT((A481-StartDate)/7)+1)</f>
        <v/>
      </c>
      <c r="M481" s="27" t="str">
        <f aca="false">IF(A481="","",TEXT(A481,"mmm"))</f>
        <v/>
      </c>
      <c r="N481" s="47" t="str">
        <f aca="false">IFERROR(IF(ISNUMBER(SEARCH("squat",C481)),K481,""),"")</f>
        <v/>
      </c>
      <c r="O481" s="47" t="str">
        <f aca="false">IFERROR(IF(ISNUMBER(SEARCH("bench",C481)),K481,""),"")</f>
        <v/>
      </c>
      <c r="P481" s="47" t="str">
        <f aca="false">IFERROR(IF(ISNUMBER(SEARCH("deadlift",C481)),K481,""),"")</f>
        <v/>
      </c>
      <c r="V481" s="47" t="n">
        <f aca="false">MAX(V480,IF(N481="",0,N481))</f>
        <v>144.666666666667</v>
      </c>
      <c r="W481" s="47" t="n">
        <f aca="false">MAX(W480,IF(O481="",0,O481))</f>
        <v>99.1666666666667</v>
      </c>
      <c r="X481" s="47" t="n">
        <f aca="false">MAX(X480,IF(P481="",0,P481))</f>
        <v>175.666666666667</v>
      </c>
      <c r="Y481" s="47" t="n">
        <f aca="false">V481+W481+X481</f>
        <v>419.5</v>
      </c>
    </row>
    <row r="482" customFormat="false" ht="15" hidden="false" customHeight="false" outlineLevel="0" collapsed="false">
      <c r="A482" s="45"/>
      <c r="B482" s="31"/>
      <c r="C482" s="32"/>
      <c r="D482" s="31"/>
      <c r="E482" s="31"/>
      <c r="F482" s="29"/>
      <c r="G482" s="29" t="str">
        <f aca="false">IF(OR(D482="",E482="",F482=""),"",D482*E482*F482)</f>
        <v/>
      </c>
      <c r="H482" s="31"/>
      <c r="I482" s="36" t="str">
        <f aca="false">IF(OR(C482="",K482=""),"",IF(K482&gt;=_xlfn.MAXIFS($K$5:K481,$C$5:C481,C482),"Yes","No"))</f>
        <v/>
      </c>
      <c r="J482" s="32"/>
      <c r="K482" s="48" t="str">
        <f aca="false">IF(OR(E482="",F482=""),"",F482*(1+E482/30))</f>
        <v/>
      </c>
      <c r="L482" s="36" t="str">
        <f aca="false">IF(A482="","",INT((A482-StartDate)/7)+1)</f>
        <v/>
      </c>
      <c r="M482" s="36" t="str">
        <f aca="false">IF(A482="","",TEXT(A482,"mmm"))</f>
        <v/>
      </c>
      <c r="N482" s="48" t="str">
        <f aca="false">IFERROR(IF(ISNUMBER(SEARCH("squat",C482)),K482,""),"")</f>
        <v/>
      </c>
      <c r="O482" s="48" t="str">
        <f aca="false">IFERROR(IF(ISNUMBER(SEARCH("bench",C482)),K482,""),"")</f>
        <v/>
      </c>
      <c r="P482" s="48" t="str">
        <f aca="false">IFERROR(IF(ISNUMBER(SEARCH("deadlift",C482)),K482,""),"")</f>
        <v/>
      </c>
      <c r="V482" s="48" t="n">
        <f aca="false">MAX(V481,IF(N482="",0,N482))</f>
        <v>144.666666666667</v>
      </c>
      <c r="W482" s="48" t="n">
        <f aca="false">MAX(W481,IF(O482="",0,O482))</f>
        <v>99.1666666666667</v>
      </c>
      <c r="X482" s="48" t="n">
        <f aca="false">MAX(X481,IF(P482="",0,P482))</f>
        <v>175.666666666667</v>
      </c>
      <c r="Y482" s="48" t="n">
        <f aca="false">V482+W482+X482</f>
        <v>419.5</v>
      </c>
    </row>
    <row r="483" customFormat="false" ht="15" hidden="false" customHeight="false" outlineLevel="0" collapsed="false">
      <c r="A483" s="45"/>
      <c r="B483" s="31"/>
      <c r="C483" s="32"/>
      <c r="D483" s="31"/>
      <c r="E483" s="31"/>
      <c r="F483" s="29"/>
      <c r="G483" s="29" t="str">
        <f aca="false">IF(OR(D483="",E483="",F483=""),"",D483*E483*F483)</f>
        <v/>
      </c>
      <c r="H483" s="31"/>
      <c r="I483" s="46" t="str">
        <f aca="false">IF(OR(C483="",K483=""),"",IF(K483&gt;=_xlfn.MAXIFS($K$5:K482,$C$5:C482,C483),"Yes","No"))</f>
        <v/>
      </c>
      <c r="J483" s="32"/>
      <c r="K483" s="47" t="str">
        <f aca="false">IF(OR(E483="",F483=""),"",F483*(1+E483/30))</f>
        <v/>
      </c>
      <c r="L483" s="27" t="str">
        <f aca="false">IF(A483="","",INT((A483-StartDate)/7)+1)</f>
        <v/>
      </c>
      <c r="M483" s="27" t="str">
        <f aca="false">IF(A483="","",TEXT(A483,"mmm"))</f>
        <v/>
      </c>
      <c r="N483" s="47" t="str">
        <f aca="false">IFERROR(IF(ISNUMBER(SEARCH("squat",C483)),K483,""),"")</f>
        <v/>
      </c>
      <c r="O483" s="47" t="str">
        <f aca="false">IFERROR(IF(ISNUMBER(SEARCH("bench",C483)),K483,""),"")</f>
        <v/>
      </c>
      <c r="P483" s="47" t="str">
        <f aca="false">IFERROR(IF(ISNUMBER(SEARCH("deadlift",C483)),K483,""),"")</f>
        <v/>
      </c>
      <c r="V483" s="47" t="n">
        <f aca="false">MAX(V482,IF(N483="",0,N483))</f>
        <v>144.666666666667</v>
      </c>
      <c r="W483" s="47" t="n">
        <f aca="false">MAX(W482,IF(O483="",0,O483))</f>
        <v>99.1666666666667</v>
      </c>
      <c r="X483" s="47" t="n">
        <f aca="false">MAX(X482,IF(P483="",0,P483))</f>
        <v>175.666666666667</v>
      </c>
      <c r="Y483" s="47" t="n">
        <f aca="false">V483+W483+X483</f>
        <v>419.5</v>
      </c>
    </row>
    <row r="484" customFormat="false" ht="15" hidden="false" customHeight="false" outlineLevel="0" collapsed="false">
      <c r="A484" s="45"/>
      <c r="B484" s="31"/>
      <c r="C484" s="32"/>
      <c r="D484" s="31"/>
      <c r="E484" s="31"/>
      <c r="F484" s="29"/>
      <c r="G484" s="29" t="str">
        <f aca="false">IF(OR(D484="",E484="",F484=""),"",D484*E484*F484)</f>
        <v/>
      </c>
      <c r="H484" s="31"/>
      <c r="I484" s="36" t="str">
        <f aca="false">IF(OR(C484="",K484=""),"",IF(K484&gt;=_xlfn.MAXIFS($K$5:K483,$C$5:C483,C484),"Yes","No"))</f>
        <v/>
      </c>
      <c r="J484" s="32"/>
      <c r="K484" s="48" t="str">
        <f aca="false">IF(OR(E484="",F484=""),"",F484*(1+E484/30))</f>
        <v/>
      </c>
      <c r="L484" s="36" t="str">
        <f aca="false">IF(A484="","",INT((A484-StartDate)/7)+1)</f>
        <v/>
      </c>
      <c r="M484" s="36" t="str">
        <f aca="false">IF(A484="","",TEXT(A484,"mmm"))</f>
        <v/>
      </c>
      <c r="N484" s="48" t="str">
        <f aca="false">IFERROR(IF(ISNUMBER(SEARCH("squat",C484)),K484,""),"")</f>
        <v/>
      </c>
      <c r="O484" s="48" t="str">
        <f aca="false">IFERROR(IF(ISNUMBER(SEARCH("bench",C484)),K484,""),"")</f>
        <v/>
      </c>
      <c r="P484" s="48" t="str">
        <f aca="false">IFERROR(IF(ISNUMBER(SEARCH("deadlift",C484)),K484,""),"")</f>
        <v/>
      </c>
      <c r="V484" s="48" t="n">
        <f aca="false">MAX(V483,IF(N484="",0,N484))</f>
        <v>144.666666666667</v>
      </c>
      <c r="W484" s="48" t="n">
        <f aca="false">MAX(W483,IF(O484="",0,O484))</f>
        <v>99.1666666666667</v>
      </c>
      <c r="X484" s="48" t="n">
        <f aca="false">MAX(X483,IF(P484="",0,P484))</f>
        <v>175.666666666667</v>
      </c>
      <c r="Y484" s="48" t="n">
        <f aca="false">V484+W484+X484</f>
        <v>419.5</v>
      </c>
    </row>
    <row r="485" customFormat="false" ht="15" hidden="false" customHeight="false" outlineLevel="0" collapsed="false">
      <c r="A485" s="45"/>
      <c r="B485" s="31"/>
      <c r="C485" s="32"/>
      <c r="D485" s="31"/>
      <c r="E485" s="31"/>
      <c r="F485" s="29"/>
      <c r="G485" s="29" t="str">
        <f aca="false">IF(OR(D485="",E485="",F485=""),"",D485*E485*F485)</f>
        <v/>
      </c>
      <c r="H485" s="31"/>
      <c r="I485" s="46" t="str">
        <f aca="false">IF(OR(C485="",K485=""),"",IF(K485&gt;=_xlfn.MAXIFS($K$5:K484,$C$5:C484,C485),"Yes","No"))</f>
        <v/>
      </c>
      <c r="J485" s="32"/>
      <c r="K485" s="47" t="str">
        <f aca="false">IF(OR(E485="",F485=""),"",F485*(1+E485/30))</f>
        <v/>
      </c>
      <c r="L485" s="27" t="str">
        <f aca="false">IF(A485="","",INT((A485-StartDate)/7)+1)</f>
        <v/>
      </c>
      <c r="M485" s="27" t="str">
        <f aca="false">IF(A485="","",TEXT(A485,"mmm"))</f>
        <v/>
      </c>
      <c r="N485" s="47" t="str">
        <f aca="false">IFERROR(IF(ISNUMBER(SEARCH("squat",C485)),K485,""),"")</f>
        <v/>
      </c>
      <c r="O485" s="47" t="str">
        <f aca="false">IFERROR(IF(ISNUMBER(SEARCH("bench",C485)),K485,""),"")</f>
        <v/>
      </c>
      <c r="P485" s="47" t="str">
        <f aca="false">IFERROR(IF(ISNUMBER(SEARCH("deadlift",C485)),K485,""),"")</f>
        <v/>
      </c>
      <c r="V485" s="47" t="n">
        <f aca="false">MAX(V484,IF(N485="",0,N485))</f>
        <v>144.666666666667</v>
      </c>
      <c r="W485" s="47" t="n">
        <f aca="false">MAX(W484,IF(O485="",0,O485))</f>
        <v>99.1666666666667</v>
      </c>
      <c r="X485" s="47" t="n">
        <f aca="false">MAX(X484,IF(P485="",0,P485))</f>
        <v>175.666666666667</v>
      </c>
      <c r="Y485" s="47" t="n">
        <f aca="false">V485+W485+X485</f>
        <v>419.5</v>
      </c>
    </row>
    <row r="486" customFormat="false" ht="15" hidden="false" customHeight="false" outlineLevel="0" collapsed="false">
      <c r="A486" s="45"/>
      <c r="B486" s="31"/>
      <c r="C486" s="32"/>
      <c r="D486" s="31"/>
      <c r="E486" s="31"/>
      <c r="F486" s="29"/>
      <c r="G486" s="29" t="str">
        <f aca="false">IF(OR(D486="",E486="",F486=""),"",D486*E486*F486)</f>
        <v/>
      </c>
      <c r="H486" s="31"/>
      <c r="I486" s="36" t="str">
        <f aca="false">IF(OR(C486="",K486=""),"",IF(K486&gt;=_xlfn.MAXIFS($K$5:K485,$C$5:C485,C486),"Yes","No"))</f>
        <v/>
      </c>
      <c r="J486" s="32"/>
      <c r="K486" s="48" t="str">
        <f aca="false">IF(OR(E486="",F486=""),"",F486*(1+E486/30))</f>
        <v/>
      </c>
      <c r="L486" s="36" t="str">
        <f aca="false">IF(A486="","",INT((A486-StartDate)/7)+1)</f>
        <v/>
      </c>
      <c r="M486" s="36" t="str">
        <f aca="false">IF(A486="","",TEXT(A486,"mmm"))</f>
        <v/>
      </c>
      <c r="N486" s="48" t="str">
        <f aca="false">IFERROR(IF(ISNUMBER(SEARCH("squat",C486)),K486,""),"")</f>
        <v/>
      </c>
      <c r="O486" s="48" t="str">
        <f aca="false">IFERROR(IF(ISNUMBER(SEARCH("bench",C486)),K486,""),"")</f>
        <v/>
      </c>
      <c r="P486" s="48" t="str">
        <f aca="false">IFERROR(IF(ISNUMBER(SEARCH("deadlift",C486)),K486,""),"")</f>
        <v/>
      </c>
      <c r="V486" s="48" t="n">
        <f aca="false">MAX(V485,IF(N486="",0,N486))</f>
        <v>144.666666666667</v>
      </c>
      <c r="W486" s="48" t="n">
        <f aca="false">MAX(W485,IF(O486="",0,O486))</f>
        <v>99.1666666666667</v>
      </c>
      <c r="X486" s="48" t="n">
        <f aca="false">MAX(X485,IF(P486="",0,P486))</f>
        <v>175.666666666667</v>
      </c>
      <c r="Y486" s="48" t="n">
        <f aca="false">V486+W486+X486</f>
        <v>419.5</v>
      </c>
    </row>
    <row r="487" customFormat="false" ht="15" hidden="false" customHeight="false" outlineLevel="0" collapsed="false">
      <c r="A487" s="45"/>
      <c r="B487" s="31"/>
      <c r="C487" s="32"/>
      <c r="D487" s="31"/>
      <c r="E487" s="31"/>
      <c r="F487" s="29"/>
      <c r="G487" s="29" t="str">
        <f aca="false">IF(OR(D487="",E487="",F487=""),"",D487*E487*F487)</f>
        <v/>
      </c>
      <c r="H487" s="31"/>
      <c r="I487" s="46" t="str">
        <f aca="false">IF(OR(C487="",K487=""),"",IF(K487&gt;=_xlfn.MAXIFS($K$5:K486,$C$5:C486,C487),"Yes","No"))</f>
        <v/>
      </c>
      <c r="J487" s="32"/>
      <c r="K487" s="47" t="str">
        <f aca="false">IF(OR(E487="",F487=""),"",F487*(1+E487/30))</f>
        <v/>
      </c>
      <c r="L487" s="27" t="str">
        <f aca="false">IF(A487="","",INT((A487-StartDate)/7)+1)</f>
        <v/>
      </c>
      <c r="M487" s="27" t="str">
        <f aca="false">IF(A487="","",TEXT(A487,"mmm"))</f>
        <v/>
      </c>
      <c r="N487" s="47" t="str">
        <f aca="false">IFERROR(IF(ISNUMBER(SEARCH("squat",C487)),K487,""),"")</f>
        <v/>
      </c>
      <c r="O487" s="47" t="str">
        <f aca="false">IFERROR(IF(ISNUMBER(SEARCH("bench",C487)),K487,""),"")</f>
        <v/>
      </c>
      <c r="P487" s="47" t="str">
        <f aca="false">IFERROR(IF(ISNUMBER(SEARCH("deadlift",C487)),K487,""),"")</f>
        <v/>
      </c>
      <c r="V487" s="47" t="n">
        <f aca="false">MAX(V486,IF(N487="",0,N487))</f>
        <v>144.666666666667</v>
      </c>
      <c r="W487" s="47" t="n">
        <f aca="false">MAX(W486,IF(O487="",0,O487))</f>
        <v>99.1666666666667</v>
      </c>
      <c r="X487" s="47" t="n">
        <f aca="false">MAX(X486,IF(P487="",0,P487))</f>
        <v>175.666666666667</v>
      </c>
      <c r="Y487" s="47" t="n">
        <f aca="false">V487+W487+X487</f>
        <v>419.5</v>
      </c>
    </row>
    <row r="488" customFormat="false" ht="15" hidden="false" customHeight="false" outlineLevel="0" collapsed="false">
      <c r="A488" s="45"/>
      <c r="B488" s="31"/>
      <c r="C488" s="32"/>
      <c r="D488" s="31"/>
      <c r="E488" s="31"/>
      <c r="F488" s="29"/>
      <c r="G488" s="29" t="str">
        <f aca="false">IF(OR(D488="",E488="",F488=""),"",D488*E488*F488)</f>
        <v/>
      </c>
      <c r="H488" s="31"/>
      <c r="I488" s="36" t="str">
        <f aca="false">IF(OR(C488="",K488=""),"",IF(K488&gt;=_xlfn.MAXIFS($K$5:K487,$C$5:C487,C488),"Yes","No"))</f>
        <v/>
      </c>
      <c r="J488" s="32"/>
      <c r="K488" s="48" t="str">
        <f aca="false">IF(OR(E488="",F488=""),"",F488*(1+E488/30))</f>
        <v/>
      </c>
      <c r="L488" s="36" t="str">
        <f aca="false">IF(A488="","",INT((A488-StartDate)/7)+1)</f>
        <v/>
      </c>
      <c r="M488" s="36" t="str">
        <f aca="false">IF(A488="","",TEXT(A488,"mmm"))</f>
        <v/>
      </c>
      <c r="N488" s="48" t="str">
        <f aca="false">IFERROR(IF(ISNUMBER(SEARCH("squat",C488)),K488,""),"")</f>
        <v/>
      </c>
      <c r="O488" s="48" t="str">
        <f aca="false">IFERROR(IF(ISNUMBER(SEARCH("bench",C488)),K488,""),"")</f>
        <v/>
      </c>
      <c r="P488" s="48" t="str">
        <f aca="false">IFERROR(IF(ISNUMBER(SEARCH("deadlift",C488)),K488,""),"")</f>
        <v/>
      </c>
      <c r="V488" s="48" t="n">
        <f aca="false">MAX(V487,IF(N488="",0,N488))</f>
        <v>144.666666666667</v>
      </c>
      <c r="W488" s="48" t="n">
        <f aca="false">MAX(W487,IF(O488="",0,O488))</f>
        <v>99.1666666666667</v>
      </c>
      <c r="X488" s="48" t="n">
        <f aca="false">MAX(X487,IF(P488="",0,P488))</f>
        <v>175.666666666667</v>
      </c>
      <c r="Y488" s="48" t="n">
        <f aca="false">V488+W488+X488</f>
        <v>419.5</v>
      </c>
    </row>
    <row r="489" customFormat="false" ht="15" hidden="false" customHeight="false" outlineLevel="0" collapsed="false">
      <c r="A489" s="45"/>
      <c r="B489" s="31"/>
      <c r="C489" s="32"/>
      <c r="D489" s="31"/>
      <c r="E489" s="31"/>
      <c r="F489" s="29"/>
      <c r="G489" s="29" t="str">
        <f aca="false">IF(OR(D489="",E489="",F489=""),"",D489*E489*F489)</f>
        <v/>
      </c>
      <c r="H489" s="31"/>
      <c r="I489" s="46" t="str">
        <f aca="false">IF(OR(C489="",K489=""),"",IF(K489&gt;=_xlfn.MAXIFS($K$5:K488,$C$5:C488,C489),"Yes","No"))</f>
        <v/>
      </c>
      <c r="J489" s="32"/>
      <c r="K489" s="47" t="str">
        <f aca="false">IF(OR(E489="",F489=""),"",F489*(1+E489/30))</f>
        <v/>
      </c>
      <c r="L489" s="27" t="str">
        <f aca="false">IF(A489="","",INT((A489-StartDate)/7)+1)</f>
        <v/>
      </c>
      <c r="M489" s="27" t="str">
        <f aca="false">IF(A489="","",TEXT(A489,"mmm"))</f>
        <v/>
      </c>
      <c r="N489" s="47" t="str">
        <f aca="false">IFERROR(IF(ISNUMBER(SEARCH("squat",C489)),K489,""),"")</f>
        <v/>
      </c>
      <c r="O489" s="47" t="str">
        <f aca="false">IFERROR(IF(ISNUMBER(SEARCH("bench",C489)),K489,""),"")</f>
        <v/>
      </c>
      <c r="P489" s="47" t="str">
        <f aca="false">IFERROR(IF(ISNUMBER(SEARCH("deadlift",C489)),K489,""),"")</f>
        <v/>
      </c>
      <c r="V489" s="47" t="n">
        <f aca="false">MAX(V488,IF(N489="",0,N489))</f>
        <v>144.666666666667</v>
      </c>
      <c r="W489" s="47" t="n">
        <f aca="false">MAX(W488,IF(O489="",0,O489))</f>
        <v>99.1666666666667</v>
      </c>
      <c r="X489" s="47" t="n">
        <f aca="false">MAX(X488,IF(P489="",0,P489))</f>
        <v>175.666666666667</v>
      </c>
      <c r="Y489" s="47" t="n">
        <f aca="false">V489+W489+X489</f>
        <v>419.5</v>
      </c>
    </row>
    <row r="490" customFormat="false" ht="15" hidden="false" customHeight="false" outlineLevel="0" collapsed="false">
      <c r="A490" s="45"/>
      <c r="B490" s="31"/>
      <c r="C490" s="32"/>
      <c r="D490" s="31"/>
      <c r="E490" s="31"/>
      <c r="F490" s="29"/>
      <c r="G490" s="29" t="str">
        <f aca="false">IF(OR(D490="",E490="",F490=""),"",D490*E490*F490)</f>
        <v/>
      </c>
      <c r="H490" s="31"/>
      <c r="I490" s="36" t="str">
        <f aca="false">IF(OR(C490="",K490=""),"",IF(K490&gt;=_xlfn.MAXIFS($K$5:K489,$C$5:C489,C490),"Yes","No"))</f>
        <v/>
      </c>
      <c r="J490" s="32"/>
      <c r="K490" s="48" t="str">
        <f aca="false">IF(OR(E490="",F490=""),"",F490*(1+E490/30))</f>
        <v/>
      </c>
      <c r="L490" s="36" t="str">
        <f aca="false">IF(A490="","",INT((A490-StartDate)/7)+1)</f>
        <v/>
      </c>
      <c r="M490" s="36" t="str">
        <f aca="false">IF(A490="","",TEXT(A490,"mmm"))</f>
        <v/>
      </c>
      <c r="N490" s="48" t="str">
        <f aca="false">IFERROR(IF(ISNUMBER(SEARCH("squat",C490)),K490,""),"")</f>
        <v/>
      </c>
      <c r="O490" s="48" t="str">
        <f aca="false">IFERROR(IF(ISNUMBER(SEARCH("bench",C490)),K490,""),"")</f>
        <v/>
      </c>
      <c r="P490" s="48" t="str">
        <f aca="false">IFERROR(IF(ISNUMBER(SEARCH("deadlift",C490)),K490,""),"")</f>
        <v/>
      </c>
      <c r="V490" s="48" t="n">
        <f aca="false">MAX(V489,IF(N490="",0,N490))</f>
        <v>144.666666666667</v>
      </c>
      <c r="W490" s="48" t="n">
        <f aca="false">MAX(W489,IF(O490="",0,O490))</f>
        <v>99.1666666666667</v>
      </c>
      <c r="X490" s="48" t="n">
        <f aca="false">MAX(X489,IF(P490="",0,P490))</f>
        <v>175.666666666667</v>
      </c>
      <c r="Y490" s="48" t="n">
        <f aca="false">V490+W490+X490</f>
        <v>419.5</v>
      </c>
    </row>
    <row r="491" customFormat="false" ht="15" hidden="false" customHeight="false" outlineLevel="0" collapsed="false">
      <c r="A491" s="45"/>
      <c r="B491" s="31"/>
      <c r="C491" s="32"/>
      <c r="D491" s="31"/>
      <c r="E491" s="31"/>
      <c r="F491" s="29"/>
      <c r="G491" s="29" t="str">
        <f aca="false">IF(OR(D491="",E491="",F491=""),"",D491*E491*F491)</f>
        <v/>
      </c>
      <c r="H491" s="31"/>
      <c r="I491" s="46" t="str">
        <f aca="false">IF(OR(C491="",K491=""),"",IF(K491&gt;=_xlfn.MAXIFS($K$5:K490,$C$5:C490,C491),"Yes","No"))</f>
        <v/>
      </c>
      <c r="J491" s="32"/>
      <c r="K491" s="47" t="str">
        <f aca="false">IF(OR(E491="",F491=""),"",F491*(1+E491/30))</f>
        <v/>
      </c>
      <c r="L491" s="27" t="str">
        <f aca="false">IF(A491="","",INT((A491-StartDate)/7)+1)</f>
        <v/>
      </c>
      <c r="M491" s="27" t="str">
        <f aca="false">IF(A491="","",TEXT(A491,"mmm"))</f>
        <v/>
      </c>
      <c r="N491" s="47" t="str">
        <f aca="false">IFERROR(IF(ISNUMBER(SEARCH("squat",C491)),K491,""),"")</f>
        <v/>
      </c>
      <c r="O491" s="47" t="str">
        <f aca="false">IFERROR(IF(ISNUMBER(SEARCH("bench",C491)),K491,""),"")</f>
        <v/>
      </c>
      <c r="P491" s="47" t="str">
        <f aca="false">IFERROR(IF(ISNUMBER(SEARCH("deadlift",C491)),K491,""),"")</f>
        <v/>
      </c>
      <c r="V491" s="47" t="n">
        <f aca="false">MAX(V490,IF(N491="",0,N491))</f>
        <v>144.666666666667</v>
      </c>
      <c r="W491" s="47" t="n">
        <f aca="false">MAX(W490,IF(O491="",0,O491))</f>
        <v>99.1666666666667</v>
      </c>
      <c r="X491" s="47" t="n">
        <f aca="false">MAX(X490,IF(P491="",0,P491))</f>
        <v>175.666666666667</v>
      </c>
      <c r="Y491" s="47" t="n">
        <f aca="false">V491+W491+X491</f>
        <v>419.5</v>
      </c>
    </row>
    <row r="492" customFormat="false" ht="15" hidden="false" customHeight="false" outlineLevel="0" collapsed="false">
      <c r="A492" s="45"/>
      <c r="B492" s="31"/>
      <c r="C492" s="32"/>
      <c r="D492" s="31"/>
      <c r="E492" s="31"/>
      <c r="F492" s="29"/>
      <c r="G492" s="29" t="str">
        <f aca="false">IF(OR(D492="",E492="",F492=""),"",D492*E492*F492)</f>
        <v/>
      </c>
      <c r="H492" s="31"/>
      <c r="I492" s="36" t="str">
        <f aca="false">IF(OR(C492="",K492=""),"",IF(K492&gt;=_xlfn.MAXIFS($K$5:K491,$C$5:C491,C492),"Yes","No"))</f>
        <v/>
      </c>
      <c r="J492" s="32"/>
      <c r="K492" s="48" t="str">
        <f aca="false">IF(OR(E492="",F492=""),"",F492*(1+E492/30))</f>
        <v/>
      </c>
      <c r="L492" s="36" t="str">
        <f aca="false">IF(A492="","",INT((A492-StartDate)/7)+1)</f>
        <v/>
      </c>
      <c r="M492" s="36" t="str">
        <f aca="false">IF(A492="","",TEXT(A492,"mmm"))</f>
        <v/>
      </c>
      <c r="N492" s="48" t="str">
        <f aca="false">IFERROR(IF(ISNUMBER(SEARCH("squat",C492)),K492,""),"")</f>
        <v/>
      </c>
      <c r="O492" s="48" t="str">
        <f aca="false">IFERROR(IF(ISNUMBER(SEARCH("bench",C492)),K492,""),"")</f>
        <v/>
      </c>
      <c r="P492" s="48" t="str">
        <f aca="false">IFERROR(IF(ISNUMBER(SEARCH("deadlift",C492)),K492,""),"")</f>
        <v/>
      </c>
      <c r="V492" s="48" t="n">
        <f aca="false">MAX(V491,IF(N492="",0,N492))</f>
        <v>144.666666666667</v>
      </c>
      <c r="W492" s="48" t="n">
        <f aca="false">MAX(W491,IF(O492="",0,O492))</f>
        <v>99.1666666666667</v>
      </c>
      <c r="X492" s="48" t="n">
        <f aca="false">MAX(X491,IF(P492="",0,P492))</f>
        <v>175.666666666667</v>
      </c>
      <c r="Y492" s="48" t="n">
        <f aca="false">V492+W492+X492</f>
        <v>419.5</v>
      </c>
    </row>
    <row r="493" customFormat="false" ht="15" hidden="false" customHeight="false" outlineLevel="0" collapsed="false">
      <c r="A493" s="45"/>
      <c r="B493" s="31"/>
      <c r="C493" s="32"/>
      <c r="D493" s="31"/>
      <c r="E493" s="31"/>
      <c r="F493" s="29"/>
      <c r="G493" s="29" t="str">
        <f aca="false">IF(OR(D493="",E493="",F493=""),"",D493*E493*F493)</f>
        <v/>
      </c>
      <c r="H493" s="31"/>
      <c r="I493" s="46" t="str">
        <f aca="false">IF(OR(C493="",K493=""),"",IF(K493&gt;=_xlfn.MAXIFS($K$5:K492,$C$5:C492,C493),"Yes","No"))</f>
        <v/>
      </c>
      <c r="J493" s="32"/>
      <c r="K493" s="47" t="str">
        <f aca="false">IF(OR(E493="",F493=""),"",F493*(1+E493/30))</f>
        <v/>
      </c>
      <c r="L493" s="27" t="str">
        <f aca="false">IF(A493="","",INT((A493-StartDate)/7)+1)</f>
        <v/>
      </c>
      <c r="M493" s="27" t="str">
        <f aca="false">IF(A493="","",TEXT(A493,"mmm"))</f>
        <v/>
      </c>
      <c r="N493" s="47" t="str">
        <f aca="false">IFERROR(IF(ISNUMBER(SEARCH("squat",C493)),K493,""),"")</f>
        <v/>
      </c>
      <c r="O493" s="47" t="str">
        <f aca="false">IFERROR(IF(ISNUMBER(SEARCH("bench",C493)),K493,""),"")</f>
        <v/>
      </c>
      <c r="P493" s="47" t="str">
        <f aca="false">IFERROR(IF(ISNUMBER(SEARCH("deadlift",C493)),K493,""),"")</f>
        <v/>
      </c>
      <c r="V493" s="47" t="n">
        <f aca="false">MAX(V492,IF(N493="",0,N493))</f>
        <v>144.666666666667</v>
      </c>
      <c r="W493" s="47" t="n">
        <f aca="false">MAX(W492,IF(O493="",0,O493))</f>
        <v>99.1666666666667</v>
      </c>
      <c r="X493" s="47" t="n">
        <f aca="false">MAX(X492,IF(P493="",0,P493))</f>
        <v>175.666666666667</v>
      </c>
      <c r="Y493" s="47" t="n">
        <f aca="false">V493+W493+X493</f>
        <v>419.5</v>
      </c>
    </row>
    <row r="494" customFormat="false" ht="15" hidden="false" customHeight="false" outlineLevel="0" collapsed="false">
      <c r="A494" s="45"/>
      <c r="B494" s="31"/>
      <c r="C494" s="32"/>
      <c r="D494" s="31"/>
      <c r="E494" s="31"/>
      <c r="F494" s="29"/>
      <c r="G494" s="29" t="str">
        <f aca="false">IF(OR(D494="",E494="",F494=""),"",D494*E494*F494)</f>
        <v/>
      </c>
      <c r="H494" s="31"/>
      <c r="I494" s="36" t="str">
        <f aca="false">IF(OR(C494="",K494=""),"",IF(K494&gt;=_xlfn.MAXIFS($K$5:K493,$C$5:C493,C494),"Yes","No"))</f>
        <v/>
      </c>
      <c r="J494" s="32"/>
      <c r="K494" s="48" t="str">
        <f aca="false">IF(OR(E494="",F494=""),"",F494*(1+E494/30))</f>
        <v/>
      </c>
      <c r="L494" s="36" t="str">
        <f aca="false">IF(A494="","",INT((A494-StartDate)/7)+1)</f>
        <v/>
      </c>
      <c r="M494" s="36" t="str">
        <f aca="false">IF(A494="","",TEXT(A494,"mmm"))</f>
        <v/>
      </c>
      <c r="N494" s="48" t="str">
        <f aca="false">IFERROR(IF(ISNUMBER(SEARCH("squat",C494)),K494,""),"")</f>
        <v/>
      </c>
      <c r="O494" s="48" t="str">
        <f aca="false">IFERROR(IF(ISNUMBER(SEARCH("bench",C494)),K494,""),"")</f>
        <v/>
      </c>
      <c r="P494" s="48" t="str">
        <f aca="false">IFERROR(IF(ISNUMBER(SEARCH("deadlift",C494)),K494,""),"")</f>
        <v/>
      </c>
      <c r="V494" s="48" t="n">
        <f aca="false">MAX(V493,IF(N494="",0,N494))</f>
        <v>144.666666666667</v>
      </c>
      <c r="W494" s="48" t="n">
        <f aca="false">MAX(W493,IF(O494="",0,O494))</f>
        <v>99.1666666666667</v>
      </c>
      <c r="X494" s="48" t="n">
        <f aca="false">MAX(X493,IF(P494="",0,P494))</f>
        <v>175.666666666667</v>
      </c>
      <c r="Y494" s="48" t="n">
        <f aca="false">V494+W494+X494</f>
        <v>419.5</v>
      </c>
    </row>
    <row r="495" customFormat="false" ht="15" hidden="false" customHeight="false" outlineLevel="0" collapsed="false">
      <c r="A495" s="45"/>
      <c r="B495" s="31"/>
      <c r="C495" s="32"/>
      <c r="D495" s="31"/>
      <c r="E495" s="31"/>
      <c r="F495" s="29"/>
      <c r="G495" s="29" t="str">
        <f aca="false">IF(OR(D495="",E495="",F495=""),"",D495*E495*F495)</f>
        <v/>
      </c>
      <c r="H495" s="31"/>
      <c r="I495" s="46" t="str">
        <f aca="false">IF(OR(C495="",K495=""),"",IF(K495&gt;=_xlfn.MAXIFS($K$5:K494,$C$5:C494,C495),"Yes","No"))</f>
        <v/>
      </c>
      <c r="J495" s="32"/>
      <c r="K495" s="47" t="str">
        <f aca="false">IF(OR(E495="",F495=""),"",F495*(1+E495/30))</f>
        <v/>
      </c>
      <c r="L495" s="27" t="str">
        <f aca="false">IF(A495="","",INT((A495-StartDate)/7)+1)</f>
        <v/>
      </c>
      <c r="M495" s="27" t="str">
        <f aca="false">IF(A495="","",TEXT(A495,"mmm"))</f>
        <v/>
      </c>
      <c r="N495" s="47" t="str">
        <f aca="false">IFERROR(IF(ISNUMBER(SEARCH("squat",C495)),K495,""),"")</f>
        <v/>
      </c>
      <c r="O495" s="47" t="str">
        <f aca="false">IFERROR(IF(ISNUMBER(SEARCH("bench",C495)),K495,""),"")</f>
        <v/>
      </c>
      <c r="P495" s="47" t="str">
        <f aca="false">IFERROR(IF(ISNUMBER(SEARCH("deadlift",C495)),K495,""),"")</f>
        <v/>
      </c>
      <c r="V495" s="47" t="n">
        <f aca="false">MAX(V494,IF(N495="",0,N495))</f>
        <v>144.666666666667</v>
      </c>
      <c r="W495" s="47" t="n">
        <f aca="false">MAX(W494,IF(O495="",0,O495))</f>
        <v>99.1666666666667</v>
      </c>
      <c r="X495" s="47" t="n">
        <f aca="false">MAX(X494,IF(P495="",0,P495))</f>
        <v>175.666666666667</v>
      </c>
      <c r="Y495" s="47" t="n">
        <f aca="false">V495+W495+X495</f>
        <v>419.5</v>
      </c>
    </row>
    <row r="496" customFormat="false" ht="15" hidden="false" customHeight="false" outlineLevel="0" collapsed="false">
      <c r="A496" s="45"/>
      <c r="B496" s="31"/>
      <c r="C496" s="32"/>
      <c r="D496" s="31"/>
      <c r="E496" s="31"/>
      <c r="F496" s="29"/>
      <c r="G496" s="29" t="str">
        <f aca="false">IF(OR(D496="",E496="",F496=""),"",D496*E496*F496)</f>
        <v/>
      </c>
      <c r="H496" s="31"/>
      <c r="I496" s="36" t="str">
        <f aca="false">IF(OR(C496="",K496=""),"",IF(K496&gt;=_xlfn.MAXIFS($K$5:K495,$C$5:C495,C496),"Yes","No"))</f>
        <v/>
      </c>
      <c r="J496" s="32"/>
      <c r="K496" s="48" t="str">
        <f aca="false">IF(OR(E496="",F496=""),"",F496*(1+E496/30))</f>
        <v/>
      </c>
      <c r="L496" s="36" t="str">
        <f aca="false">IF(A496="","",INT((A496-StartDate)/7)+1)</f>
        <v/>
      </c>
      <c r="M496" s="36" t="str">
        <f aca="false">IF(A496="","",TEXT(A496,"mmm"))</f>
        <v/>
      </c>
      <c r="N496" s="48" t="str">
        <f aca="false">IFERROR(IF(ISNUMBER(SEARCH("squat",C496)),K496,""),"")</f>
        <v/>
      </c>
      <c r="O496" s="48" t="str">
        <f aca="false">IFERROR(IF(ISNUMBER(SEARCH("bench",C496)),K496,""),"")</f>
        <v/>
      </c>
      <c r="P496" s="48" t="str">
        <f aca="false">IFERROR(IF(ISNUMBER(SEARCH("deadlift",C496)),K496,""),"")</f>
        <v/>
      </c>
      <c r="V496" s="48" t="n">
        <f aca="false">MAX(V495,IF(N496="",0,N496))</f>
        <v>144.666666666667</v>
      </c>
      <c r="W496" s="48" t="n">
        <f aca="false">MAX(W495,IF(O496="",0,O496))</f>
        <v>99.1666666666667</v>
      </c>
      <c r="X496" s="48" t="n">
        <f aca="false">MAX(X495,IF(P496="",0,P496))</f>
        <v>175.666666666667</v>
      </c>
      <c r="Y496" s="48" t="n">
        <f aca="false">V496+W496+X496</f>
        <v>419.5</v>
      </c>
    </row>
    <row r="497" customFormat="false" ht="15" hidden="false" customHeight="false" outlineLevel="0" collapsed="false">
      <c r="A497" s="45"/>
      <c r="B497" s="31"/>
      <c r="C497" s="32"/>
      <c r="D497" s="31"/>
      <c r="E497" s="31"/>
      <c r="F497" s="29"/>
      <c r="G497" s="29" t="str">
        <f aca="false">IF(OR(D497="",E497="",F497=""),"",D497*E497*F497)</f>
        <v/>
      </c>
      <c r="H497" s="31"/>
      <c r="I497" s="46" t="str">
        <f aca="false">IF(OR(C497="",K497=""),"",IF(K497&gt;=_xlfn.MAXIFS($K$5:K496,$C$5:C496,C497),"Yes","No"))</f>
        <v/>
      </c>
      <c r="J497" s="32"/>
      <c r="K497" s="47" t="str">
        <f aca="false">IF(OR(E497="",F497=""),"",F497*(1+E497/30))</f>
        <v/>
      </c>
      <c r="L497" s="27" t="str">
        <f aca="false">IF(A497="","",INT((A497-StartDate)/7)+1)</f>
        <v/>
      </c>
      <c r="M497" s="27" t="str">
        <f aca="false">IF(A497="","",TEXT(A497,"mmm"))</f>
        <v/>
      </c>
      <c r="N497" s="47" t="str">
        <f aca="false">IFERROR(IF(ISNUMBER(SEARCH("squat",C497)),K497,""),"")</f>
        <v/>
      </c>
      <c r="O497" s="47" t="str">
        <f aca="false">IFERROR(IF(ISNUMBER(SEARCH("bench",C497)),K497,""),"")</f>
        <v/>
      </c>
      <c r="P497" s="47" t="str">
        <f aca="false">IFERROR(IF(ISNUMBER(SEARCH("deadlift",C497)),K497,""),"")</f>
        <v/>
      </c>
      <c r="V497" s="47" t="n">
        <f aca="false">MAX(V496,IF(N497="",0,N497))</f>
        <v>144.666666666667</v>
      </c>
      <c r="W497" s="47" t="n">
        <f aca="false">MAX(W496,IF(O497="",0,O497))</f>
        <v>99.1666666666667</v>
      </c>
      <c r="X497" s="47" t="n">
        <f aca="false">MAX(X496,IF(P497="",0,P497))</f>
        <v>175.666666666667</v>
      </c>
      <c r="Y497" s="47" t="n">
        <f aca="false">V497+W497+X497</f>
        <v>419.5</v>
      </c>
    </row>
    <row r="498" customFormat="false" ht="15" hidden="false" customHeight="false" outlineLevel="0" collapsed="false">
      <c r="A498" s="45"/>
      <c r="B498" s="31"/>
      <c r="C498" s="32"/>
      <c r="D498" s="31"/>
      <c r="E498" s="31"/>
      <c r="F498" s="29"/>
      <c r="G498" s="29" t="str">
        <f aca="false">IF(OR(D498="",E498="",F498=""),"",D498*E498*F498)</f>
        <v/>
      </c>
      <c r="H498" s="31"/>
      <c r="I498" s="36" t="str">
        <f aca="false">IF(OR(C498="",K498=""),"",IF(K498&gt;=_xlfn.MAXIFS($K$5:K497,$C$5:C497,C498),"Yes","No"))</f>
        <v/>
      </c>
      <c r="J498" s="32"/>
      <c r="K498" s="48" t="str">
        <f aca="false">IF(OR(E498="",F498=""),"",F498*(1+E498/30))</f>
        <v/>
      </c>
      <c r="L498" s="36" t="str">
        <f aca="false">IF(A498="","",INT((A498-StartDate)/7)+1)</f>
        <v/>
      </c>
      <c r="M498" s="36" t="str">
        <f aca="false">IF(A498="","",TEXT(A498,"mmm"))</f>
        <v/>
      </c>
      <c r="N498" s="48" t="str">
        <f aca="false">IFERROR(IF(ISNUMBER(SEARCH("squat",C498)),K498,""),"")</f>
        <v/>
      </c>
      <c r="O498" s="48" t="str">
        <f aca="false">IFERROR(IF(ISNUMBER(SEARCH("bench",C498)),K498,""),"")</f>
        <v/>
      </c>
      <c r="P498" s="48" t="str">
        <f aca="false">IFERROR(IF(ISNUMBER(SEARCH("deadlift",C498)),K498,""),"")</f>
        <v/>
      </c>
      <c r="V498" s="48" t="n">
        <f aca="false">MAX(V497,IF(N498="",0,N498))</f>
        <v>144.666666666667</v>
      </c>
      <c r="W498" s="48" t="n">
        <f aca="false">MAX(W497,IF(O498="",0,O498))</f>
        <v>99.1666666666667</v>
      </c>
      <c r="X498" s="48" t="n">
        <f aca="false">MAX(X497,IF(P498="",0,P498))</f>
        <v>175.666666666667</v>
      </c>
      <c r="Y498" s="48" t="n">
        <f aca="false">V498+W498+X498</f>
        <v>419.5</v>
      </c>
    </row>
    <row r="499" customFormat="false" ht="15" hidden="false" customHeight="false" outlineLevel="0" collapsed="false">
      <c r="A499" s="45"/>
      <c r="B499" s="31"/>
      <c r="C499" s="32"/>
      <c r="D499" s="31"/>
      <c r="E499" s="31"/>
      <c r="F499" s="29"/>
      <c r="G499" s="29" t="str">
        <f aca="false">IF(OR(D499="",E499="",F499=""),"",D499*E499*F499)</f>
        <v/>
      </c>
      <c r="H499" s="31"/>
      <c r="I499" s="46" t="str">
        <f aca="false">IF(OR(C499="",K499=""),"",IF(K499&gt;=_xlfn.MAXIFS($K$5:K498,$C$5:C498,C499),"Yes","No"))</f>
        <v/>
      </c>
      <c r="J499" s="32"/>
      <c r="K499" s="47" t="str">
        <f aca="false">IF(OR(E499="",F499=""),"",F499*(1+E499/30))</f>
        <v/>
      </c>
      <c r="L499" s="27" t="str">
        <f aca="false">IF(A499="","",INT((A499-StartDate)/7)+1)</f>
        <v/>
      </c>
      <c r="M499" s="27" t="str">
        <f aca="false">IF(A499="","",TEXT(A499,"mmm"))</f>
        <v/>
      </c>
      <c r="N499" s="47" t="str">
        <f aca="false">IFERROR(IF(ISNUMBER(SEARCH("squat",C499)),K499,""),"")</f>
        <v/>
      </c>
      <c r="O499" s="47" t="str">
        <f aca="false">IFERROR(IF(ISNUMBER(SEARCH("bench",C499)),K499,""),"")</f>
        <v/>
      </c>
      <c r="P499" s="47" t="str">
        <f aca="false">IFERROR(IF(ISNUMBER(SEARCH("deadlift",C499)),K499,""),"")</f>
        <v/>
      </c>
      <c r="V499" s="47" t="n">
        <f aca="false">MAX(V498,IF(N499="",0,N499))</f>
        <v>144.666666666667</v>
      </c>
      <c r="W499" s="47" t="n">
        <f aca="false">MAX(W498,IF(O499="",0,O499))</f>
        <v>99.1666666666667</v>
      </c>
      <c r="X499" s="47" t="n">
        <f aca="false">MAX(X498,IF(P499="",0,P499))</f>
        <v>175.666666666667</v>
      </c>
      <c r="Y499" s="47" t="n">
        <f aca="false">V499+W499+X499</f>
        <v>419.5</v>
      </c>
    </row>
    <row r="500" customFormat="false" ht="15" hidden="false" customHeight="false" outlineLevel="0" collapsed="false">
      <c r="A500" s="45"/>
      <c r="B500" s="31"/>
      <c r="C500" s="32"/>
      <c r="D500" s="31"/>
      <c r="E500" s="31"/>
      <c r="F500" s="29"/>
      <c r="G500" s="29" t="str">
        <f aca="false">IF(OR(D500="",E500="",F500=""),"",D500*E500*F500)</f>
        <v/>
      </c>
      <c r="H500" s="31"/>
      <c r="I500" s="36" t="str">
        <f aca="false">IF(OR(C500="",K500=""),"",IF(K500&gt;=_xlfn.MAXIFS($K$5:K499,$C$5:C499,C500),"Yes","No"))</f>
        <v/>
      </c>
      <c r="J500" s="32"/>
      <c r="K500" s="48" t="str">
        <f aca="false">IF(OR(E500="",F500=""),"",F500*(1+E500/30))</f>
        <v/>
      </c>
      <c r="L500" s="36" t="str">
        <f aca="false">IF(A500="","",INT((A500-StartDate)/7)+1)</f>
        <v/>
      </c>
      <c r="M500" s="36" t="str">
        <f aca="false">IF(A500="","",TEXT(A500,"mmm"))</f>
        <v/>
      </c>
      <c r="N500" s="48" t="str">
        <f aca="false">IFERROR(IF(ISNUMBER(SEARCH("squat",C500)),K500,""),"")</f>
        <v/>
      </c>
      <c r="O500" s="48" t="str">
        <f aca="false">IFERROR(IF(ISNUMBER(SEARCH("bench",C500)),K500,""),"")</f>
        <v/>
      </c>
      <c r="P500" s="48" t="str">
        <f aca="false">IFERROR(IF(ISNUMBER(SEARCH("deadlift",C500)),K500,""),"")</f>
        <v/>
      </c>
      <c r="V500" s="48" t="n">
        <f aca="false">MAX(V499,IF(N500="",0,N500))</f>
        <v>144.666666666667</v>
      </c>
      <c r="W500" s="48" t="n">
        <f aca="false">MAX(W499,IF(O500="",0,O500))</f>
        <v>99.1666666666667</v>
      </c>
      <c r="X500" s="48" t="n">
        <f aca="false">MAX(X499,IF(P500="",0,P500))</f>
        <v>175.666666666667</v>
      </c>
      <c r="Y500" s="48" t="n">
        <f aca="false">V500+W500+X500</f>
        <v>419.5</v>
      </c>
    </row>
    <row r="501" customFormat="false" ht="15" hidden="false" customHeight="false" outlineLevel="0" collapsed="false">
      <c r="A501" s="45"/>
      <c r="B501" s="31"/>
      <c r="C501" s="32"/>
      <c r="D501" s="31"/>
      <c r="E501" s="31"/>
      <c r="F501" s="29"/>
      <c r="G501" s="29" t="str">
        <f aca="false">IF(OR(D501="",E501="",F501=""),"",D501*E501*F501)</f>
        <v/>
      </c>
      <c r="H501" s="31"/>
      <c r="I501" s="46" t="str">
        <f aca="false">IF(OR(C501="",K501=""),"",IF(K501&gt;=_xlfn.MAXIFS($K$5:K500,$C$5:C500,C501),"Yes","No"))</f>
        <v/>
      </c>
      <c r="J501" s="32"/>
      <c r="K501" s="47" t="str">
        <f aca="false">IF(OR(E501="",F501=""),"",F501*(1+E501/30))</f>
        <v/>
      </c>
      <c r="L501" s="27" t="str">
        <f aca="false">IF(A501="","",INT((A501-StartDate)/7)+1)</f>
        <v/>
      </c>
      <c r="M501" s="27" t="str">
        <f aca="false">IF(A501="","",TEXT(A501,"mmm"))</f>
        <v/>
      </c>
      <c r="N501" s="47" t="str">
        <f aca="false">IFERROR(IF(ISNUMBER(SEARCH("squat",C501)),K501,""),"")</f>
        <v/>
      </c>
      <c r="O501" s="47" t="str">
        <f aca="false">IFERROR(IF(ISNUMBER(SEARCH("bench",C501)),K501,""),"")</f>
        <v/>
      </c>
      <c r="P501" s="47" t="str">
        <f aca="false">IFERROR(IF(ISNUMBER(SEARCH("deadlift",C501)),K501,""),"")</f>
        <v/>
      </c>
      <c r="V501" s="47" t="n">
        <f aca="false">MAX(V500,IF(N501="",0,N501))</f>
        <v>144.666666666667</v>
      </c>
      <c r="W501" s="47" t="n">
        <f aca="false">MAX(W500,IF(O501="",0,O501))</f>
        <v>99.1666666666667</v>
      </c>
      <c r="X501" s="47" t="n">
        <f aca="false">MAX(X500,IF(P501="",0,P501))</f>
        <v>175.666666666667</v>
      </c>
      <c r="Y501" s="47" t="n">
        <f aca="false">V501+W501+X501</f>
        <v>419.5</v>
      </c>
    </row>
    <row r="502" customFormat="false" ht="15" hidden="false" customHeight="false" outlineLevel="0" collapsed="false">
      <c r="A502" s="45"/>
      <c r="B502" s="31"/>
      <c r="C502" s="32"/>
      <c r="D502" s="31"/>
      <c r="E502" s="31"/>
      <c r="F502" s="29"/>
      <c r="G502" s="29" t="str">
        <f aca="false">IF(OR(D502="",E502="",F502=""),"",D502*E502*F502)</f>
        <v/>
      </c>
      <c r="H502" s="31"/>
      <c r="I502" s="36" t="str">
        <f aca="false">IF(OR(C502="",K502=""),"",IF(K502&gt;=_xlfn.MAXIFS($K$5:K501,$C$5:C501,C502),"Yes","No"))</f>
        <v/>
      </c>
      <c r="J502" s="32"/>
      <c r="K502" s="48" t="str">
        <f aca="false">IF(OR(E502="",F502=""),"",F502*(1+E502/30))</f>
        <v/>
      </c>
      <c r="L502" s="36" t="str">
        <f aca="false">IF(A502="","",INT((A502-StartDate)/7)+1)</f>
        <v/>
      </c>
      <c r="M502" s="36" t="str">
        <f aca="false">IF(A502="","",TEXT(A502,"mmm"))</f>
        <v/>
      </c>
      <c r="N502" s="48" t="str">
        <f aca="false">IFERROR(IF(ISNUMBER(SEARCH("squat",C502)),K502,""),"")</f>
        <v/>
      </c>
      <c r="O502" s="48" t="str">
        <f aca="false">IFERROR(IF(ISNUMBER(SEARCH("bench",C502)),K502,""),"")</f>
        <v/>
      </c>
      <c r="P502" s="48" t="str">
        <f aca="false">IFERROR(IF(ISNUMBER(SEARCH("deadlift",C502)),K502,""),"")</f>
        <v/>
      </c>
      <c r="V502" s="48" t="n">
        <f aca="false">MAX(V501,IF(N502="",0,N502))</f>
        <v>144.666666666667</v>
      </c>
      <c r="W502" s="48" t="n">
        <f aca="false">MAX(W501,IF(O502="",0,O502))</f>
        <v>99.1666666666667</v>
      </c>
      <c r="X502" s="48" t="n">
        <f aca="false">MAX(X501,IF(P502="",0,P502))</f>
        <v>175.666666666667</v>
      </c>
      <c r="Y502" s="48" t="n">
        <f aca="false">V502+W502+X502</f>
        <v>419.5</v>
      </c>
    </row>
    <row r="503" customFormat="false" ht="15" hidden="false" customHeight="false" outlineLevel="0" collapsed="false">
      <c r="A503" s="45"/>
      <c r="B503" s="31"/>
      <c r="C503" s="32"/>
      <c r="D503" s="31"/>
      <c r="E503" s="31"/>
      <c r="F503" s="29"/>
      <c r="G503" s="29" t="str">
        <f aca="false">IF(OR(D503="",E503="",F503=""),"",D503*E503*F503)</f>
        <v/>
      </c>
      <c r="H503" s="31"/>
      <c r="I503" s="46" t="str">
        <f aca="false">IF(OR(C503="",K503=""),"",IF(K503&gt;=_xlfn.MAXIFS($K$5:K502,$C$5:C502,C503),"Yes","No"))</f>
        <v/>
      </c>
      <c r="J503" s="32"/>
      <c r="K503" s="47" t="str">
        <f aca="false">IF(OR(E503="",F503=""),"",F503*(1+E503/30))</f>
        <v/>
      </c>
      <c r="L503" s="27" t="str">
        <f aca="false">IF(A503="","",INT((A503-StartDate)/7)+1)</f>
        <v/>
      </c>
      <c r="M503" s="27" t="str">
        <f aca="false">IF(A503="","",TEXT(A503,"mmm"))</f>
        <v/>
      </c>
      <c r="N503" s="47" t="str">
        <f aca="false">IFERROR(IF(ISNUMBER(SEARCH("squat",C503)),K503,""),"")</f>
        <v/>
      </c>
      <c r="O503" s="47" t="str">
        <f aca="false">IFERROR(IF(ISNUMBER(SEARCH("bench",C503)),K503,""),"")</f>
        <v/>
      </c>
      <c r="P503" s="47" t="str">
        <f aca="false">IFERROR(IF(ISNUMBER(SEARCH("deadlift",C503)),K503,""),"")</f>
        <v/>
      </c>
      <c r="V503" s="47" t="n">
        <f aca="false">MAX(V502,IF(N503="",0,N503))</f>
        <v>144.666666666667</v>
      </c>
      <c r="W503" s="47" t="n">
        <f aca="false">MAX(W502,IF(O503="",0,O503))</f>
        <v>99.1666666666667</v>
      </c>
      <c r="X503" s="47" t="n">
        <f aca="false">MAX(X502,IF(P503="",0,P503))</f>
        <v>175.666666666667</v>
      </c>
      <c r="Y503" s="47" t="n">
        <f aca="false">V503+W503+X503</f>
        <v>419.5</v>
      </c>
    </row>
    <row r="504" customFormat="false" ht="15" hidden="false" customHeight="false" outlineLevel="0" collapsed="false">
      <c r="A504" s="45"/>
      <c r="B504" s="31"/>
      <c r="C504" s="32"/>
      <c r="D504" s="31"/>
      <c r="E504" s="31"/>
      <c r="F504" s="29"/>
      <c r="G504" s="29" t="str">
        <f aca="false">IF(OR(D504="",E504="",F504=""),"",D504*E504*F504)</f>
        <v/>
      </c>
      <c r="H504" s="31"/>
      <c r="I504" s="36" t="str">
        <f aca="false">IF(OR(C504="",K504=""),"",IF(K504&gt;=_xlfn.MAXIFS($K$5:K503,$C$5:C503,C504),"Yes","No"))</f>
        <v/>
      </c>
      <c r="J504" s="32"/>
      <c r="K504" s="48" t="str">
        <f aca="false">IF(OR(E504="",F504=""),"",F504*(1+E504/30))</f>
        <v/>
      </c>
      <c r="L504" s="36" t="str">
        <f aca="false">IF(A504="","",INT((A504-StartDate)/7)+1)</f>
        <v/>
      </c>
      <c r="M504" s="36" t="str">
        <f aca="false">IF(A504="","",TEXT(A504,"mmm"))</f>
        <v/>
      </c>
      <c r="N504" s="48" t="str">
        <f aca="false">IFERROR(IF(ISNUMBER(SEARCH("squat",C504)),K504,""),"")</f>
        <v/>
      </c>
      <c r="O504" s="48" t="str">
        <f aca="false">IFERROR(IF(ISNUMBER(SEARCH("bench",C504)),K504,""),"")</f>
        <v/>
      </c>
      <c r="P504" s="48" t="str">
        <f aca="false">IFERROR(IF(ISNUMBER(SEARCH("deadlift",C504)),K504,""),"")</f>
        <v/>
      </c>
      <c r="V504" s="48" t="n">
        <f aca="false">MAX(V503,IF(N504="",0,N504))</f>
        <v>144.666666666667</v>
      </c>
      <c r="W504" s="48" t="n">
        <f aca="false">MAX(W503,IF(O504="",0,O504))</f>
        <v>99.1666666666667</v>
      </c>
      <c r="X504" s="48" t="n">
        <f aca="false">MAX(X503,IF(P504="",0,P504))</f>
        <v>175.666666666667</v>
      </c>
      <c r="Y504" s="48" t="n">
        <f aca="false">V504+W504+X504</f>
        <v>419.5</v>
      </c>
    </row>
  </sheetData>
  <mergeCells count="9">
    <mergeCell ref="A1:P1"/>
    <mergeCell ref="A2:P2"/>
    <mergeCell ref="R4:T4"/>
    <mergeCell ref="R6:S6"/>
    <mergeCell ref="R7:S7"/>
    <mergeCell ref="R8:S8"/>
    <mergeCell ref="R9:S9"/>
    <mergeCell ref="R10:S10"/>
    <mergeCell ref="R11:S11"/>
  </mergeCells>
  <dataValidations count="2">
    <dataValidation allowBlank="true" errorStyle="stop" operator="between" showDropDown="false" showErrorMessage="false" showInputMessage="false" sqref="B5:B504" type="list">
      <formula1>WorkoutTypeList</formula1>
      <formula2>0</formula2>
    </dataValidation>
    <dataValidation allowBlank="true" errorStyle="stop" operator="between" showDropDown="false" showErrorMessage="false" showInputMessage="false" sqref="H5:H504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&amp;N&amp;R&amp;F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7" style="0" width="8"/>
    <col collapsed="false" customWidth="true" hidden="true" outlineLevel="0" max="9" min="9" style="0" width="6"/>
    <col collapsed="false" customWidth="true" hidden="true" outlineLevel="0" max="10" min="10" style="0" width="7"/>
  </cols>
  <sheetData>
    <row r="1" customFormat="false" ht="39.7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21.75" hidden="false" customHeight="true" outlineLevel="0" collapsed="false">
      <c r="A4" s="24" t="s">
        <v>37</v>
      </c>
      <c r="B4" s="24" t="s">
        <v>80</v>
      </c>
      <c r="C4" s="24" t="s">
        <v>109</v>
      </c>
      <c r="D4" s="24" t="s">
        <v>110</v>
      </c>
      <c r="E4" s="24" t="s">
        <v>111</v>
      </c>
      <c r="F4" s="24" t="s">
        <v>112</v>
      </c>
      <c r="G4" s="24" t="s">
        <v>113</v>
      </c>
      <c r="H4" s="24" t="s">
        <v>114</v>
      </c>
      <c r="I4" s="24" t="s">
        <v>39</v>
      </c>
      <c r="J4" s="24" t="s">
        <v>40</v>
      </c>
      <c r="L4" s="25" t="s">
        <v>115</v>
      </c>
      <c r="M4" s="25"/>
      <c r="N4" s="25"/>
    </row>
    <row r="5" customFormat="false" ht="15" hidden="false" customHeight="false" outlineLevel="0" collapsed="false">
      <c r="A5" s="45" t="n">
        <v>46023</v>
      </c>
      <c r="B5" s="32" t="s">
        <v>116</v>
      </c>
      <c r="C5" s="51" t="n">
        <v>5</v>
      </c>
      <c r="D5" s="52" t="n">
        <v>0.0173611111111111</v>
      </c>
      <c r="E5" s="53" t="n">
        <f aca="false">IFERROR(IF(OR(C5="",C5=0,D5=""),"",D5*1440/C5),"")</f>
        <v>5</v>
      </c>
      <c r="F5" s="31" t="n">
        <v>320</v>
      </c>
      <c r="G5" s="31" t="n">
        <v>150</v>
      </c>
      <c r="H5" s="31" t="n">
        <v>175</v>
      </c>
      <c r="I5" s="27" t="n">
        <f aca="false">IF(A5="","",INT((A5-StartDate)/7)+1)</f>
        <v>1</v>
      </c>
      <c r="J5" s="27" t="str">
        <f aca="false">IF(A5="","",TEXT(A5,"mmm"))</f>
        <v>Jan</v>
      </c>
    </row>
    <row r="6" customFormat="false" ht="15" hidden="false" customHeight="false" outlineLevel="0" collapsed="false">
      <c r="A6" s="45"/>
      <c r="B6" s="32"/>
      <c r="C6" s="51"/>
      <c r="D6" s="52"/>
      <c r="E6" s="54" t="str">
        <f aca="false">IFERROR(IF(OR(C6="",C6=0,D6=""),"",D6*1440/C6),"")</f>
        <v/>
      </c>
      <c r="F6" s="31"/>
      <c r="G6" s="31"/>
      <c r="H6" s="31"/>
      <c r="I6" s="36" t="str">
        <f aca="false">IF(A6="","",INT((A6-StartDate)/7)+1)</f>
        <v/>
      </c>
      <c r="J6" s="36" t="str">
        <f aca="false">IF(A6="","",TEXT(A6,"mmm"))</f>
        <v/>
      </c>
      <c r="L6" s="39" t="s">
        <v>117</v>
      </c>
      <c r="M6" s="39"/>
      <c r="N6" s="50" t="n">
        <f aca="true">SUMIFS($C$5:$C$304,$I$5:$I$304,INT((TODAY()-StartDate)/7)+1)</f>
        <v>0</v>
      </c>
    </row>
    <row r="7" customFormat="false" ht="15" hidden="false" customHeight="false" outlineLevel="0" collapsed="false">
      <c r="A7" s="45"/>
      <c r="B7" s="32"/>
      <c r="C7" s="51"/>
      <c r="D7" s="52"/>
      <c r="E7" s="53" t="str">
        <f aca="false">IFERROR(IF(OR(C7="",C7=0,D7=""),"",D7*1440/C7),"")</f>
        <v/>
      </c>
      <c r="F7" s="31"/>
      <c r="G7" s="31"/>
      <c r="H7" s="31"/>
      <c r="I7" s="27" t="str">
        <f aca="false">IF(A7="","",INT((A7-StartDate)/7)+1)</f>
        <v/>
      </c>
      <c r="J7" s="27" t="str">
        <f aca="false">IF(A7="","",TEXT(A7,"mmm"))</f>
        <v/>
      </c>
      <c r="L7" s="41" t="s">
        <v>118</v>
      </c>
      <c r="M7" s="41"/>
      <c r="N7" s="49" t="n">
        <f aca="true">SUMIFS($F$5:$F$304,$I$5:$I$304,INT((TODAY()-StartDate)/7)+1)</f>
        <v>0</v>
      </c>
    </row>
    <row r="8" customFormat="false" ht="15" hidden="false" customHeight="false" outlineLevel="0" collapsed="false">
      <c r="A8" s="45"/>
      <c r="B8" s="32"/>
      <c r="C8" s="51"/>
      <c r="D8" s="52"/>
      <c r="E8" s="54" t="str">
        <f aca="false">IFERROR(IF(OR(C8="",C8=0,D8=""),"",D8*1440/C8),"")</f>
        <v/>
      </c>
      <c r="F8" s="31"/>
      <c r="G8" s="31"/>
      <c r="H8" s="31"/>
      <c r="I8" s="36" t="str">
        <f aca="false">IF(A8="","",INT((A8-StartDate)/7)+1)</f>
        <v/>
      </c>
      <c r="J8" s="36" t="str">
        <f aca="false">IF(A8="","",TEXT(A8,"mmm"))</f>
        <v/>
      </c>
      <c r="L8" s="39" t="s">
        <v>119</v>
      </c>
      <c r="M8" s="39"/>
      <c r="N8" s="43" t="n">
        <f aca="true">COUNTIFS($I$5:$I$304,INT((TODAY()-StartDate)/7)+1,$B$5:$B$304,"&lt;&gt;")</f>
        <v>0</v>
      </c>
    </row>
    <row r="9" customFormat="false" ht="15" hidden="false" customHeight="false" outlineLevel="0" collapsed="false">
      <c r="A9" s="45"/>
      <c r="B9" s="32"/>
      <c r="C9" s="51"/>
      <c r="D9" s="52"/>
      <c r="E9" s="53" t="str">
        <f aca="false">IFERROR(IF(OR(C9="",C9=0,D9=""),"",D9*1440/C9),"")</f>
        <v/>
      </c>
      <c r="F9" s="31"/>
      <c r="G9" s="31"/>
      <c r="H9" s="31"/>
      <c r="I9" s="27" t="str">
        <f aca="false">IF(A9="","",INT((A9-StartDate)/7)+1)</f>
        <v/>
      </c>
      <c r="J9" s="27" t="str">
        <f aca="false">IF(A9="","",TEXT(A9,"mmm"))</f>
        <v/>
      </c>
      <c r="L9" s="41" t="s">
        <v>120</v>
      </c>
      <c r="M9" s="41"/>
      <c r="N9" s="55" t="n">
        <f aca="true">IFERROR(AVERAGEIFS($E$5:$E$304,$I$5:$I$304,INT((TODAY()-StartDate)/7)+1,$E$5:$E$304,"&gt;0"),0)</f>
        <v>0</v>
      </c>
    </row>
    <row r="10" customFormat="false" ht="15" hidden="false" customHeight="false" outlineLevel="0" collapsed="false">
      <c r="A10" s="45"/>
      <c r="B10" s="32"/>
      <c r="C10" s="51"/>
      <c r="D10" s="52"/>
      <c r="E10" s="54" t="str">
        <f aca="false">IFERROR(IF(OR(C10="",C10=0,D10=""),"",D10*1440/C10),"")</f>
        <v/>
      </c>
      <c r="F10" s="31"/>
      <c r="G10" s="31"/>
      <c r="H10" s="31"/>
      <c r="I10" s="36" t="str">
        <f aca="false">IF(A10="","",INT((A10-StartDate)/7)+1)</f>
        <v/>
      </c>
      <c r="J10" s="36" t="str">
        <f aca="false">IF(A10="","",TEXT(A10,"mmm"))</f>
        <v/>
      </c>
      <c r="L10" s="39" t="s">
        <v>121</v>
      </c>
      <c r="M10" s="39"/>
      <c r="N10" s="50" t="n">
        <f aca="true">SUMIFS($C$5:$C$304,$J$5:$J$304,TEXT(TODAY(),"mmm"))</f>
        <v>0</v>
      </c>
    </row>
    <row r="11" customFormat="false" ht="15" hidden="false" customHeight="false" outlineLevel="0" collapsed="false">
      <c r="A11" s="45"/>
      <c r="B11" s="32"/>
      <c r="C11" s="51"/>
      <c r="D11" s="52"/>
      <c r="E11" s="53" t="str">
        <f aca="false">IFERROR(IF(OR(C11="",C11=0,D11=""),"",D11*1440/C11),"")</f>
        <v/>
      </c>
      <c r="F11" s="31"/>
      <c r="G11" s="31"/>
      <c r="H11" s="31"/>
      <c r="I11" s="27" t="str">
        <f aca="false">IF(A11="","",INT((A11-StartDate)/7)+1)</f>
        <v/>
      </c>
      <c r="J11" s="27" t="str">
        <f aca="false">IF(A11="","",TEXT(A11,"mmm"))</f>
        <v/>
      </c>
      <c r="L11" s="41" t="s">
        <v>122</v>
      </c>
      <c r="M11" s="41"/>
      <c r="N11" s="49" t="n">
        <f aca="true">SUMIFS($F$5:$F$304,$J$5:$J$304,TEXT(TODAY(),"mmm"))</f>
        <v>0</v>
      </c>
    </row>
    <row r="12" customFormat="false" ht="15" hidden="false" customHeight="false" outlineLevel="0" collapsed="false">
      <c r="A12" s="45"/>
      <c r="B12" s="32"/>
      <c r="C12" s="51"/>
      <c r="D12" s="52"/>
      <c r="E12" s="54" t="str">
        <f aca="false">IFERROR(IF(OR(C12="",C12=0,D12=""),"",D12*1440/C12),"")</f>
        <v/>
      </c>
      <c r="F12" s="31"/>
      <c r="G12" s="31"/>
      <c r="H12" s="31"/>
      <c r="I12" s="36" t="str">
        <f aca="false">IF(A12="","",INT((A12-StartDate)/7)+1)</f>
        <v/>
      </c>
      <c r="J12" s="36" t="str">
        <f aca="false">IF(A12="","",TEXT(A12,"mmm"))</f>
        <v/>
      </c>
    </row>
    <row r="13" customFormat="false" ht="15" hidden="false" customHeight="false" outlineLevel="0" collapsed="false">
      <c r="A13" s="45"/>
      <c r="B13" s="32"/>
      <c r="C13" s="51"/>
      <c r="D13" s="52"/>
      <c r="E13" s="53" t="str">
        <f aca="false">IFERROR(IF(OR(C13="",C13=0,D13=""),"",D13*1440/C13),"")</f>
        <v/>
      </c>
      <c r="F13" s="31"/>
      <c r="G13" s="31"/>
      <c r="H13" s="31"/>
      <c r="I13" s="27" t="str">
        <f aca="false">IF(A13="","",INT((A13-StartDate)/7)+1)</f>
        <v/>
      </c>
      <c r="J13" s="27" t="str">
        <f aca="false">IF(A13="","",TEXT(A13,"mmm"))</f>
        <v/>
      </c>
    </row>
    <row r="14" customFormat="false" ht="15" hidden="false" customHeight="false" outlineLevel="0" collapsed="false">
      <c r="A14" s="45"/>
      <c r="B14" s="32"/>
      <c r="C14" s="51"/>
      <c r="D14" s="52"/>
      <c r="E14" s="54" t="str">
        <f aca="false">IFERROR(IF(OR(C14="",C14=0,D14=""),"",D14*1440/C14),"")</f>
        <v/>
      </c>
      <c r="F14" s="31"/>
      <c r="G14" s="31"/>
      <c r="H14" s="31"/>
      <c r="I14" s="36" t="str">
        <f aca="false">IF(A14="","",INT((A14-StartDate)/7)+1)</f>
        <v/>
      </c>
      <c r="J14" s="36" t="str">
        <f aca="false">IF(A14="","",TEXT(A14,"mmm"))</f>
        <v/>
      </c>
    </row>
    <row r="15" customFormat="false" ht="15" hidden="false" customHeight="false" outlineLevel="0" collapsed="false">
      <c r="A15" s="45"/>
      <c r="B15" s="32"/>
      <c r="C15" s="51"/>
      <c r="D15" s="52"/>
      <c r="E15" s="53" t="str">
        <f aca="false">IFERROR(IF(OR(C15="",C15=0,D15=""),"",D15*1440/C15),"")</f>
        <v/>
      </c>
      <c r="F15" s="31"/>
      <c r="G15" s="31"/>
      <c r="H15" s="31"/>
      <c r="I15" s="27" t="str">
        <f aca="false">IF(A15="","",INT((A15-StartDate)/7)+1)</f>
        <v/>
      </c>
      <c r="J15" s="27" t="str">
        <f aca="false">IF(A15="","",TEXT(A15,"mmm"))</f>
        <v/>
      </c>
    </row>
    <row r="16" customFormat="false" ht="15" hidden="false" customHeight="false" outlineLevel="0" collapsed="false">
      <c r="A16" s="45"/>
      <c r="B16" s="32"/>
      <c r="C16" s="51"/>
      <c r="D16" s="52"/>
      <c r="E16" s="54" t="str">
        <f aca="false">IFERROR(IF(OR(C16="",C16=0,D16=""),"",D16*1440/C16),"")</f>
        <v/>
      </c>
      <c r="F16" s="31"/>
      <c r="G16" s="31"/>
      <c r="H16" s="31"/>
      <c r="I16" s="36" t="str">
        <f aca="false">IF(A16="","",INT((A16-StartDate)/7)+1)</f>
        <v/>
      </c>
      <c r="J16" s="36" t="str">
        <f aca="false">IF(A16="","",TEXT(A16,"mmm"))</f>
        <v/>
      </c>
    </row>
    <row r="17" customFormat="false" ht="15" hidden="false" customHeight="false" outlineLevel="0" collapsed="false">
      <c r="A17" s="45"/>
      <c r="B17" s="32"/>
      <c r="C17" s="51"/>
      <c r="D17" s="52"/>
      <c r="E17" s="53" t="str">
        <f aca="false">IFERROR(IF(OR(C17="",C17=0,D17=""),"",D17*1440/C17),"")</f>
        <v/>
      </c>
      <c r="F17" s="31"/>
      <c r="G17" s="31"/>
      <c r="H17" s="31"/>
      <c r="I17" s="27" t="str">
        <f aca="false">IF(A17="","",INT((A17-StartDate)/7)+1)</f>
        <v/>
      </c>
      <c r="J17" s="27" t="str">
        <f aca="false">IF(A17="","",TEXT(A17,"mmm"))</f>
        <v/>
      </c>
    </row>
    <row r="18" customFormat="false" ht="15" hidden="false" customHeight="false" outlineLevel="0" collapsed="false">
      <c r="A18" s="45"/>
      <c r="B18" s="32"/>
      <c r="C18" s="51"/>
      <c r="D18" s="52"/>
      <c r="E18" s="54" t="str">
        <f aca="false">IFERROR(IF(OR(C18="",C18=0,D18=""),"",D18*1440/C18),"")</f>
        <v/>
      </c>
      <c r="F18" s="31"/>
      <c r="G18" s="31"/>
      <c r="H18" s="31"/>
      <c r="I18" s="36" t="str">
        <f aca="false">IF(A18="","",INT((A18-StartDate)/7)+1)</f>
        <v/>
      </c>
      <c r="J18" s="36" t="str">
        <f aca="false">IF(A18="","",TEXT(A18,"mmm"))</f>
        <v/>
      </c>
    </row>
    <row r="19" customFormat="false" ht="15" hidden="false" customHeight="false" outlineLevel="0" collapsed="false">
      <c r="A19" s="45"/>
      <c r="B19" s="32"/>
      <c r="C19" s="51"/>
      <c r="D19" s="52"/>
      <c r="E19" s="53" t="str">
        <f aca="false">IFERROR(IF(OR(C19="",C19=0,D19=""),"",D19*1440/C19),"")</f>
        <v/>
      </c>
      <c r="F19" s="31"/>
      <c r="G19" s="31"/>
      <c r="H19" s="31"/>
      <c r="I19" s="27" t="str">
        <f aca="false">IF(A19="","",INT((A19-StartDate)/7)+1)</f>
        <v/>
      </c>
      <c r="J19" s="27" t="str">
        <f aca="false">IF(A19="","",TEXT(A19,"mmm"))</f>
        <v/>
      </c>
    </row>
    <row r="20" customFormat="false" ht="15" hidden="false" customHeight="false" outlineLevel="0" collapsed="false">
      <c r="A20" s="45"/>
      <c r="B20" s="32"/>
      <c r="C20" s="51"/>
      <c r="D20" s="52"/>
      <c r="E20" s="54" t="str">
        <f aca="false">IFERROR(IF(OR(C20="",C20=0,D20=""),"",D20*1440/C20),"")</f>
        <v/>
      </c>
      <c r="F20" s="31"/>
      <c r="G20" s="31"/>
      <c r="H20" s="31"/>
      <c r="I20" s="36" t="str">
        <f aca="false">IF(A20="","",INT((A20-StartDate)/7)+1)</f>
        <v/>
      </c>
      <c r="J20" s="36" t="str">
        <f aca="false">IF(A20="","",TEXT(A20,"mmm"))</f>
        <v/>
      </c>
    </row>
    <row r="21" customFormat="false" ht="15" hidden="false" customHeight="false" outlineLevel="0" collapsed="false">
      <c r="A21" s="45"/>
      <c r="B21" s="32"/>
      <c r="C21" s="51"/>
      <c r="D21" s="52"/>
      <c r="E21" s="53" t="str">
        <f aca="false">IFERROR(IF(OR(C21="",C21=0,D21=""),"",D21*1440/C21),"")</f>
        <v/>
      </c>
      <c r="F21" s="31"/>
      <c r="G21" s="31"/>
      <c r="H21" s="31"/>
      <c r="I21" s="27" t="str">
        <f aca="false">IF(A21="","",INT((A21-StartDate)/7)+1)</f>
        <v/>
      </c>
      <c r="J21" s="27" t="str">
        <f aca="false">IF(A21="","",TEXT(A21,"mmm"))</f>
        <v/>
      </c>
    </row>
    <row r="22" customFormat="false" ht="15" hidden="false" customHeight="false" outlineLevel="0" collapsed="false">
      <c r="A22" s="45"/>
      <c r="B22" s="32"/>
      <c r="C22" s="51"/>
      <c r="D22" s="52"/>
      <c r="E22" s="54" t="str">
        <f aca="false">IFERROR(IF(OR(C22="",C22=0,D22=""),"",D22*1440/C22),"")</f>
        <v/>
      </c>
      <c r="F22" s="31"/>
      <c r="G22" s="31"/>
      <c r="H22" s="31"/>
      <c r="I22" s="36" t="str">
        <f aca="false">IF(A22="","",INT((A22-StartDate)/7)+1)</f>
        <v/>
      </c>
      <c r="J22" s="36" t="str">
        <f aca="false">IF(A22="","",TEXT(A22,"mmm"))</f>
        <v/>
      </c>
    </row>
    <row r="23" customFormat="false" ht="15" hidden="false" customHeight="false" outlineLevel="0" collapsed="false">
      <c r="A23" s="45"/>
      <c r="B23" s="32"/>
      <c r="C23" s="51"/>
      <c r="D23" s="52"/>
      <c r="E23" s="53" t="str">
        <f aca="false">IFERROR(IF(OR(C23="",C23=0,D23=""),"",D23*1440/C23),"")</f>
        <v/>
      </c>
      <c r="F23" s="31"/>
      <c r="G23" s="31"/>
      <c r="H23" s="31"/>
      <c r="I23" s="27" t="str">
        <f aca="false">IF(A23="","",INT((A23-StartDate)/7)+1)</f>
        <v/>
      </c>
      <c r="J23" s="27" t="str">
        <f aca="false">IF(A23="","",TEXT(A23,"mmm"))</f>
        <v/>
      </c>
    </row>
    <row r="24" customFormat="false" ht="15" hidden="false" customHeight="false" outlineLevel="0" collapsed="false">
      <c r="A24" s="45"/>
      <c r="B24" s="32"/>
      <c r="C24" s="51"/>
      <c r="D24" s="52"/>
      <c r="E24" s="54" t="str">
        <f aca="false">IFERROR(IF(OR(C24="",C24=0,D24=""),"",D24*1440/C24),"")</f>
        <v/>
      </c>
      <c r="F24" s="31"/>
      <c r="G24" s="31"/>
      <c r="H24" s="31"/>
      <c r="I24" s="36" t="str">
        <f aca="false">IF(A24="","",INT((A24-StartDate)/7)+1)</f>
        <v/>
      </c>
      <c r="J24" s="36" t="str">
        <f aca="false">IF(A24="","",TEXT(A24,"mmm"))</f>
        <v/>
      </c>
    </row>
    <row r="25" customFormat="false" ht="15" hidden="false" customHeight="false" outlineLevel="0" collapsed="false">
      <c r="A25" s="45"/>
      <c r="B25" s="32"/>
      <c r="C25" s="51"/>
      <c r="D25" s="52"/>
      <c r="E25" s="53" t="str">
        <f aca="false">IFERROR(IF(OR(C25="",C25=0,D25=""),"",D25*1440/C25),"")</f>
        <v/>
      </c>
      <c r="F25" s="31"/>
      <c r="G25" s="31"/>
      <c r="H25" s="31"/>
      <c r="I25" s="27" t="str">
        <f aca="false">IF(A25="","",INT((A25-StartDate)/7)+1)</f>
        <v/>
      </c>
      <c r="J25" s="27" t="str">
        <f aca="false">IF(A25="","",TEXT(A25,"mmm"))</f>
        <v/>
      </c>
    </row>
    <row r="26" customFormat="false" ht="15" hidden="false" customHeight="false" outlineLevel="0" collapsed="false">
      <c r="A26" s="45"/>
      <c r="B26" s="32"/>
      <c r="C26" s="51"/>
      <c r="D26" s="52"/>
      <c r="E26" s="54" t="str">
        <f aca="false">IFERROR(IF(OR(C26="",C26=0,D26=""),"",D26*1440/C26),"")</f>
        <v/>
      </c>
      <c r="F26" s="31"/>
      <c r="G26" s="31"/>
      <c r="H26" s="31"/>
      <c r="I26" s="36" t="str">
        <f aca="false">IF(A26="","",INT((A26-StartDate)/7)+1)</f>
        <v/>
      </c>
      <c r="J26" s="36" t="str">
        <f aca="false">IF(A26="","",TEXT(A26,"mmm"))</f>
        <v/>
      </c>
    </row>
    <row r="27" customFormat="false" ht="15" hidden="false" customHeight="false" outlineLevel="0" collapsed="false">
      <c r="A27" s="45"/>
      <c r="B27" s="32"/>
      <c r="C27" s="51"/>
      <c r="D27" s="52"/>
      <c r="E27" s="53" t="str">
        <f aca="false">IFERROR(IF(OR(C27="",C27=0,D27=""),"",D27*1440/C27),"")</f>
        <v/>
      </c>
      <c r="F27" s="31"/>
      <c r="G27" s="31"/>
      <c r="H27" s="31"/>
      <c r="I27" s="27" t="str">
        <f aca="false">IF(A27="","",INT((A27-StartDate)/7)+1)</f>
        <v/>
      </c>
      <c r="J27" s="27" t="str">
        <f aca="false">IF(A27="","",TEXT(A27,"mmm"))</f>
        <v/>
      </c>
    </row>
    <row r="28" customFormat="false" ht="15" hidden="false" customHeight="false" outlineLevel="0" collapsed="false">
      <c r="A28" s="45"/>
      <c r="B28" s="32"/>
      <c r="C28" s="51"/>
      <c r="D28" s="52"/>
      <c r="E28" s="54" t="str">
        <f aca="false">IFERROR(IF(OR(C28="",C28=0,D28=""),"",D28*1440/C28),"")</f>
        <v/>
      </c>
      <c r="F28" s="31"/>
      <c r="G28" s="31"/>
      <c r="H28" s="31"/>
      <c r="I28" s="36" t="str">
        <f aca="false">IF(A28="","",INT((A28-StartDate)/7)+1)</f>
        <v/>
      </c>
      <c r="J28" s="36" t="str">
        <f aca="false">IF(A28="","",TEXT(A28,"mmm"))</f>
        <v/>
      </c>
    </row>
    <row r="29" customFormat="false" ht="15" hidden="false" customHeight="false" outlineLevel="0" collapsed="false">
      <c r="A29" s="45"/>
      <c r="B29" s="32"/>
      <c r="C29" s="51"/>
      <c r="D29" s="52"/>
      <c r="E29" s="53" t="str">
        <f aca="false">IFERROR(IF(OR(C29="",C29=0,D29=""),"",D29*1440/C29),"")</f>
        <v/>
      </c>
      <c r="F29" s="31"/>
      <c r="G29" s="31"/>
      <c r="H29" s="31"/>
      <c r="I29" s="27" t="str">
        <f aca="false">IF(A29="","",INT((A29-StartDate)/7)+1)</f>
        <v/>
      </c>
      <c r="J29" s="27" t="str">
        <f aca="false">IF(A29="","",TEXT(A29,"mmm"))</f>
        <v/>
      </c>
    </row>
    <row r="30" customFormat="false" ht="15" hidden="false" customHeight="false" outlineLevel="0" collapsed="false">
      <c r="A30" s="45"/>
      <c r="B30" s="32"/>
      <c r="C30" s="51"/>
      <c r="D30" s="52"/>
      <c r="E30" s="54" t="str">
        <f aca="false">IFERROR(IF(OR(C30="",C30=0,D30=""),"",D30*1440/C30),"")</f>
        <v/>
      </c>
      <c r="F30" s="31"/>
      <c r="G30" s="31"/>
      <c r="H30" s="31"/>
      <c r="I30" s="36" t="str">
        <f aca="false">IF(A30="","",INT((A30-StartDate)/7)+1)</f>
        <v/>
      </c>
      <c r="J30" s="36" t="str">
        <f aca="false">IF(A30="","",TEXT(A30,"mmm"))</f>
        <v/>
      </c>
    </row>
    <row r="31" customFormat="false" ht="15" hidden="false" customHeight="false" outlineLevel="0" collapsed="false">
      <c r="A31" s="45"/>
      <c r="B31" s="32"/>
      <c r="C31" s="51"/>
      <c r="D31" s="52"/>
      <c r="E31" s="53" t="str">
        <f aca="false">IFERROR(IF(OR(C31="",C31=0,D31=""),"",D31*1440/C31),"")</f>
        <v/>
      </c>
      <c r="F31" s="31"/>
      <c r="G31" s="31"/>
      <c r="H31" s="31"/>
      <c r="I31" s="27" t="str">
        <f aca="false">IF(A31="","",INT((A31-StartDate)/7)+1)</f>
        <v/>
      </c>
      <c r="J31" s="27" t="str">
        <f aca="false">IF(A31="","",TEXT(A31,"mmm"))</f>
        <v/>
      </c>
    </row>
    <row r="32" customFormat="false" ht="15" hidden="false" customHeight="false" outlineLevel="0" collapsed="false">
      <c r="A32" s="45"/>
      <c r="B32" s="32"/>
      <c r="C32" s="51"/>
      <c r="D32" s="52"/>
      <c r="E32" s="54" t="str">
        <f aca="false">IFERROR(IF(OR(C32="",C32=0,D32=""),"",D32*1440/C32),"")</f>
        <v/>
      </c>
      <c r="F32" s="31"/>
      <c r="G32" s="31"/>
      <c r="H32" s="31"/>
      <c r="I32" s="36" t="str">
        <f aca="false">IF(A32="","",INT((A32-StartDate)/7)+1)</f>
        <v/>
      </c>
      <c r="J32" s="36" t="str">
        <f aca="false">IF(A32="","",TEXT(A32,"mmm"))</f>
        <v/>
      </c>
    </row>
    <row r="33" customFormat="false" ht="15" hidden="false" customHeight="false" outlineLevel="0" collapsed="false">
      <c r="A33" s="45"/>
      <c r="B33" s="32"/>
      <c r="C33" s="51"/>
      <c r="D33" s="52"/>
      <c r="E33" s="53" t="str">
        <f aca="false">IFERROR(IF(OR(C33="",C33=0,D33=""),"",D33*1440/C33),"")</f>
        <v/>
      </c>
      <c r="F33" s="31"/>
      <c r="G33" s="31"/>
      <c r="H33" s="31"/>
      <c r="I33" s="27" t="str">
        <f aca="false">IF(A33="","",INT((A33-StartDate)/7)+1)</f>
        <v/>
      </c>
      <c r="J33" s="27" t="str">
        <f aca="false">IF(A33="","",TEXT(A33,"mmm"))</f>
        <v/>
      </c>
    </row>
    <row r="34" customFormat="false" ht="15" hidden="false" customHeight="false" outlineLevel="0" collapsed="false">
      <c r="A34" s="45"/>
      <c r="B34" s="32"/>
      <c r="C34" s="51"/>
      <c r="D34" s="52"/>
      <c r="E34" s="54" t="str">
        <f aca="false">IFERROR(IF(OR(C34="",C34=0,D34=""),"",D34*1440/C34),"")</f>
        <v/>
      </c>
      <c r="F34" s="31"/>
      <c r="G34" s="31"/>
      <c r="H34" s="31"/>
      <c r="I34" s="36" t="str">
        <f aca="false">IF(A34="","",INT((A34-StartDate)/7)+1)</f>
        <v/>
      </c>
      <c r="J34" s="36" t="str">
        <f aca="false">IF(A34="","",TEXT(A34,"mmm"))</f>
        <v/>
      </c>
    </row>
    <row r="35" customFormat="false" ht="15" hidden="false" customHeight="false" outlineLevel="0" collapsed="false">
      <c r="A35" s="45"/>
      <c r="B35" s="32"/>
      <c r="C35" s="51"/>
      <c r="D35" s="52"/>
      <c r="E35" s="53" t="str">
        <f aca="false">IFERROR(IF(OR(C35="",C35=0,D35=""),"",D35*1440/C35),"")</f>
        <v/>
      </c>
      <c r="F35" s="31"/>
      <c r="G35" s="31"/>
      <c r="H35" s="31"/>
      <c r="I35" s="27" t="str">
        <f aca="false">IF(A35="","",INT((A35-StartDate)/7)+1)</f>
        <v/>
      </c>
      <c r="J35" s="27" t="str">
        <f aca="false">IF(A35="","",TEXT(A35,"mmm"))</f>
        <v/>
      </c>
    </row>
    <row r="36" customFormat="false" ht="15" hidden="false" customHeight="false" outlineLevel="0" collapsed="false">
      <c r="A36" s="45"/>
      <c r="B36" s="32"/>
      <c r="C36" s="51"/>
      <c r="D36" s="52"/>
      <c r="E36" s="54" t="str">
        <f aca="false">IFERROR(IF(OR(C36="",C36=0,D36=""),"",D36*1440/C36),"")</f>
        <v/>
      </c>
      <c r="F36" s="31"/>
      <c r="G36" s="31"/>
      <c r="H36" s="31"/>
      <c r="I36" s="36" t="str">
        <f aca="false">IF(A36="","",INT((A36-StartDate)/7)+1)</f>
        <v/>
      </c>
      <c r="J36" s="36" t="str">
        <f aca="false">IF(A36="","",TEXT(A36,"mmm"))</f>
        <v/>
      </c>
    </row>
    <row r="37" customFormat="false" ht="15" hidden="false" customHeight="false" outlineLevel="0" collapsed="false">
      <c r="A37" s="45"/>
      <c r="B37" s="32"/>
      <c r="C37" s="51"/>
      <c r="D37" s="52"/>
      <c r="E37" s="53" t="str">
        <f aca="false">IFERROR(IF(OR(C37="",C37=0,D37=""),"",D37*1440/C37),"")</f>
        <v/>
      </c>
      <c r="F37" s="31"/>
      <c r="G37" s="31"/>
      <c r="H37" s="31"/>
      <c r="I37" s="27" t="str">
        <f aca="false">IF(A37="","",INT((A37-StartDate)/7)+1)</f>
        <v/>
      </c>
      <c r="J37" s="27" t="str">
        <f aca="false">IF(A37="","",TEXT(A37,"mmm"))</f>
        <v/>
      </c>
    </row>
    <row r="38" customFormat="false" ht="15" hidden="false" customHeight="false" outlineLevel="0" collapsed="false">
      <c r="A38" s="45"/>
      <c r="B38" s="32"/>
      <c r="C38" s="51"/>
      <c r="D38" s="52"/>
      <c r="E38" s="54" t="str">
        <f aca="false">IFERROR(IF(OR(C38="",C38=0,D38=""),"",D38*1440/C38),"")</f>
        <v/>
      </c>
      <c r="F38" s="31"/>
      <c r="G38" s="31"/>
      <c r="H38" s="31"/>
      <c r="I38" s="36" t="str">
        <f aca="false">IF(A38="","",INT((A38-StartDate)/7)+1)</f>
        <v/>
      </c>
      <c r="J38" s="36" t="str">
        <f aca="false">IF(A38="","",TEXT(A38,"mmm"))</f>
        <v/>
      </c>
    </row>
    <row r="39" customFormat="false" ht="15" hidden="false" customHeight="false" outlineLevel="0" collapsed="false">
      <c r="A39" s="45"/>
      <c r="B39" s="32"/>
      <c r="C39" s="51"/>
      <c r="D39" s="52"/>
      <c r="E39" s="53" t="str">
        <f aca="false">IFERROR(IF(OR(C39="",C39=0,D39=""),"",D39*1440/C39),"")</f>
        <v/>
      </c>
      <c r="F39" s="31"/>
      <c r="G39" s="31"/>
      <c r="H39" s="31"/>
      <c r="I39" s="27" t="str">
        <f aca="false">IF(A39="","",INT((A39-StartDate)/7)+1)</f>
        <v/>
      </c>
      <c r="J39" s="27" t="str">
        <f aca="false">IF(A39="","",TEXT(A39,"mmm"))</f>
        <v/>
      </c>
    </row>
    <row r="40" customFormat="false" ht="15" hidden="false" customHeight="false" outlineLevel="0" collapsed="false">
      <c r="A40" s="45"/>
      <c r="B40" s="32"/>
      <c r="C40" s="51"/>
      <c r="D40" s="52"/>
      <c r="E40" s="54" t="str">
        <f aca="false">IFERROR(IF(OR(C40="",C40=0,D40=""),"",D40*1440/C40),"")</f>
        <v/>
      </c>
      <c r="F40" s="31"/>
      <c r="G40" s="31"/>
      <c r="H40" s="31"/>
      <c r="I40" s="36" t="str">
        <f aca="false">IF(A40="","",INT((A40-StartDate)/7)+1)</f>
        <v/>
      </c>
      <c r="J40" s="36" t="str">
        <f aca="false">IF(A40="","",TEXT(A40,"mmm"))</f>
        <v/>
      </c>
    </row>
    <row r="41" customFormat="false" ht="15" hidden="false" customHeight="false" outlineLevel="0" collapsed="false">
      <c r="A41" s="45"/>
      <c r="B41" s="32"/>
      <c r="C41" s="51"/>
      <c r="D41" s="52"/>
      <c r="E41" s="53" t="str">
        <f aca="false">IFERROR(IF(OR(C41="",C41=0,D41=""),"",D41*1440/C41),"")</f>
        <v/>
      </c>
      <c r="F41" s="31"/>
      <c r="G41" s="31"/>
      <c r="H41" s="31"/>
      <c r="I41" s="27" t="str">
        <f aca="false">IF(A41="","",INT((A41-StartDate)/7)+1)</f>
        <v/>
      </c>
      <c r="J41" s="27" t="str">
        <f aca="false">IF(A41="","",TEXT(A41,"mmm"))</f>
        <v/>
      </c>
    </row>
    <row r="42" customFormat="false" ht="15" hidden="false" customHeight="false" outlineLevel="0" collapsed="false">
      <c r="A42" s="45"/>
      <c r="B42" s="32"/>
      <c r="C42" s="51"/>
      <c r="D42" s="52"/>
      <c r="E42" s="54" t="str">
        <f aca="false">IFERROR(IF(OR(C42="",C42=0,D42=""),"",D42*1440/C42),"")</f>
        <v/>
      </c>
      <c r="F42" s="31"/>
      <c r="G42" s="31"/>
      <c r="H42" s="31"/>
      <c r="I42" s="36" t="str">
        <f aca="false">IF(A42="","",INT((A42-StartDate)/7)+1)</f>
        <v/>
      </c>
      <c r="J42" s="36" t="str">
        <f aca="false">IF(A42="","",TEXT(A42,"mmm"))</f>
        <v/>
      </c>
    </row>
    <row r="43" customFormat="false" ht="15" hidden="false" customHeight="false" outlineLevel="0" collapsed="false">
      <c r="A43" s="45"/>
      <c r="B43" s="32"/>
      <c r="C43" s="51"/>
      <c r="D43" s="52"/>
      <c r="E43" s="53" t="str">
        <f aca="false">IFERROR(IF(OR(C43="",C43=0,D43=""),"",D43*1440/C43),"")</f>
        <v/>
      </c>
      <c r="F43" s="31"/>
      <c r="G43" s="31"/>
      <c r="H43" s="31"/>
      <c r="I43" s="27" t="str">
        <f aca="false">IF(A43="","",INT((A43-StartDate)/7)+1)</f>
        <v/>
      </c>
      <c r="J43" s="27" t="str">
        <f aca="false">IF(A43="","",TEXT(A43,"mmm"))</f>
        <v/>
      </c>
    </row>
    <row r="44" customFormat="false" ht="15" hidden="false" customHeight="false" outlineLevel="0" collapsed="false">
      <c r="A44" s="45"/>
      <c r="B44" s="32"/>
      <c r="C44" s="51"/>
      <c r="D44" s="52"/>
      <c r="E44" s="54" t="str">
        <f aca="false">IFERROR(IF(OR(C44="",C44=0,D44=""),"",D44*1440/C44),"")</f>
        <v/>
      </c>
      <c r="F44" s="31"/>
      <c r="G44" s="31"/>
      <c r="H44" s="31"/>
      <c r="I44" s="36" t="str">
        <f aca="false">IF(A44="","",INT((A44-StartDate)/7)+1)</f>
        <v/>
      </c>
      <c r="J44" s="36" t="str">
        <f aca="false">IF(A44="","",TEXT(A44,"mmm"))</f>
        <v/>
      </c>
    </row>
    <row r="45" customFormat="false" ht="15" hidden="false" customHeight="false" outlineLevel="0" collapsed="false">
      <c r="A45" s="45"/>
      <c r="B45" s="32"/>
      <c r="C45" s="51"/>
      <c r="D45" s="52"/>
      <c r="E45" s="53" t="str">
        <f aca="false">IFERROR(IF(OR(C45="",C45=0,D45=""),"",D45*1440/C45),"")</f>
        <v/>
      </c>
      <c r="F45" s="31"/>
      <c r="G45" s="31"/>
      <c r="H45" s="31"/>
      <c r="I45" s="27" t="str">
        <f aca="false">IF(A45="","",INT((A45-StartDate)/7)+1)</f>
        <v/>
      </c>
      <c r="J45" s="27" t="str">
        <f aca="false">IF(A45="","",TEXT(A45,"mmm"))</f>
        <v/>
      </c>
    </row>
    <row r="46" customFormat="false" ht="15" hidden="false" customHeight="false" outlineLevel="0" collapsed="false">
      <c r="A46" s="45"/>
      <c r="B46" s="32"/>
      <c r="C46" s="51"/>
      <c r="D46" s="52"/>
      <c r="E46" s="54" t="str">
        <f aca="false">IFERROR(IF(OR(C46="",C46=0,D46=""),"",D46*1440/C46),"")</f>
        <v/>
      </c>
      <c r="F46" s="31"/>
      <c r="G46" s="31"/>
      <c r="H46" s="31"/>
      <c r="I46" s="36" t="str">
        <f aca="false">IF(A46="","",INT((A46-StartDate)/7)+1)</f>
        <v/>
      </c>
      <c r="J46" s="36" t="str">
        <f aca="false">IF(A46="","",TEXT(A46,"mmm"))</f>
        <v/>
      </c>
    </row>
    <row r="47" customFormat="false" ht="15" hidden="false" customHeight="false" outlineLevel="0" collapsed="false">
      <c r="A47" s="45"/>
      <c r="B47" s="32"/>
      <c r="C47" s="51"/>
      <c r="D47" s="52"/>
      <c r="E47" s="53" t="str">
        <f aca="false">IFERROR(IF(OR(C47="",C47=0,D47=""),"",D47*1440/C47),"")</f>
        <v/>
      </c>
      <c r="F47" s="31"/>
      <c r="G47" s="31"/>
      <c r="H47" s="31"/>
      <c r="I47" s="27" t="str">
        <f aca="false">IF(A47="","",INT((A47-StartDate)/7)+1)</f>
        <v/>
      </c>
      <c r="J47" s="27" t="str">
        <f aca="false">IF(A47="","",TEXT(A47,"mmm"))</f>
        <v/>
      </c>
    </row>
    <row r="48" customFormat="false" ht="15" hidden="false" customHeight="false" outlineLevel="0" collapsed="false">
      <c r="A48" s="45"/>
      <c r="B48" s="32"/>
      <c r="C48" s="51"/>
      <c r="D48" s="52"/>
      <c r="E48" s="54" t="str">
        <f aca="false">IFERROR(IF(OR(C48="",C48=0,D48=""),"",D48*1440/C48),"")</f>
        <v/>
      </c>
      <c r="F48" s="31"/>
      <c r="G48" s="31"/>
      <c r="H48" s="31"/>
      <c r="I48" s="36" t="str">
        <f aca="false">IF(A48="","",INT((A48-StartDate)/7)+1)</f>
        <v/>
      </c>
      <c r="J48" s="36" t="str">
        <f aca="false">IF(A48="","",TEXT(A48,"mmm"))</f>
        <v/>
      </c>
    </row>
    <row r="49" customFormat="false" ht="15" hidden="false" customHeight="false" outlineLevel="0" collapsed="false">
      <c r="A49" s="45"/>
      <c r="B49" s="32"/>
      <c r="C49" s="51"/>
      <c r="D49" s="52"/>
      <c r="E49" s="53" t="str">
        <f aca="false">IFERROR(IF(OR(C49="",C49=0,D49=""),"",D49*1440/C49),"")</f>
        <v/>
      </c>
      <c r="F49" s="31"/>
      <c r="G49" s="31"/>
      <c r="H49" s="31"/>
      <c r="I49" s="27" t="str">
        <f aca="false">IF(A49="","",INT((A49-StartDate)/7)+1)</f>
        <v/>
      </c>
      <c r="J49" s="27" t="str">
        <f aca="false">IF(A49="","",TEXT(A49,"mmm"))</f>
        <v/>
      </c>
    </row>
    <row r="50" customFormat="false" ht="15" hidden="false" customHeight="false" outlineLevel="0" collapsed="false">
      <c r="A50" s="45"/>
      <c r="B50" s="32"/>
      <c r="C50" s="51"/>
      <c r="D50" s="52"/>
      <c r="E50" s="54" t="str">
        <f aca="false">IFERROR(IF(OR(C50="",C50=0,D50=""),"",D50*1440/C50),"")</f>
        <v/>
      </c>
      <c r="F50" s="31"/>
      <c r="G50" s="31"/>
      <c r="H50" s="31"/>
      <c r="I50" s="36" t="str">
        <f aca="false">IF(A50="","",INT((A50-StartDate)/7)+1)</f>
        <v/>
      </c>
      <c r="J50" s="36" t="str">
        <f aca="false">IF(A50="","",TEXT(A50,"mmm"))</f>
        <v/>
      </c>
    </row>
    <row r="51" customFormat="false" ht="15" hidden="false" customHeight="false" outlineLevel="0" collapsed="false">
      <c r="A51" s="45"/>
      <c r="B51" s="32"/>
      <c r="C51" s="51"/>
      <c r="D51" s="52"/>
      <c r="E51" s="53" t="str">
        <f aca="false">IFERROR(IF(OR(C51="",C51=0,D51=""),"",D51*1440/C51),"")</f>
        <v/>
      </c>
      <c r="F51" s="31"/>
      <c r="G51" s="31"/>
      <c r="H51" s="31"/>
      <c r="I51" s="27" t="str">
        <f aca="false">IF(A51="","",INT((A51-StartDate)/7)+1)</f>
        <v/>
      </c>
      <c r="J51" s="27" t="str">
        <f aca="false">IF(A51="","",TEXT(A51,"mmm"))</f>
        <v/>
      </c>
    </row>
    <row r="52" customFormat="false" ht="15" hidden="false" customHeight="false" outlineLevel="0" collapsed="false">
      <c r="A52" s="45"/>
      <c r="B52" s="32"/>
      <c r="C52" s="51"/>
      <c r="D52" s="52"/>
      <c r="E52" s="54" t="str">
        <f aca="false">IFERROR(IF(OR(C52="",C52=0,D52=""),"",D52*1440/C52),"")</f>
        <v/>
      </c>
      <c r="F52" s="31"/>
      <c r="G52" s="31"/>
      <c r="H52" s="31"/>
      <c r="I52" s="36" t="str">
        <f aca="false">IF(A52="","",INT((A52-StartDate)/7)+1)</f>
        <v/>
      </c>
      <c r="J52" s="36" t="str">
        <f aca="false">IF(A52="","",TEXT(A52,"mmm"))</f>
        <v/>
      </c>
    </row>
    <row r="53" customFormat="false" ht="15" hidden="false" customHeight="false" outlineLevel="0" collapsed="false">
      <c r="A53" s="45"/>
      <c r="B53" s="32"/>
      <c r="C53" s="51"/>
      <c r="D53" s="52"/>
      <c r="E53" s="53" t="str">
        <f aca="false">IFERROR(IF(OR(C53="",C53=0,D53=""),"",D53*1440/C53),"")</f>
        <v/>
      </c>
      <c r="F53" s="31"/>
      <c r="G53" s="31"/>
      <c r="H53" s="31"/>
      <c r="I53" s="27" t="str">
        <f aca="false">IF(A53="","",INT((A53-StartDate)/7)+1)</f>
        <v/>
      </c>
      <c r="J53" s="27" t="str">
        <f aca="false">IF(A53="","",TEXT(A53,"mmm"))</f>
        <v/>
      </c>
    </row>
    <row r="54" customFormat="false" ht="15" hidden="false" customHeight="false" outlineLevel="0" collapsed="false">
      <c r="A54" s="45"/>
      <c r="B54" s="32"/>
      <c r="C54" s="51"/>
      <c r="D54" s="52"/>
      <c r="E54" s="54" t="str">
        <f aca="false">IFERROR(IF(OR(C54="",C54=0,D54=""),"",D54*1440/C54),"")</f>
        <v/>
      </c>
      <c r="F54" s="31"/>
      <c r="G54" s="31"/>
      <c r="H54" s="31"/>
      <c r="I54" s="36" t="str">
        <f aca="false">IF(A54="","",INT((A54-StartDate)/7)+1)</f>
        <v/>
      </c>
      <c r="J54" s="36" t="str">
        <f aca="false">IF(A54="","",TEXT(A54,"mmm"))</f>
        <v/>
      </c>
    </row>
    <row r="55" customFormat="false" ht="15" hidden="false" customHeight="false" outlineLevel="0" collapsed="false">
      <c r="A55" s="45"/>
      <c r="B55" s="32"/>
      <c r="C55" s="51"/>
      <c r="D55" s="52"/>
      <c r="E55" s="53" t="str">
        <f aca="false">IFERROR(IF(OR(C55="",C55=0,D55=""),"",D55*1440/C55),"")</f>
        <v/>
      </c>
      <c r="F55" s="31"/>
      <c r="G55" s="31"/>
      <c r="H55" s="31"/>
      <c r="I55" s="27" t="str">
        <f aca="false">IF(A55="","",INT((A55-StartDate)/7)+1)</f>
        <v/>
      </c>
      <c r="J55" s="27" t="str">
        <f aca="false">IF(A55="","",TEXT(A55,"mmm"))</f>
        <v/>
      </c>
    </row>
    <row r="56" customFormat="false" ht="15" hidden="false" customHeight="false" outlineLevel="0" collapsed="false">
      <c r="A56" s="45"/>
      <c r="B56" s="32"/>
      <c r="C56" s="51"/>
      <c r="D56" s="52"/>
      <c r="E56" s="54" t="str">
        <f aca="false">IFERROR(IF(OR(C56="",C56=0,D56=""),"",D56*1440/C56),"")</f>
        <v/>
      </c>
      <c r="F56" s="31"/>
      <c r="G56" s="31"/>
      <c r="H56" s="31"/>
      <c r="I56" s="36" t="str">
        <f aca="false">IF(A56="","",INT((A56-StartDate)/7)+1)</f>
        <v/>
      </c>
      <c r="J56" s="36" t="str">
        <f aca="false">IF(A56="","",TEXT(A56,"mmm"))</f>
        <v/>
      </c>
    </row>
    <row r="57" customFormat="false" ht="15" hidden="false" customHeight="false" outlineLevel="0" collapsed="false">
      <c r="A57" s="45"/>
      <c r="B57" s="32"/>
      <c r="C57" s="51"/>
      <c r="D57" s="52"/>
      <c r="E57" s="53" t="str">
        <f aca="false">IFERROR(IF(OR(C57="",C57=0,D57=""),"",D57*1440/C57),"")</f>
        <v/>
      </c>
      <c r="F57" s="31"/>
      <c r="G57" s="31"/>
      <c r="H57" s="31"/>
      <c r="I57" s="27" t="str">
        <f aca="false">IF(A57="","",INT((A57-StartDate)/7)+1)</f>
        <v/>
      </c>
      <c r="J57" s="27" t="str">
        <f aca="false">IF(A57="","",TEXT(A57,"mmm"))</f>
        <v/>
      </c>
    </row>
    <row r="58" customFormat="false" ht="15" hidden="false" customHeight="false" outlineLevel="0" collapsed="false">
      <c r="A58" s="45"/>
      <c r="B58" s="32"/>
      <c r="C58" s="51"/>
      <c r="D58" s="52"/>
      <c r="E58" s="54" t="str">
        <f aca="false">IFERROR(IF(OR(C58="",C58=0,D58=""),"",D58*1440/C58),"")</f>
        <v/>
      </c>
      <c r="F58" s="31"/>
      <c r="G58" s="31"/>
      <c r="H58" s="31"/>
      <c r="I58" s="36" t="str">
        <f aca="false">IF(A58="","",INT((A58-StartDate)/7)+1)</f>
        <v/>
      </c>
      <c r="J58" s="36" t="str">
        <f aca="false">IF(A58="","",TEXT(A58,"mmm"))</f>
        <v/>
      </c>
    </row>
    <row r="59" customFormat="false" ht="15" hidden="false" customHeight="false" outlineLevel="0" collapsed="false">
      <c r="A59" s="45"/>
      <c r="B59" s="32"/>
      <c r="C59" s="51"/>
      <c r="D59" s="52"/>
      <c r="E59" s="53" t="str">
        <f aca="false">IFERROR(IF(OR(C59="",C59=0,D59=""),"",D59*1440/C59),"")</f>
        <v/>
      </c>
      <c r="F59" s="31"/>
      <c r="G59" s="31"/>
      <c r="H59" s="31"/>
      <c r="I59" s="27" t="str">
        <f aca="false">IF(A59="","",INT((A59-StartDate)/7)+1)</f>
        <v/>
      </c>
      <c r="J59" s="27" t="str">
        <f aca="false">IF(A59="","",TEXT(A59,"mmm"))</f>
        <v/>
      </c>
    </row>
    <row r="60" customFormat="false" ht="15" hidden="false" customHeight="false" outlineLevel="0" collapsed="false">
      <c r="A60" s="45"/>
      <c r="B60" s="32"/>
      <c r="C60" s="51"/>
      <c r="D60" s="52"/>
      <c r="E60" s="54" t="str">
        <f aca="false">IFERROR(IF(OR(C60="",C60=0,D60=""),"",D60*1440/C60),"")</f>
        <v/>
      </c>
      <c r="F60" s="31"/>
      <c r="G60" s="31"/>
      <c r="H60" s="31"/>
      <c r="I60" s="36" t="str">
        <f aca="false">IF(A60="","",INT((A60-StartDate)/7)+1)</f>
        <v/>
      </c>
      <c r="J60" s="36" t="str">
        <f aca="false">IF(A60="","",TEXT(A60,"mmm"))</f>
        <v/>
      </c>
    </row>
    <row r="61" customFormat="false" ht="15" hidden="false" customHeight="false" outlineLevel="0" collapsed="false">
      <c r="A61" s="45"/>
      <c r="B61" s="32"/>
      <c r="C61" s="51"/>
      <c r="D61" s="52"/>
      <c r="E61" s="53" t="str">
        <f aca="false">IFERROR(IF(OR(C61="",C61=0,D61=""),"",D61*1440/C61),"")</f>
        <v/>
      </c>
      <c r="F61" s="31"/>
      <c r="G61" s="31"/>
      <c r="H61" s="31"/>
      <c r="I61" s="27" t="str">
        <f aca="false">IF(A61="","",INT((A61-StartDate)/7)+1)</f>
        <v/>
      </c>
      <c r="J61" s="27" t="str">
        <f aca="false">IF(A61="","",TEXT(A61,"mmm"))</f>
        <v/>
      </c>
    </row>
    <row r="62" customFormat="false" ht="15" hidden="false" customHeight="false" outlineLevel="0" collapsed="false">
      <c r="A62" s="45"/>
      <c r="B62" s="32"/>
      <c r="C62" s="51"/>
      <c r="D62" s="52"/>
      <c r="E62" s="54" t="str">
        <f aca="false">IFERROR(IF(OR(C62="",C62=0,D62=""),"",D62*1440/C62),"")</f>
        <v/>
      </c>
      <c r="F62" s="31"/>
      <c r="G62" s="31"/>
      <c r="H62" s="31"/>
      <c r="I62" s="36" t="str">
        <f aca="false">IF(A62="","",INT((A62-StartDate)/7)+1)</f>
        <v/>
      </c>
      <c r="J62" s="36" t="str">
        <f aca="false">IF(A62="","",TEXT(A62,"mmm"))</f>
        <v/>
      </c>
    </row>
    <row r="63" customFormat="false" ht="15" hidden="false" customHeight="false" outlineLevel="0" collapsed="false">
      <c r="A63" s="45"/>
      <c r="B63" s="32"/>
      <c r="C63" s="51"/>
      <c r="D63" s="52"/>
      <c r="E63" s="53" t="str">
        <f aca="false">IFERROR(IF(OR(C63="",C63=0,D63=""),"",D63*1440/C63),"")</f>
        <v/>
      </c>
      <c r="F63" s="31"/>
      <c r="G63" s="31"/>
      <c r="H63" s="31"/>
      <c r="I63" s="27" t="str">
        <f aca="false">IF(A63="","",INT((A63-StartDate)/7)+1)</f>
        <v/>
      </c>
      <c r="J63" s="27" t="str">
        <f aca="false">IF(A63="","",TEXT(A63,"mmm"))</f>
        <v/>
      </c>
    </row>
    <row r="64" customFormat="false" ht="15" hidden="false" customHeight="false" outlineLevel="0" collapsed="false">
      <c r="A64" s="45"/>
      <c r="B64" s="32"/>
      <c r="C64" s="51"/>
      <c r="D64" s="52"/>
      <c r="E64" s="54" t="str">
        <f aca="false">IFERROR(IF(OR(C64="",C64=0,D64=""),"",D64*1440/C64),"")</f>
        <v/>
      </c>
      <c r="F64" s="31"/>
      <c r="G64" s="31"/>
      <c r="H64" s="31"/>
      <c r="I64" s="36" t="str">
        <f aca="false">IF(A64="","",INT((A64-StartDate)/7)+1)</f>
        <v/>
      </c>
      <c r="J64" s="36" t="str">
        <f aca="false">IF(A64="","",TEXT(A64,"mmm"))</f>
        <v/>
      </c>
    </row>
    <row r="65" customFormat="false" ht="15" hidden="false" customHeight="false" outlineLevel="0" collapsed="false">
      <c r="A65" s="45"/>
      <c r="B65" s="32"/>
      <c r="C65" s="51"/>
      <c r="D65" s="52"/>
      <c r="E65" s="53" t="str">
        <f aca="false">IFERROR(IF(OR(C65="",C65=0,D65=""),"",D65*1440/C65),"")</f>
        <v/>
      </c>
      <c r="F65" s="31"/>
      <c r="G65" s="31"/>
      <c r="H65" s="31"/>
      <c r="I65" s="27" t="str">
        <f aca="false">IF(A65="","",INT((A65-StartDate)/7)+1)</f>
        <v/>
      </c>
      <c r="J65" s="27" t="str">
        <f aca="false">IF(A65="","",TEXT(A65,"mmm"))</f>
        <v/>
      </c>
    </row>
    <row r="66" customFormat="false" ht="15" hidden="false" customHeight="false" outlineLevel="0" collapsed="false">
      <c r="A66" s="45"/>
      <c r="B66" s="32"/>
      <c r="C66" s="51"/>
      <c r="D66" s="52"/>
      <c r="E66" s="54" t="str">
        <f aca="false">IFERROR(IF(OR(C66="",C66=0,D66=""),"",D66*1440/C66),"")</f>
        <v/>
      </c>
      <c r="F66" s="31"/>
      <c r="G66" s="31"/>
      <c r="H66" s="31"/>
      <c r="I66" s="36" t="str">
        <f aca="false">IF(A66="","",INT((A66-StartDate)/7)+1)</f>
        <v/>
      </c>
      <c r="J66" s="36" t="str">
        <f aca="false">IF(A66="","",TEXT(A66,"mmm"))</f>
        <v/>
      </c>
    </row>
    <row r="67" customFormat="false" ht="15" hidden="false" customHeight="false" outlineLevel="0" collapsed="false">
      <c r="A67" s="45"/>
      <c r="B67" s="32"/>
      <c r="C67" s="51"/>
      <c r="D67" s="52"/>
      <c r="E67" s="53" t="str">
        <f aca="false">IFERROR(IF(OR(C67="",C67=0,D67=""),"",D67*1440/C67),"")</f>
        <v/>
      </c>
      <c r="F67" s="31"/>
      <c r="G67" s="31"/>
      <c r="H67" s="31"/>
      <c r="I67" s="27" t="str">
        <f aca="false">IF(A67="","",INT((A67-StartDate)/7)+1)</f>
        <v/>
      </c>
      <c r="J67" s="27" t="str">
        <f aca="false">IF(A67="","",TEXT(A67,"mmm"))</f>
        <v/>
      </c>
    </row>
    <row r="68" customFormat="false" ht="15" hidden="false" customHeight="false" outlineLevel="0" collapsed="false">
      <c r="A68" s="45"/>
      <c r="B68" s="32"/>
      <c r="C68" s="51"/>
      <c r="D68" s="52"/>
      <c r="E68" s="54" t="str">
        <f aca="false">IFERROR(IF(OR(C68="",C68=0,D68=""),"",D68*1440/C68),"")</f>
        <v/>
      </c>
      <c r="F68" s="31"/>
      <c r="G68" s="31"/>
      <c r="H68" s="31"/>
      <c r="I68" s="36" t="str">
        <f aca="false">IF(A68="","",INT((A68-StartDate)/7)+1)</f>
        <v/>
      </c>
      <c r="J68" s="36" t="str">
        <f aca="false">IF(A68="","",TEXT(A68,"mmm"))</f>
        <v/>
      </c>
    </row>
    <row r="69" customFormat="false" ht="15" hidden="false" customHeight="false" outlineLevel="0" collapsed="false">
      <c r="A69" s="45"/>
      <c r="B69" s="32"/>
      <c r="C69" s="51"/>
      <c r="D69" s="52"/>
      <c r="E69" s="53" t="str">
        <f aca="false">IFERROR(IF(OR(C69="",C69=0,D69=""),"",D69*1440/C69),"")</f>
        <v/>
      </c>
      <c r="F69" s="31"/>
      <c r="G69" s="31"/>
      <c r="H69" s="31"/>
      <c r="I69" s="27" t="str">
        <f aca="false">IF(A69="","",INT((A69-StartDate)/7)+1)</f>
        <v/>
      </c>
      <c r="J69" s="27" t="str">
        <f aca="false">IF(A69="","",TEXT(A69,"mmm"))</f>
        <v/>
      </c>
    </row>
    <row r="70" customFormat="false" ht="15" hidden="false" customHeight="false" outlineLevel="0" collapsed="false">
      <c r="A70" s="45"/>
      <c r="B70" s="32"/>
      <c r="C70" s="51"/>
      <c r="D70" s="52"/>
      <c r="E70" s="54" t="str">
        <f aca="false">IFERROR(IF(OR(C70="",C70=0,D70=""),"",D70*1440/C70),"")</f>
        <v/>
      </c>
      <c r="F70" s="31"/>
      <c r="G70" s="31"/>
      <c r="H70" s="31"/>
      <c r="I70" s="36" t="str">
        <f aca="false">IF(A70="","",INT((A70-StartDate)/7)+1)</f>
        <v/>
      </c>
      <c r="J70" s="36" t="str">
        <f aca="false">IF(A70="","",TEXT(A70,"mmm"))</f>
        <v/>
      </c>
    </row>
    <row r="71" customFormat="false" ht="15" hidden="false" customHeight="false" outlineLevel="0" collapsed="false">
      <c r="A71" s="45"/>
      <c r="B71" s="32"/>
      <c r="C71" s="51"/>
      <c r="D71" s="52"/>
      <c r="E71" s="53" t="str">
        <f aca="false">IFERROR(IF(OR(C71="",C71=0,D71=""),"",D71*1440/C71),"")</f>
        <v/>
      </c>
      <c r="F71" s="31"/>
      <c r="G71" s="31"/>
      <c r="H71" s="31"/>
      <c r="I71" s="27" t="str">
        <f aca="false">IF(A71="","",INT((A71-StartDate)/7)+1)</f>
        <v/>
      </c>
      <c r="J71" s="27" t="str">
        <f aca="false">IF(A71="","",TEXT(A71,"mmm"))</f>
        <v/>
      </c>
    </row>
    <row r="72" customFormat="false" ht="15" hidden="false" customHeight="false" outlineLevel="0" collapsed="false">
      <c r="A72" s="45"/>
      <c r="B72" s="32"/>
      <c r="C72" s="51"/>
      <c r="D72" s="52"/>
      <c r="E72" s="54" t="str">
        <f aca="false">IFERROR(IF(OR(C72="",C72=0,D72=""),"",D72*1440/C72),"")</f>
        <v/>
      </c>
      <c r="F72" s="31"/>
      <c r="G72" s="31"/>
      <c r="H72" s="31"/>
      <c r="I72" s="36" t="str">
        <f aca="false">IF(A72="","",INT((A72-StartDate)/7)+1)</f>
        <v/>
      </c>
      <c r="J72" s="36" t="str">
        <f aca="false">IF(A72="","",TEXT(A72,"mmm"))</f>
        <v/>
      </c>
    </row>
    <row r="73" customFormat="false" ht="15" hidden="false" customHeight="false" outlineLevel="0" collapsed="false">
      <c r="A73" s="45"/>
      <c r="B73" s="32"/>
      <c r="C73" s="51"/>
      <c r="D73" s="52"/>
      <c r="E73" s="53" t="str">
        <f aca="false">IFERROR(IF(OR(C73="",C73=0,D73=""),"",D73*1440/C73),"")</f>
        <v/>
      </c>
      <c r="F73" s="31"/>
      <c r="G73" s="31"/>
      <c r="H73" s="31"/>
      <c r="I73" s="27" t="str">
        <f aca="false">IF(A73="","",INT((A73-StartDate)/7)+1)</f>
        <v/>
      </c>
      <c r="J73" s="27" t="str">
        <f aca="false">IF(A73="","",TEXT(A73,"mmm"))</f>
        <v/>
      </c>
    </row>
    <row r="74" customFormat="false" ht="15" hidden="false" customHeight="false" outlineLevel="0" collapsed="false">
      <c r="A74" s="45"/>
      <c r="B74" s="32"/>
      <c r="C74" s="51"/>
      <c r="D74" s="52"/>
      <c r="E74" s="54" t="str">
        <f aca="false">IFERROR(IF(OR(C74="",C74=0,D74=""),"",D74*1440/C74),"")</f>
        <v/>
      </c>
      <c r="F74" s="31"/>
      <c r="G74" s="31"/>
      <c r="H74" s="31"/>
      <c r="I74" s="36" t="str">
        <f aca="false">IF(A74="","",INT((A74-StartDate)/7)+1)</f>
        <v/>
      </c>
      <c r="J74" s="36" t="str">
        <f aca="false">IF(A74="","",TEXT(A74,"mmm"))</f>
        <v/>
      </c>
    </row>
    <row r="75" customFormat="false" ht="15" hidden="false" customHeight="false" outlineLevel="0" collapsed="false">
      <c r="A75" s="45"/>
      <c r="B75" s="32"/>
      <c r="C75" s="51"/>
      <c r="D75" s="52"/>
      <c r="E75" s="53" t="str">
        <f aca="false">IFERROR(IF(OR(C75="",C75=0,D75=""),"",D75*1440/C75),"")</f>
        <v/>
      </c>
      <c r="F75" s="31"/>
      <c r="G75" s="31"/>
      <c r="H75" s="31"/>
      <c r="I75" s="27" t="str">
        <f aca="false">IF(A75="","",INT((A75-StartDate)/7)+1)</f>
        <v/>
      </c>
      <c r="J75" s="27" t="str">
        <f aca="false">IF(A75="","",TEXT(A75,"mmm"))</f>
        <v/>
      </c>
    </row>
    <row r="76" customFormat="false" ht="15" hidden="false" customHeight="false" outlineLevel="0" collapsed="false">
      <c r="A76" s="45"/>
      <c r="B76" s="32"/>
      <c r="C76" s="51"/>
      <c r="D76" s="52"/>
      <c r="E76" s="54" t="str">
        <f aca="false">IFERROR(IF(OR(C76="",C76=0,D76=""),"",D76*1440/C76),"")</f>
        <v/>
      </c>
      <c r="F76" s="31"/>
      <c r="G76" s="31"/>
      <c r="H76" s="31"/>
      <c r="I76" s="36" t="str">
        <f aca="false">IF(A76="","",INT((A76-StartDate)/7)+1)</f>
        <v/>
      </c>
      <c r="J76" s="36" t="str">
        <f aca="false">IF(A76="","",TEXT(A76,"mmm"))</f>
        <v/>
      </c>
    </row>
    <row r="77" customFormat="false" ht="15" hidden="false" customHeight="false" outlineLevel="0" collapsed="false">
      <c r="A77" s="45"/>
      <c r="B77" s="32"/>
      <c r="C77" s="51"/>
      <c r="D77" s="52"/>
      <c r="E77" s="53" t="str">
        <f aca="false">IFERROR(IF(OR(C77="",C77=0,D77=""),"",D77*1440/C77),"")</f>
        <v/>
      </c>
      <c r="F77" s="31"/>
      <c r="G77" s="31"/>
      <c r="H77" s="31"/>
      <c r="I77" s="27" t="str">
        <f aca="false">IF(A77="","",INT((A77-StartDate)/7)+1)</f>
        <v/>
      </c>
      <c r="J77" s="27" t="str">
        <f aca="false">IF(A77="","",TEXT(A77,"mmm"))</f>
        <v/>
      </c>
    </row>
    <row r="78" customFormat="false" ht="15" hidden="false" customHeight="false" outlineLevel="0" collapsed="false">
      <c r="A78" s="45"/>
      <c r="B78" s="32"/>
      <c r="C78" s="51"/>
      <c r="D78" s="52"/>
      <c r="E78" s="54" t="str">
        <f aca="false">IFERROR(IF(OR(C78="",C78=0,D78=""),"",D78*1440/C78),"")</f>
        <v/>
      </c>
      <c r="F78" s="31"/>
      <c r="G78" s="31"/>
      <c r="H78" s="31"/>
      <c r="I78" s="36" t="str">
        <f aca="false">IF(A78="","",INT((A78-StartDate)/7)+1)</f>
        <v/>
      </c>
      <c r="J78" s="36" t="str">
        <f aca="false">IF(A78="","",TEXT(A78,"mmm"))</f>
        <v/>
      </c>
    </row>
    <row r="79" customFormat="false" ht="15" hidden="false" customHeight="false" outlineLevel="0" collapsed="false">
      <c r="A79" s="45"/>
      <c r="B79" s="32"/>
      <c r="C79" s="51"/>
      <c r="D79" s="52"/>
      <c r="E79" s="53" t="str">
        <f aca="false">IFERROR(IF(OR(C79="",C79=0,D79=""),"",D79*1440/C79),"")</f>
        <v/>
      </c>
      <c r="F79" s="31"/>
      <c r="G79" s="31"/>
      <c r="H79" s="31"/>
      <c r="I79" s="27" t="str">
        <f aca="false">IF(A79="","",INT((A79-StartDate)/7)+1)</f>
        <v/>
      </c>
      <c r="J79" s="27" t="str">
        <f aca="false">IF(A79="","",TEXT(A79,"mmm"))</f>
        <v/>
      </c>
    </row>
    <row r="80" customFormat="false" ht="15" hidden="false" customHeight="false" outlineLevel="0" collapsed="false">
      <c r="A80" s="45"/>
      <c r="B80" s="32"/>
      <c r="C80" s="51"/>
      <c r="D80" s="52"/>
      <c r="E80" s="54" t="str">
        <f aca="false">IFERROR(IF(OR(C80="",C80=0,D80=""),"",D80*1440/C80),"")</f>
        <v/>
      </c>
      <c r="F80" s="31"/>
      <c r="G80" s="31"/>
      <c r="H80" s="31"/>
      <c r="I80" s="36" t="str">
        <f aca="false">IF(A80="","",INT((A80-StartDate)/7)+1)</f>
        <v/>
      </c>
      <c r="J80" s="36" t="str">
        <f aca="false">IF(A80="","",TEXT(A80,"mmm"))</f>
        <v/>
      </c>
    </row>
    <row r="81" customFormat="false" ht="15" hidden="false" customHeight="false" outlineLevel="0" collapsed="false">
      <c r="A81" s="45"/>
      <c r="B81" s="32"/>
      <c r="C81" s="51"/>
      <c r="D81" s="52"/>
      <c r="E81" s="53" t="str">
        <f aca="false">IFERROR(IF(OR(C81="",C81=0,D81=""),"",D81*1440/C81),"")</f>
        <v/>
      </c>
      <c r="F81" s="31"/>
      <c r="G81" s="31"/>
      <c r="H81" s="31"/>
      <c r="I81" s="27" t="str">
        <f aca="false">IF(A81="","",INT((A81-StartDate)/7)+1)</f>
        <v/>
      </c>
      <c r="J81" s="27" t="str">
        <f aca="false">IF(A81="","",TEXT(A81,"mmm"))</f>
        <v/>
      </c>
    </row>
    <row r="82" customFormat="false" ht="15" hidden="false" customHeight="false" outlineLevel="0" collapsed="false">
      <c r="A82" s="45"/>
      <c r="B82" s="32"/>
      <c r="C82" s="51"/>
      <c r="D82" s="52"/>
      <c r="E82" s="54" t="str">
        <f aca="false">IFERROR(IF(OR(C82="",C82=0,D82=""),"",D82*1440/C82),"")</f>
        <v/>
      </c>
      <c r="F82" s="31"/>
      <c r="G82" s="31"/>
      <c r="H82" s="31"/>
      <c r="I82" s="36" t="str">
        <f aca="false">IF(A82="","",INT((A82-StartDate)/7)+1)</f>
        <v/>
      </c>
      <c r="J82" s="36" t="str">
        <f aca="false">IF(A82="","",TEXT(A82,"mmm"))</f>
        <v/>
      </c>
    </row>
    <row r="83" customFormat="false" ht="15" hidden="false" customHeight="false" outlineLevel="0" collapsed="false">
      <c r="A83" s="45"/>
      <c r="B83" s="32"/>
      <c r="C83" s="51"/>
      <c r="D83" s="52"/>
      <c r="E83" s="53" t="str">
        <f aca="false">IFERROR(IF(OR(C83="",C83=0,D83=""),"",D83*1440/C83),"")</f>
        <v/>
      </c>
      <c r="F83" s="31"/>
      <c r="G83" s="31"/>
      <c r="H83" s="31"/>
      <c r="I83" s="27" t="str">
        <f aca="false">IF(A83="","",INT((A83-StartDate)/7)+1)</f>
        <v/>
      </c>
      <c r="J83" s="27" t="str">
        <f aca="false">IF(A83="","",TEXT(A83,"mmm"))</f>
        <v/>
      </c>
    </row>
    <row r="84" customFormat="false" ht="15" hidden="false" customHeight="false" outlineLevel="0" collapsed="false">
      <c r="A84" s="45"/>
      <c r="B84" s="32"/>
      <c r="C84" s="51"/>
      <c r="D84" s="52"/>
      <c r="E84" s="54" t="str">
        <f aca="false">IFERROR(IF(OR(C84="",C84=0,D84=""),"",D84*1440/C84),"")</f>
        <v/>
      </c>
      <c r="F84" s="31"/>
      <c r="G84" s="31"/>
      <c r="H84" s="31"/>
      <c r="I84" s="36" t="str">
        <f aca="false">IF(A84="","",INT((A84-StartDate)/7)+1)</f>
        <v/>
      </c>
      <c r="J84" s="36" t="str">
        <f aca="false">IF(A84="","",TEXT(A84,"mmm"))</f>
        <v/>
      </c>
    </row>
    <row r="85" customFormat="false" ht="15" hidden="false" customHeight="false" outlineLevel="0" collapsed="false">
      <c r="A85" s="45"/>
      <c r="B85" s="32"/>
      <c r="C85" s="51"/>
      <c r="D85" s="52"/>
      <c r="E85" s="53" t="str">
        <f aca="false">IFERROR(IF(OR(C85="",C85=0,D85=""),"",D85*1440/C85),"")</f>
        <v/>
      </c>
      <c r="F85" s="31"/>
      <c r="G85" s="31"/>
      <c r="H85" s="31"/>
      <c r="I85" s="27" t="str">
        <f aca="false">IF(A85="","",INT((A85-StartDate)/7)+1)</f>
        <v/>
      </c>
      <c r="J85" s="27" t="str">
        <f aca="false">IF(A85="","",TEXT(A85,"mmm"))</f>
        <v/>
      </c>
    </row>
    <row r="86" customFormat="false" ht="15" hidden="false" customHeight="false" outlineLevel="0" collapsed="false">
      <c r="A86" s="45"/>
      <c r="B86" s="32"/>
      <c r="C86" s="51"/>
      <c r="D86" s="52"/>
      <c r="E86" s="54" t="str">
        <f aca="false">IFERROR(IF(OR(C86="",C86=0,D86=""),"",D86*1440/C86),"")</f>
        <v/>
      </c>
      <c r="F86" s="31"/>
      <c r="G86" s="31"/>
      <c r="H86" s="31"/>
      <c r="I86" s="36" t="str">
        <f aca="false">IF(A86="","",INT((A86-StartDate)/7)+1)</f>
        <v/>
      </c>
      <c r="J86" s="36" t="str">
        <f aca="false">IF(A86="","",TEXT(A86,"mmm"))</f>
        <v/>
      </c>
    </row>
    <row r="87" customFormat="false" ht="15" hidden="false" customHeight="false" outlineLevel="0" collapsed="false">
      <c r="A87" s="45"/>
      <c r="B87" s="32"/>
      <c r="C87" s="51"/>
      <c r="D87" s="52"/>
      <c r="E87" s="53" t="str">
        <f aca="false">IFERROR(IF(OR(C87="",C87=0,D87=""),"",D87*1440/C87),"")</f>
        <v/>
      </c>
      <c r="F87" s="31"/>
      <c r="G87" s="31"/>
      <c r="H87" s="31"/>
      <c r="I87" s="27" t="str">
        <f aca="false">IF(A87="","",INT((A87-StartDate)/7)+1)</f>
        <v/>
      </c>
      <c r="J87" s="27" t="str">
        <f aca="false">IF(A87="","",TEXT(A87,"mmm"))</f>
        <v/>
      </c>
    </row>
    <row r="88" customFormat="false" ht="15" hidden="false" customHeight="false" outlineLevel="0" collapsed="false">
      <c r="A88" s="45"/>
      <c r="B88" s="32"/>
      <c r="C88" s="51"/>
      <c r="D88" s="52"/>
      <c r="E88" s="54" t="str">
        <f aca="false">IFERROR(IF(OR(C88="",C88=0,D88=""),"",D88*1440/C88),"")</f>
        <v/>
      </c>
      <c r="F88" s="31"/>
      <c r="G88" s="31"/>
      <c r="H88" s="31"/>
      <c r="I88" s="36" t="str">
        <f aca="false">IF(A88="","",INT((A88-StartDate)/7)+1)</f>
        <v/>
      </c>
      <c r="J88" s="36" t="str">
        <f aca="false">IF(A88="","",TEXT(A88,"mmm"))</f>
        <v/>
      </c>
    </row>
    <row r="89" customFormat="false" ht="15" hidden="false" customHeight="false" outlineLevel="0" collapsed="false">
      <c r="A89" s="45"/>
      <c r="B89" s="32"/>
      <c r="C89" s="51"/>
      <c r="D89" s="52"/>
      <c r="E89" s="53" t="str">
        <f aca="false">IFERROR(IF(OR(C89="",C89=0,D89=""),"",D89*1440/C89),"")</f>
        <v/>
      </c>
      <c r="F89" s="31"/>
      <c r="G89" s="31"/>
      <c r="H89" s="31"/>
      <c r="I89" s="27" t="str">
        <f aca="false">IF(A89="","",INT((A89-StartDate)/7)+1)</f>
        <v/>
      </c>
      <c r="J89" s="27" t="str">
        <f aca="false">IF(A89="","",TEXT(A89,"mmm"))</f>
        <v/>
      </c>
    </row>
    <row r="90" customFormat="false" ht="15" hidden="false" customHeight="false" outlineLevel="0" collapsed="false">
      <c r="A90" s="45"/>
      <c r="B90" s="32"/>
      <c r="C90" s="51"/>
      <c r="D90" s="52"/>
      <c r="E90" s="54" t="str">
        <f aca="false">IFERROR(IF(OR(C90="",C90=0,D90=""),"",D90*1440/C90),"")</f>
        <v/>
      </c>
      <c r="F90" s="31"/>
      <c r="G90" s="31"/>
      <c r="H90" s="31"/>
      <c r="I90" s="36" t="str">
        <f aca="false">IF(A90="","",INT((A90-StartDate)/7)+1)</f>
        <v/>
      </c>
      <c r="J90" s="36" t="str">
        <f aca="false">IF(A90="","",TEXT(A90,"mmm"))</f>
        <v/>
      </c>
    </row>
    <row r="91" customFormat="false" ht="15" hidden="false" customHeight="false" outlineLevel="0" collapsed="false">
      <c r="A91" s="45"/>
      <c r="B91" s="32"/>
      <c r="C91" s="51"/>
      <c r="D91" s="52"/>
      <c r="E91" s="53" t="str">
        <f aca="false">IFERROR(IF(OR(C91="",C91=0,D91=""),"",D91*1440/C91),"")</f>
        <v/>
      </c>
      <c r="F91" s="31"/>
      <c r="G91" s="31"/>
      <c r="H91" s="31"/>
      <c r="I91" s="27" t="str">
        <f aca="false">IF(A91="","",INT((A91-StartDate)/7)+1)</f>
        <v/>
      </c>
      <c r="J91" s="27" t="str">
        <f aca="false">IF(A91="","",TEXT(A91,"mmm"))</f>
        <v/>
      </c>
    </row>
    <row r="92" customFormat="false" ht="15" hidden="false" customHeight="false" outlineLevel="0" collapsed="false">
      <c r="A92" s="45"/>
      <c r="B92" s="32"/>
      <c r="C92" s="51"/>
      <c r="D92" s="52"/>
      <c r="E92" s="54" t="str">
        <f aca="false">IFERROR(IF(OR(C92="",C92=0,D92=""),"",D92*1440/C92),"")</f>
        <v/>
      </c>
      <c r="F92" s="31"/>
      <c r="G92" s="31"/>
      <c r="H92" s="31"/>
      <c r="I92" s="36" t="str">
        <f aca="false">IF(A92="","",INT((A92-StartDate)/7)+1)</f>
        <v/>
      </c>
      <c r="J92" s="36" t="str">
        <f aca="false">IF(A92="","",TEXT(A92,"mmm"))</f>
        <v/>
      </c>
    </row>
    <row r="93" customFormat="false" ht="15" hidden="false" customHeight="false" outlineLevel="0" collapsed="false">
      <c r="A93" s="45"/>
      <c r="B93" s="32"/>
      <c r="C93" s="51"/>
      <c r="D93" s="52"/>
      <c r="E93" s="53" t="str">
        <f aca="false">IFERROR(IF(OR(C93="",C93=0,D93=""),"",D93*1440/C93),"")</f>
        <v/>
      </c>
      <c r="F93" s="31"/>
      <c r="G93" s="31"/>
      <c r="H93" s="31"/>
      <c r="I93" s="27" t="str">
        <f aca="false">IF(A93="","",INT((A93-StartDate)/7)+1)</f>
        <v/>
      </c>
      <c r="J93" s="27" t="str">
        <f aca="false">IF(A93="","",TEXT(A93,"mmm"))</f>
        <v/>
      </c>
    </row>
    <row r="94" customFormat="false" ht="15" hidden="false" customHeight="false" outlineLevel="0" collapsed="false">
      <c r="A94" s="45"/>
      <c r="B94" s="32"/>
      <c r="C94" s="51"/>
      <c r="D94" s="52"/>
      <c r="E94" s="54" t="str">
        <f aca="false">IFERROR(IF(OR(C94="",C94=0,D94=""),"",D94*1440/C94),"")</f>
        <v/>
      </c>
      <c r="F94" s="31"/>
      <c r="G94" s="31"/>
      <c r="H94" s="31"/>
      <c r="I94" s="36" t="str">
        <f aca="false">IF(A94="","",INT((A94-StartDate)/7)+1)</f>
        <v/>
      </c>
      <c r="J94" s="36" t="str">
        <f aca="false">IF(A94="","",TEXT(A94,"mmm"))</f>
        <v/>
      </c>
    </row>
    <row r="95" customFormat="false" ht="15" hidden="false" customHeight="false" outlineLevel="0" collapsed="false">
      <c r="A95" s="45"/>
      <c r="B95" s="32"/>
      <c r="C95" s="51"/>
      <c r="D95" s="52"/>
      <c r="E95" s="53" t="str">
        <f aca="false">IFERROR(IF(OR(C95="",C95=0,D95=""),"",D95*1440/C95),"")</f>
        <v/>
      </c>
      <c r="F95" s="31"/>
      <c r="G95" s="31"/>
      <c r="H95" s="31"/>
      <c r="I95" s="27" t="str">
        <f aca="false">IF(A95="","",INT((A95-StartDate)/7)+1)</f>
        <v/>
      </c>
      <c r="J95" s="27" t="str">
        <f aca="false">IF(A95="","",TEXT(A95,"mmm"))</f>
        <v/>
      </c>
    </row>
    <row r="96" customFormat="false" ht="15" hidden="false" customHeight="false" outlineLevel="0" collapsed="false">
      <c r="A96" s="45"/>
      <c r="B96" s="32"/>
      <c r="C96" s="51"/>
      <c r="D96" s="52"/>
      <c r="E96" s="54" t="str">
        <f aca="false">IFERROR(IF(OR(C96="",C96=0,D96=""),"",D96*1440/C96),"")</f>
        <v/>
      </c>
      <c r="F96" s="31"/>
      <c r="G96" s="31"/>
      <c r="H96" s="31"/>
      <c r="I96" s="36" t="str">
        <f aca="false">IF(A96="","",INT((A96-StartDate)/7)+1)</f>
        <v/>
      </c>
      <c r="J96" s="36" t="str">
        <f aca="false">IF(A96="","",TEXT(A96,"mmm"))</f>
        <v/>
      </c>
    </row>
    <row r="97" customFormat="false" ht="15" hidden="false" customHeight="false" outlineLevel="0" collapsed="false">
      <c r="A97" s="45"/>
      <c r="B97" s="32"/>
      <c r="C97" s="51"/>
      <c r="D97" s="52"/>
      <c r="E97" s="53" t="str">
        <f aca="false">IFERROR(IF(OR(C97="",C97=0,D97=""),"",D97*1440/C97),"")</f>
        <v/>
      </c>
      <c r="F97" s="31"/>
      <c r="G97" s="31"/>
      <c r="H97" s="31"/>
      <c r="I97" s="27" t="str">
        <f aca="false">IF(A97="","",INT((A97-StartDate)/7)+1)</f>
        <v/>
      </c>
      <c r="J97" s="27" t="str">
        <f aca="false">IF(A97="","",TEXT(A97,"mmm"))</f>
        <v/>
      </c>
    </row>
    <row r="98" customFormat="false" ht="15" hidden="false" customHeight="false" outlineLevel="0" collapsed="false">
      <c r="A98" s="45"/>
      <c r="B98" s="32"/>
      <c r="C98" s="51"/>
      <c r="D98" s="52"/>
      <c r="E98" s="54" t="str">
        <f aca="false">IFERROR(IF(OR(C98="",C98=0,D98=""),"",D98*1440/C98),"")</f>
        <v/>
      </c>
      <c r="F98" s="31"/>
      <c r="G98" s="31"/>
      <c r="H98" s="31"/>
      <c r="I98" s="36" t="str">
        <f aca="false">IF(A98="","",INT((A98-StartDate)/7)+1)</f>
        <v/>
      </c>
      <c r="J98" s="36" t="str">
        <f aca="false">IF(A98="","",TEXT(A98,"mmm"))</f>
        <v/>
      </c>
    </row>
    <row r="99" customFormat="false" ht="15" hidden="false" customHeight="false" outlineLevel="0" collapsed="false">
      <c r="A99" s="45"/>
      <c r="B99" s="32"/>
      <c r="C99" s="51"/>
      <c r="D99" s="52"/>
      <c r="E99" s="53" t="str">
        <f aca="false">IFERROR(IF(OR(C99="",C99=0,D99=""),"",D99*1440/C99),"")</f>
        <v/>
      </c>
      <c r="F99" s="31"/>
      <c r="G99" s="31"/>
      <c r="H99" s="31"/>
      <c r="I99" s="27" t="str">
        <f aca="false">IF(A99="","",INT((A99-StartDate)/7)+1)</f>
        <v/>
      </c>
      <c r="J99" s="27" t="str">
        <f aca="false">IF(A99="","",TEXT(A99,"mmm"))</f>
        <v/>
      </c>
    </row>
    <row r="100" customFormat="false" ht="15" hidden="false" customHeight="false" outlineLevel="0" collapsed="false">
      <c r="A100" s="45"/>
      <c r="B100" s="32"/>
      <c r="C100" s="51"/>
      <c r="D100" s="52"/>
      <c r="E100" s="54" t="str">
        <f aca="false">IFERROR(IF(OR(C100="",C100=0,D100=""),"",D100*1440/C100),"")</f>
        <v/>
      </c>
      <c r="F100" s="31"/>
      <c r="G100" s="31"/>
      <c r="H100" s="31"/>
      <c r="I100" s="36" t="str">
        <f aca="false">IF(A100="","",INT((A100-StartDate)/7)+1)</f>
        <v/>
      </c>
      <c r="J100" s="36" t="str">
        <f aca="false">IF(A100="","",TEXT(A100,"mmm"))</f>
        <v/>
      </c>
    </row>
    <row r="101" customFormat="false" ht="15" hidden="false" customHeight="false" outlineLevel="0" collapsed="false">
      <c r="A101" s="45"/>
      <c r="B101" s="32"/>
      <c r="C101" s="51"/>
      <c r="D101" s="52"/>
      <c r="E101" s="53" t="str">
        <f aca="false">IFERROR(IF(OR(C101="",C101=0,D101=""),"",D101*1440/C101),"")</f>
        <v/>
      </c>
      <c r="F101" s="31"/>
      <c r="G101" s="31"/>
      <c r="H101" s="31"/>
      <c r="I101" s="27" t="str">
        <f aca="false">IF(A101="","",INT((A101-StartDate)/7)+1)</f>
        <v/>
      </c>
      <c r="J101" s="27" t="str">
        <f aca="false">IF(A101="","",TEXT(A101,"mmm"))</f>
        <v/>
      </c>
    </row>
    <row r="102" customFormat="false" ht="15" hidden="false" customHeight="false" outlineLevel="0" collapsed="false">
      <c r="A102" s="45"/>
      <c r="B102" s="32"/>
      <c r="C102" s="51"/>
      <c r="D102" s="52"/>
      <c r="E102" s="54" t="str">
        <f aca="false">IFERROR(IF(OR(C102="",C102=0,D102=""),"",D102*1440/C102),"")</f>
        <v/>
      </c>
      <c r="F102" s="31"/>
      <c r="G102" s="31"/>
      <c r="H102" s="31"/>
      <c r="I102" s="36" t="str">
        <f aca="false">IF(A102="","",INT((A102-StartDate)/7)+1)</f>
        <v/>
      </c>
      <c r="J102" s="36" t="str">
        <f aca="false">IF(A102="","",TEXT(A102,"mmm"))</f>
        <v/>
      </c>
    </row>
    <row r="103" customFormat="false" ht="15" hidden="false" customHeight="false" outlineLevel="0" collapsed="false">
      <c r="A103" s="45"/>
      <c r="B103" s="32"/>
      <c r="C103" s="51"/>
      <c r="D103" s="52"/>
      <c r="E103" s="53" t="str">
        <f aca="false">IFERROR(IF(OR(C103="",C103=0,D103=""),"",D103*1440/C103),"")</f>
        <v/>
      </c>
      <c r="F103" s="31"/>
      <c r="G103" s="31"/>
      <c r="H103" s="31"/>
      <c r="I103" s="27" t="str">
        <f aca="false">IF(A103="","",INT((A103-StartDate)/7)+1)</f>
        <v/>
      </c>
      <c r="J103" s="27" t="str">
        <f aca="false">IF(A103="","",TEXT(A103,"mmm"))</f>
        <v/>
      </c>
    </row>
    <row r="104" customFormat="false" ht="15" hidden="false" customHeight="false" outlineLevel="0" collapsed="false">
      <c r="A104" s="45"/>
      <c r="B104" s="32"/>
      <c r="C104" s="51"/>
      <c r="D104" s="52"/>
      <c r="E104" s="54" t="str">
        <f aca="false">IFERROR(IF(OR(C104="",C104=0,D104=""),"",D104*1440/C104),"")</f>
        <v/>
      </c>
      <c r="F104" s="31"/>
      <c r="G104" s="31"/>
      <c r="H104" s="31"/>
      <c r="I104" s="36" t="str">
        <f aca="false">IF(A104="","",INT((A104-StartDate)/7)+1)</f>
        <v/>
      </c>
      <c r="J104" s="36" t="str">
        <f aca="false">IF(A104="","",TEXT(A104,"mmm"))</f>
        <v/>
      </c>
    </row>
    <row r="105" customFormat="false" ht="15" hidden="false" customHeight="false" outlineLevel="0" collapsed="false">
      <c r="A105" s="45"/>
      <c r="B105" s="32"/>
      <c r="C105" s="51"/>
      <c r="D105" s="52"/>
      <c r="E105" s="53" t="str">
        <f aca="false">IFERROR(IF(OR(C105="",C105=0,D105=""),"",D105*1440/C105),"")</f>
        <v/>
      </c>
      <c r="F105" s="31"/>
      <c r="G105" s="31"/>
      <c r="H105" s="31"/>
      <c r="I105" s="27" t="str">
        <f aca="false">IF(A105="","",INT((A105-StartDate)/7)+1)</f>
        <v/>
      </c>
      <c r="J105" s="27" t="str">
        <f aca="false">IF(A105="","",TEXT(A105,"mmm"))</f>
        <v/>
      </c>
    </row>
    <row r="106" customFormat="false" ht="15" hidden="false" customHeight="false" outlineLevel="0" collapsed="false">
      <c r="A106" s="45"/>
      <c r="B106" s="32"/>
      <c r="C106" s="51"/>
      <c r="D106" s="52"/>
      <c r="E106" s="54" t="str">
        <f aca="false">IFERROR(IF(OR(C106="",C106=0,D106=""),"",D106*1440/C106),"")</f>
        <v/>
      </c>
      <c r="F106" s="31"/>
      <c r="G106" s="31"/>
      <c r="H106" s="31"/>
      <c r="I106" s="36" t="str">
        <f aca="false">IF(A106="","",INT((A106-StartDate)/7)+1)</f>
        <v/>
      </c>
      <c r="J106" s="36" t="str">
        <f aca="false">IF(A106="","",TEXT(A106,"mmm"))</f>
        <v/>
      </c>
    </row>
    <row r="107" customFormat="false" ht="15" hidden="false" customHeight="false" outlineLevel="0" collapsed="false">
      <c r="A107" s="45"/>
      <c r="B107" s="32"/>
      <c r="C107" s="51"/>
      <c r="D107" s="52"/>
      <c r="E107" s="53" t="str">
        <f aca="false">IFERROR(IF(OR(C107="",C107=0,D107=""),"",D107*1440/C107),"")</f>
        <v/>
      </c>
      <c r="F107" s="31"/>
      <c r="G107" s="31"/>
      <c r="H107" s="31"/>
      <c r="I107" s="27" t="str">
        <f aca="false">IF(A107="","",INT((A107-StartDate)/7)+1)</f>
        <v/>
      </c>
      <c r="J107" s="27" t="str">
        <f aca="false">IF(A107="","",TEXT(A107,"mmm"))</f>
        <v/>
      </c>
    </row>
    <row r="108" customFormat="false" ht="15" hidden="false" customHeight="false" outlineLevel="0" collapsed="false">
      <c r="A108" s="45"/>
      <c r="B108" s="32"/>
      <c r="C108" s="51"/>
      <c r="D108" s="52"/>
      <c r="E108" s="54" t="str">
        <f aca="false">IFERROR(IF(OR(C108="",C108=0,D108=""),"",D108*1440/C108),"")</f>
        <v/>
      </c>
      <c r="F108" s="31"/>
      <c r="G108" s="31"/>
      <c r="H108" s="31"/>
      <c r="I108" s="36" t="str">
        <f aca="false">IF(A108="","",INT((A108-StartDate)/7)+1)</f>
        <v/>
      </c>
      <c r="J108" s="36" t="str">
        <f aca="false">IF(A108="","",TEXT(A108,"mmm"))</f>
        <v/>
      </c>
    </row>
    <row r="109" customFormat="false" ht="15" hidden="false" customHeight="false" outlineLevel="0" collapsed="false">
      <c r="A109" s="45"/>
      <c r="B109" s="32"/>
      <c r="C109" s="51"/>
      <c r="D109" s="52"/>
      <c r="E109" s="53" t="str">
        <f aca="false">IFERROR(IF(OR(C109="",C109=0,D109=""),"",D109*1440/C109),"")</f>
        <v/>
      </c>
      <c r="F109" s="31"/>
      <c r="G109" s="31"/>
      <c r="H109" s="31"/>
      <c r="I109" s="27" t="str">
        <f aca="false">IF(A109="","",INT((A109-StartDate)/7)+1)</f>
        <v/>
      </c>
      <c r="J109" s="27" t="str">
        <f aca="false">IF(A109="","",TEXT(A109,"mmm"))</f>
        <v/>
      </c>
    </row>
    <row r="110" customFormat="false" ht="15" hidden="false" customHeight="false" outlineLevel="0" collapsed="false">
      <c r="A110" s="45"/>
      <c r="B110" s="32"/>
      <c r="C110" s="51"/>
      <c r="D110" s="52"/>
      <c r="E110" s="54" t="str">
        <f aca="false">IFERROR(IF(OR(C110="",C110=0,D110=""),"",D110*1440/C110),"")</f>
        <v/>
      </c>
      <c r="F110" s="31"/>
      <c r="G110" s="31"/>
      <c r="H110" s="31"/>
      <c r="I110" s="36" t="str">
        <f aca="false">IF(A110="","",INT((A110-StartDate)/7)+1)</f>
        <v/>
      </c>
      <c r="J110" s="36" t="str">
        <f aca="false">IF(A110="","",TEXT(A110,"mmm"))</f>
        <v/>
      </c>
    </row>
    <row r="111" customFormat="false" ht="15" hidden="false" customHeight="false" outlineLevel="0" collapsed="false">
      <c r="A111" s="45"/>
      <c r="B111" s="32"/>
      <c r="C111" s="51"/>
      <c r="D111" s="52"/>
      <c r="E111" s="53" t="str">
        <f aca="false">IFERROR(IF(OR(C111="",C111=0,D111=""),"",D111*1440/C111),"")</f>
        <v/>
      </c>
      <c r="F111" s="31"/>
      <c r="G111" s="31"/>
      <c r="H111" s="31"/>
      <c r="I111" s="27" t="str">
        <f aca="false">IF(A111="","",INT((A111-StartDate)/7)+1)</f>
        <v/>
      </c>
      <c r="J111" s="27" t="str">
        <f aca="false">IF(A111="","",TEXT(A111,"mmm"))</f>
        <v/>
      </c>
    </row>
    <row r="112" customFormat="false" ht="15" hidden="false" customHeight="false" outlineLevel="0" collapsed="false">
      <c r="A112" s="45"/>
      <c r="B112" s="32"/>
      <c r="C112" s="51"/>
      <c r="D112" s="52"/>
      <c r="E112" s="54" t="str">
        <f aca="false">IFERROR(IF(OR(C112="",C112=0,D112=""),"",D112*1440/C112),"")</f>
        <v/>
      </c>
      <c r="F112" s="31"/>
      <c r="G112" s="31"/>
      <c r="H112" s="31"/>
      <c r="I112" s="36" t="str">
        <f aca="false">IF(A112="","",INT((A112-StartDate)/7)+1)</f>
        <v/>
      </c>
      <c r="J112" s="36" t="str">
        <f aca="false">IF(A112="","",TEXT(A112,"mmm"))</f>
        <v/>
      </c>
    </row>
    <row r="113" customFormat="false" ht="15" hidden="false" customHeight="false" outlineLevel="0" collapsed="false">
      <c r="A113" s="45"/>
      <c r="B113" s="32"/>
      <c r="C113" s="51"/>
      <c r="D113" s="52"/>
      <c r="E113" s="53" t="str">
        <f aca="false">IFERROR(IF(OR(C113="",C113=0,D113=""),"",D113*1440/C113),"")</f>
        <v/>
      </c>
      <c r="F113" s="31"/>
      <c r="G113" s="31"/>
      <c r="H113" s="31"/>
      <c r="I113" s="27" t="str">
        <f aca="false">IF(A113="","",INT((A113-StartDate)/7)+1)</f>
        <v/>
      </c>
      <c r="J113" s="27" t="str">
        <f aca="false">IF(A113="","",TEXT(A113,"mmm"))</f>
        <v/>
      </c>
    </row>
    <row r="114" customFormat="false" ht="15" hidden="false" customHeight="false" outlineLevel="0" collapsed="false">
      <c r="A114" s="45"/>
      <c r="B114" s="32"/>
      <c r="C114" s="51"/>
      <c r="D114" s="52"/>
      <c r="E114" s="54" t="str">
        <f aca="false">IFERROR(IF(OR(C114="",C114=0,D114=""),"",D114*1440/C114),"")</f>
        <v/>
      </c>
      <c r="F114" s="31"/>
      <c r="G114" s="31"/>
      <c r="H114" s="31"/>
      <c r="I114" s="36" t="str">
        <f aca="false">IF(A114="","",INT((A114-StartDate)/7)+1)</f>
        <v/>
      </c>
      <c r="J114" s="36" t="str">
        <f aca="false">IF(A114="","",TEXT(A114,"mmm"))</f>
        <v/>
      </c>
    </row>
    <row r="115" customFormat="false" ht="15" hidden="false" customHeight="false" outlineLevel="0" collapsed="false">
      <c r="A115" s="45"/>
      <c r="B115" s="32"/>
      <c r="C115" s="51"/>
      <c r="D115" s="52"/>
      <c r="E115" s="53" t="str">
        <f aca="false">IFERROR(IF(OR(C115="",C115=0,D115=""),"",D115*1440/C115),"")</f>
        <v/>
      </c>
      <c r="F115" s="31"/>
      <c r="G115" s="31"/>
      <c r="H115" s="31"/>
      <c r="I115" s="27" t="str">
        <f aca="false">IF(A115="","",INT((A115-StartDate)/7)+1)</f>
        <v/>
      </c>
      <c r="J115" s="27" t="str">
        <f aca="false">IF(A115="","",TEXT(A115,"mmm"))</f>
        <v/>
      </c>
    </row>
    <row r="116" customFormat="false" ht="15" hidden="false" customHeight="false" outlineLevel="0" collapsed="false">
      <c r="A116" s="45"/>
      <c r="B116" s="32"/>
      <c r="C116" s="51"/>
      <c r="D116" s="52"/>
      <c r="E116" s="54" t="str">
        <f aca="false">IFERROR(IF(OR(C116="",C116=0,D116=""),"",D116*1440/C116),"")</f>
        <v/>
      </c>
      <c r="F116" s="31"/>
      <c r="G116" s="31"/>
      <c r="H116" s="31"/>
      <c r="I116" s="36" t="str">
        <f aca="false">IF(A116="","",INT((A116-StartDate)/7)+1)</f>
        <v/>
      </c>
      <c r="J116" s="36" t="str">
        <f aca="false">IF(A116="","",TEXT(A116,"mmm"))</f>
        <v/>
      </c>
    </row>
    <row r="117" customFormat="false" ht="15" hidden="false" customHeight="false" outlineLevel="0" collapsed="false">
      <c r="A117" s="45"/>
      <c r="B117" s="32"/>
      <c r="C117" s="51"/>
      <c r="D117" s="52"/>
      <c r="E117" s="53" t="str">
        <f aca="false">IFERROR(IF(OR(C117="",C117=0,D117=""),"",D117*1440/C117),"")</f>
        <v/>
      </c>
      <c r="F117" s="31"/>
      <c r="G117" s="31"/>
      <c r="H117" s="31"/>
      <c r="I117" s="27" t="str">
        <f aca="false">IF(A117="","",INT((A117-StartDate)/7)+1)</f>
        <v/>
      </c>
      <c r="J117" s="27" t="str">
        <f aca="false">IF(A117="","",TEXT(A117,"mmm"))</f>
        <v/>
      </c>
    </row>
    <row r="118" customFormat="false" ht="15" hidden="false" customHeight="false" outlineLevel="0" collapsed="false">
      <c r="A118" s="45"/>
      <c r="B118" s="32"/>
      <c r="C118" s="51"/>
      <c r="D118" s="52"/>
      <c r="E118" s="54" t="str">
        <f aca="false">IFERROR(IF(OR(C118="",C118=0,D118=""),"",D118*1440/C118),"")</f>
        <v/>
      </c>
      <c r="F118" s="31"/>
      <c r="G118" s="31"/>
      <c r="H118" s="31"/>
      <c r="I118" s="36" t="str">
        <f aca="false">IF(A118="","",INT((A118-StartDate)/7)+1)</f>
        <v/>
      </c>
      <c r="J118" s="36" t="str">
        <f aca="false">IF(A118="","",TEXT(A118,"mmm"))</f>
        <v/>
      </c>
    </row>
    <row r="119" customFormat="false" ht="15" hidden="false" customHeight="false" outlineLevel="0" collapsed="false">
      <c r="A119" s="45"/>
      <c r="B119" s="32"/>
      <c r="C119" s="51"/>
      <c r="D119" s="52"/>
      <c r="E119" s="53" t="str">
        <f aca="false">IFERROR(IF(OR(C119="",C119=0,D119=""),"",D119*1440/C119),"")</f>
        <v/>
      </c>
      <c r="F119" s="31"/>
      <c r="G119" s="31"/>
      <c r="H119" s="31"/>
      <c r="I119" s="27" t="str">
        <f aca="false">IF(A119="","",INT((A119-StartDate)/7)+1)</f>
        <v/>
      </c>
      <c r="J119" s="27" t="str">
        <f aca="false">IF(A119="","",TEXT(A119,"mmm"))</f>
        <v/>
      </c>
    </row>
    <row r="120" customFormat="false" ht="15" hidden="false" customHeight="false" outlineLevel="0" collapsed="false">
      <c r="A120" s="45"/>
      <c r="B120" s="32"/>
      <c r="C120" s="51"/>
      <c r="D120" s="52"/>
      <c r="E120" s="54" t="str">
        <f aca="false">IFERROR(IF(OR(C120="",C120=0,D120=""),"",D120*1440/C120),"")</f>
        <v/>
      </c>
      <c r="F120" s="31"/>
      <c r="G120" s="31"/>
      <c r="H120" s="31"/>
      <c r="I120" s="36" t="str">
        <f aca="false">IF(A120="","",INT((A120-StartDate)/7)+1)</f>
        <v/>
      </c>
      <c r="J120" s="36" t="str">
        <f aca="false">IF(A120="","",TEXT(A120,"mmm"))</f>
        <v/>
      </c>
    </row>
    <row r="121" customFormat="false" ht="15" hidden="false" customHeight="false" outlineLevel="0" collapsed="false">
      <c r="A121" s="45"/>
      <c r="B121" s="32"/>
      <c r="C121" s="51"/>
      <c r="D121" s="52"/>
      <c r="E121" s="53" t="str">
        <f aca="false">IFERROR(IF(OR(C121="",C121=0,D121=""),"",D121*1440/C121),"")</f>
        <v/>
      </c>
      <c r="F121" s="31"/>
      <c r="G121" s="31"/>
      <c r="H121" s="31"/>
      <c r="I121" s="27" t="str">
        <f aca="false">IF(A121="","",INT((A121-StartDate)/7)+1)</f>
        <v/>
      </c>
      <c r="J121" s="27" t="str">
        <f aca="false">IF(A121="","",TEXT(A121,"mmm"))</f>
        <v/>
      </c>
    </row>
    <row r="122" customFormat="false" ht="15" hidden="false" customHeight="false" outlineLevel="0" collapsed="false">
      <c r="A122" s="45"/>
      <c r="B122" s="32"/>
      <c r="C122" s="51"/>
      <c r="D122" s="52"/>
      <c r="E122" s="54" t="str">
        <f aca="false">IFERROR(IF(OR(C122="",C122=0,D122=""),"",D122*1440/C122),"")</f>
        <v/>
      </c>
      <c r="F122" s="31"/>
      <c r="G122" s="31"/>
      <c r="H122" s="31"/>
      <c r="I122" s="36" t="str">
        <f aca="false">IF(A122="","",INT((A122-StartDate)/7)+1)</f>
        <v/>
      </c>
      <c r="J122" s="36" t="str">
        <f aca="false">IF(A122="","",TEXT(A122,"mmm"))</f>
        <v/>
      </c>
    </row>
    <row r="123" customFormat="false" ht="15" hidden="false" customHeight="false" outlineLevel="0" collapsed="false">
      <c r="A123" s="45"/>
      <c r="B123" s="32"/>
      <c r="C123" s="51"/>
      <c r="D123" s="52"/>
      <c r="E123" s="53" t="str">
        <f aca="false">IFERROR(IF(OR(C123="",C123=0,D123=""),"",D123*1440/C123),"")</f>
        <v/>
      </c>
      <c r="F123" s="31"/>
      <c r="G123" s="31"/>
      <c r="H123" s="31"/>
      <c r="I123" s="27" t="str">
        <f aca="false">IF(A123="","",INT((A123-StartDate)/7)+1)</f>
        <v/>
      </c>
      <c r="J123" s="27" t="str">
        <f aca="false">IF(A123="","",TEXT(A123,"mmm"))</f>
        <v/>
      </c>
    </row>
    <row r="124" customFormat="false" ht="15" hidden="false" customHeight="false" outlineLevel="0" collapsed="false">
      <c r="A124" s="45"/>
      <c r="B124" s="32"/>
      <c r="C124" s="51"/>
      <c r="D124" s="52"/>
      <c r="E124" s="54" t="str">
        <f aca="false">IFERROR(IF(OR(C124="",C124=0,D124=""),"",D124*1440/C124),"")</f>
        <v/>
      </c>
      <c r="F124" s="31"/>
      <c r="G124" s="31"/>
      <c r="H124" s="31"/>
      <c r="I124" s="36" t="str">
        <f aca="false">IF(A124="","",INT((A124-StartDate)/7)+1)</f>
        <v/>
      </c>
      <c r="J124" s="36" t="str">
        <f aca="false">IF(A124="","",TEXT(A124,"mmm"))</f>
        <v/>
      </c>
    </row>
    <row r="125" customFormat="false" ht="15" hidden="false" customHeight="false" outlineLevel="0" collapsed="false">
      <c r="A125" s="45"/>
      <c r="B125" s="32"/>
      <c r="C125" s="51"/>
      <c r="D125" s="52"/>
      <c r="E125" s="53" t="str">
        <f aca="false">IFERROR(IF(OR(C125="",C125=0,D125=""),"",D125*1440/C125),"")</f>
        <v/>
      </c>
      <c r="F125" s="31"/>
      <c r="G125" s="31"/>
      <c r="H125" s="31"/>
      <c r="I125" s="27" t="str">
        <f aca="false">IF(A125="","",INT((A125-StartDate)/7)+1)</f>
        <v/>
      </c>
      <c r="J125" s="27" t="str">
        <f aca="false">IF(A125="","",TEXT(A125,"mmm"))</f>
        <v/>
      </c>
    </row>
    <row r="126" customFormat="false" ht="15" hidden="false" customHeight="false" outlineLevel="0" collapsed="false">
      <c r="A126" s="45"/>
      <c r="B126" s="32"/>
      <c r="C126" s="51"/>
      <c r="D126" s="52"/>
      <c r="E126" s="54" t="str">
        <f aca="false">IFERROR(IF(OR(C126="",C126=0,D126=""),"",D126*1440/C126),"")</f>
        <v/>
      </c>
      <c r="F126" s="31"/>
      <c r="G126" s="31"/>
      <c r="H126" s="31"/>
      <c r="I126" s="36" t="str">
        <f aca="false">IF(A126="","",INT((A126-StartDate)/7)+1)</f>
        <v/>
      </c>
      <c r="J126" s="36" t="str">
        <f aca="false">IF(A126="","",TEXT(A126,"mmm"))</f>
        <v/>
      </c>
    </row>
    <row r="127" customFormat="false" ht="15" hidden="false" customHeight="false" outlineLevel="0" collapsed="false">
      <c r="A127" s="45"/>
      <c r="B127" s="32"/>
      <c r="C127" s="51"/>
      <c r="D127" s="52"/>
      <c r="E127" s="53" t="str">
        <f aca="false">IFERROR(IF(OR(C127="",C127=0,D127=""),"",D127*1440/C127),"")</f>
        <v/>
      </c>
      <c r="F127" s="31"/>
      <c r="G127" s="31"/>
      <c r="H127" s="31"/>
      <c r="I127" s="27" t="str">
        <f aca="false">IF(A127="","",INT((A127-StartDate)/7)+1)</f>
        <v/>
      </c>
      <c r="J127" s="27" t="str">
        <f aca="false">IF(A127="","",TEXT(A127,"mmm"))</f>
        <v/>
      </c>
    </row>
    <row r="128" customFormat="false" ht="15" hidden="false" customHeight="false" outlineLevel="0" collapsed="false">
      <c r="A128" s="45"/>
      <c r="B128" s="32"/>
      <c r="C128" s="51"/>
      <c r="D128" s="52"/>
      <c r="E128" s="54" t="str">
        <f aca="false">IFERROR(IF(OR(C128="",C128=0,D128=""),"",D128*1440/C128),"")</f>
        <v/>
      </c>
      <c r="F128" s="31"/>
      <c r="G128" s="31"/>
      <c r="H128" s="31"/>
      <c r="I128" s="36" t="str">
        <f aca="false">IF(A128="","",INT((A128-StartDate)/7)+1)</f>
        <v/>
      </c>
      <c r="J128" s="36" t="str">
        <f aca="false">IF(A128="","",TEXT(A128,"mmm"))</f>
        <v/>
      </c>
    </row>
    <row r="129" customFormat="false" ht="15" hidden="false" customHeight="false" outlineLevel="0" collapsed="false">
      <c r="A129" s="45"/>
      <c r="B129" s="32"/>
      <c r="C129" s="51"/>
      <c r="D129" s="52"/>
      <c r="E129" s="53" t="str">
        <f aca="false">IFERROR(IF(OR(C129="",C129=0,D129=""),"",D129*1440/C129),"")</f>
        <v/>
      </c>
      <c r="F129" s="31"/>
      <c r="G129" s="31"/>
      <c r="H129" s="31"/>
      <c r="I129" s="27" t="str">
        <f aca="false">IF(A129="","",INT((A129-StartDate)/7)+1)</f>
        <v/>
      </c>
      <c r="J129" s="27" t="str">
        <f aca="false">IF(A129="","",TEXT(A129,"mmm"))</f>
        <v/>
      </c>
    </row>
    <row r="130" customFormat="false" ht="15" hidden="false" customHeight="false" outlineLevel="0" collapsed="false">
      <c r="A130" s="45"/>
      <c r="B130" s="32"/>
      <c r="C130" s="51"/>
      <c r="D130" s="52"/>
      <c r="E130" s="54" t="str">
        <f aca="false">IFERROR(IF(OR(C130="",C130=0,D130=""),"",D130*1440/C130),"")</f>
        <v/>
      </c>
      <c r="F130" s="31"/>
      <c r="G130" s="31"/>
      <c r="H130" s="31"/>
      <c r="I130" s="36" t="str">
        <f aca="false">IF(A130="","",INT((A130-StartDate)/7)+1)</f>
        <v/>
      </c>
      <c r="J130" s="36" t="str">
        <f aca="false">IF(A130="","",TEXT(A130,"mmm"))</f>
        <v/>
      </c>
    </row>
    <row r="131" customFormat="false" ht="15" hidden="false" customHeight="false" outlineLevel="0" collapsed="false">
      <c r="A131" s="45"/>
      <c r="B131" s="32"/>
      <c r="C131" s="51"/>
      <c r="D131" s="52"/>
      <c r="E131" s="53" t="str">
        <f aca="false">IFERROR(IF(OR(C131="",C131=0,D131=""),"",D131*1440/C131),"")</f>
        <v/>
      </c>
      <c r="F131" s="31"/>
      <c r="G131" s="31"/>
      <c r="H131" s="31"/>
      <c r="I131" s="27" t="str">
        <f aca="false">IF(A131="","",INT((A131-StartDate)/7)+1)</f>
        <v/>
      </c>
      <c r="J131" s="27" t="str">
        <f aca="false">IF(A131="","",TEXT(A131,"mmm"))</f>
        <v/>
      </c>
    </row>
    <row r="132" customFormat="false" ht="15" hidden="false" customHeight="false" outlineLevel="0" collapsed="false">
      <c r="A132" s="45"/>
      <c r="B132" s="32"/>
      <c r="C132" s="51"/>
      <c r="D132" s="52"/>
      <c r="E132" s="54" t="str">
        <f aca="false">IFERROR(IF(OR(C132="",C132=0,D132=""),"",D132*1440/C132),"")</f>
        <v/>
      </c>
      <c r="F132" s="31"/>
      <c r="G132" s="31"/>
      <c r="H132" s="31"/>
      <c r="I132" s="36" t="str">
        <f aca="false">IF(A132="","",INT((A132-StartDate)/7)+1)</f>
        <v/>
      </c>
      <c r="J132" s="36" t="str">
        <f aca="false">IF(A132="","",TEXT(A132,"mmm"))</f>
        <v/>
      </c>
    </row>
    <row r="133" customFormat="false" ht="15" hidden="false" customHeight="false" outlineLevel="0" collapsed="false">
      <c r="A133" s="45"/>
      <c r="B133" s="32"/>
      <c r="C133" s="51"/>
      <c r="D133" s="52"/>
      <c r="E133" s="53" t="str">
        <f aca="false">IFERROR(IF(OR(C133="",C133=0,D133=""),"",D133*1440/C133),"")</f>
        <v/>
      </c>
      <c r="F133" s="31"/>
      <c r="G133" s="31"/>
      <c r="H133" s="31"/>
      <c r="I133" s="27" t="str">
        <f aca="false">IF(A133="","",INT((A133-StartDate)/7)+1)</f>
        <v/>
      </c>
      <c r="J133" s="27" t="str">
        <f aca="false">IF(A133="","",TEXT(A133,"mmm"))</f>
        <v/>
      </c>
    </row>
    <row r="134" customFormat="false" ht="15" hidden="false" customHeight="false" outlineLevel="0" collapsed="false">
      <c r="A134" s="45"/>
      <c r="B134" s="32"/>
      <c r="C134" s="51"/>
      <c r="D134" s="52"/>
      <c r="E134" s="54" t="str">
        <f aca="false">IFERROR(IF(OR(C134="",C134=0,D134=""),"",D134*1440/C134),"")</f>
        <v/>
      </c>
      <c r="F134" s="31"/>
      <c r="G134" s="31"/>
      <c r="H134" s="31"/>
      <c r="I134" s="36" t="str">
        <f aca="false">IF(A134="","",INT((A134-StartDate)/7)+1)</f>
        <v/>
      </c>
      <c r="J134" s="36" t="str">
        <f aca="false">IF(A134="","",TEXT(A134,"mmm"))</f>
        <v/>
      </c>
    </row>
    <row r="135" customFormat="false" ht="15" hidden="false" customHeight="false" outlineLevel="0" collapsed="false">
      <c r="A135" s="45"/>
      <c r="B135" s="32"/>
      <c r="C135" s="51"/>
      <c r="D135" s="52"/>
      <c r="E135" s="53" t="str">
        <f aca="false">IFERROR(IF(OR(C135="",C135=0,D135=""),"",D135*1440/C135),"")</f>
        <v/>
      </c>
      <c r="F135" s="31"/>
      <c r="G135" s="31"/>
      <c r="H135" s="31"/>
      <c r="I135" s="27" t="str">
        <f aca="false">IF(A135="","",INT((A135-StartDate)/7)+1)</f>
        <v/>
      </c>
      <c r="J135" s="27" t="str">
        <f aca="false">IF(A135="","",TEXT(A135,"mmm"))</f>
        <v/>
      </c>
    </row>
    <row r="136" customFormat="false" ht="15" hidden="false" customHeight="false" outlineLevel="0" collapsed="false">
      <c r="A136" s="45"/>
      <c r="B136" s="32"/>
      <c r="C136" s="51"/>
      <c r="D136" s="52"/>
      <c r="E136" s="54" t="str">
        <f aca="false">IFERROR(IF(OR(C136="",C136=0,D136=""),"",D136*1440/C136),"")</f>
        <v/>
      </c>
      <c r="F136" s="31"/>
      <c r="G136" s="31"/>
      <c r="H136" s="31"/>
      <c r="I136" s="36" t="str">
        <f aca="false">IF(A136="","",INT((A136-StartDate)/7)+1)</f>
        <v/>
      </c>
      <c r="J136" s="36" t="str">
        <f aca="false">IF(A136="","",TEXT(A136,"mmm"))</f>
        <v/>
      </c>
    </row>
    <row r="137" customFormat="false" ht="15" hidden="false" customHeight="false" outlineLevel="0" collapsed="false">
      <c r="A137" s="45"/>
      <c r="B137" s="32"/>
      <c r="C137" s="51"/>
      <c r="D137" s="52"/>
      <c r="E137" s="53" t="str">
        <f aca="false">IFERROR(IF(OR(C137="",C137=0,D137=""),"",D137*1440/C137),"")</f>
        <v/>
      </c>
      <c r="F137" s="31"/>
      <c r="G137" s="31"/>
      <c r="H137" s="31"/>
      <c r="I137" s="27" t="str">
        <f aca="false">IF(A137="","",INT((A137-StartDate)/7)+1)</f>
        <v/>
      </c>
      <c r="J137" s="27" t="str">
        <f aca="false">IF(A137="","",TEXT(A137,"mmm"))</f>
        <v/>
      </c>
    </row>
    <row r="138" customFormat="false" ht="15" hidden="false" customHeight="false" outlineLevel="0" collapsed="false">
      <c r="A138" s="45"/>
      <c r="B138" s="32"/>
      <c r="C138" s="51"/>
      <c r="D138" s="52"/>
      <c r="E138" s="54" t="str">
        <f aca="false">IFERROR(IF(OR(C138="",C138=0,D138=""),"",D138*1440/C138),"")</f>
        <v/>
      </c>
      <c r="F138" s="31"/>
      <c r="G138" s="31"/>
      <c r="H138" s="31"/>
      <c r="I138" s="36" t="str">
        <f aca="false">IF(A138="","",INT((A138-StartDate)/7)+1)</f>
        <v/>
      </c>
      <c r="J138" s="36" t="str">
        <f aca="false">IF(A138="","",TEXT(A138,"mmm"))</f>
        <v/>
      </c>
    </row>
    <row r="139" customFormat="false" ht="15" hidden="false" customHeight="false" outlineLevel="0" collapsed="false">
      <c r="A139" s="45"/>
      <c r="B139" s="32"/>
      <c r="C139" s="51"/>
      <c r="D139" s="52"/>
      <c r="E139" s="53" t="str">
        <f aca="false">IFERROR(IF(OR(C139="",C139=0,D139=""),"",D139*1440/C139),"")</f>
        <v/>
      </c>
      <c r="F139" s="31"/>
      <c r="G139" s="31"/>
      <c r="H139" s="31"/>
      <c r="I139" s="27" t="str">
        <f aca="false">IF(A139="","",INT((A139-StartDate)/7)+1)</f>
        <v/>
      </c>
      <c r="J139" s="27" t="str">
        <f aca="false">IF(A139="","",TEXT(A139,"mmm"))</f>
        <v/>
      </c>
    </row>
    <row r="140" customFormat="false" ht="15" hidden="false" customHeight="false" outlineLevel="0" collapsed="false">
      <c r="A140" s="45"/>
      <c r="B140" s="32"/>
      <c r="C140" s="51"/>
      <c r="D140" s="52"/>
      <c r="E140" s="54" t="str">
        <f aca="false">IFERROR(IF(OR(C140="",C140=0,D140=""),"",D140*1440/C140),"")</f>
        <v/>
      </c>
      <c r="F140" s="31"/>
      <c r="G140" s="31"/>
      <c r="H140" s="31"/>
      <c r="I140" s="36" t="str">
        <f aca="false">IF(A140="","",INT((A140-StartDate)/7)+1)</f>
        <v/>
      </c>
      <c r="J140" s="36" t="str">
        <f aca="false">IF(A140="","",TEXT(A140,"mmm"))</f>
        <v/>
      </c>
    </row>
    <row r="141" customFormat="false" ht="15" hidden="false" customHeight="false" outlineLevel="0" collapsed="false">
      <c r="A141" s="45"/>
      <c r="B141" s="32"/>
      <c r="C141" s="51"/>
      <c r="D141" s="52"/>
      <c r="E141" s="53" t="str">
        <f aca="false">IFERROR(IF(OR(C141="",C141=0,D141=""),"",D141*1440/C141),"")</f>
        <v/>
      </c>
      <c r="F141" s="31"/>
      <c r="G141" s="31"/>
      <c r="H141" s="31"/>
      <c r="I141" s="27" t="str">
        <f aca="false">IF(A141="","",INT((A141-StartDate)/7)+1)</f>
        <v/>
      </c>
      <c r="J141" s="27" t="str">
        <f aca="false">IF(A141="","",TEXT(A141,"mmm"))</f>
        <v/>
      </c>
    </row>
    <row r="142" customFormat="false" ht="15" hidden="false" customHeight="false" outlineLevel="0" collapsed="false">
      <c r="A142" s="45"/>
      <c r="B142" s="32"/>
      <c r="C142" s="51"/>
      <c r="D142" s="52"/>
      <c r="E142" s="54" t="str">
        <f aca="false">IFERROR(IF(OR(C142="",C142=0,D142=""),"",D142*1440/C142),"")</f>
        <v/>
      </c>
      <c r="F142" s="31"/>
      <c r="G142" s="31"/>
      <c r="H142" s="31"/>
      <c r="I142" s="36" t="str">
        <f aca="false">IF(A142="","",INT((A142-StartDate)/7)+1)</f>
        <v/>
      </c>
      <c r="J142" s="36" t="str">
        <f aca="false">IF(A142="","",TEXT(A142,"mmm"))</f>
        <v/>
      </c>
    </row>
    <row r="143" customFormat="false" ht="15" hidden="false" customHeight="false" outlineLevel="0" collapsed="false">
      <c r="A143" s="45"/>
      <c r="B143" s="32"/>
      <c r="C143" s="51"/>
      <c r="D143" s="52"/>
      <c r="E143" s="53" t="str">
        <f aca="false">IFERROR(IF(OR(C143="",C143=0,D143=""),"",D143*1440/C143),"")</f>
        <v/>
      </c>
      <c r="F143" s="31"/>
      <c r="G143" s="31"/>
      <c r="H143" s="31"/>
      <c r="I143" s="27" t="str">
        <f aca="false">IF(A143="","",INT((A143-StartDate)/7)+1)</f>
        <v/>
      </c>
      <c r="J143" s="27" t="str">
        <f aca="false">IF(A143="","",TEXT(A143,"mmm"))</f>
        <v/>
      </c>
    </row>
    <row r="144" customFormat="false" ht="15" hidden="false" customHeight="false" outlineLevel="0" collapsed="false">
      <c r="A144" s="45"/>
      <c r="B144" s="32"/>
      <c r="C144" s="51"/>
      <c r="D144" s="52"/>
      <c r="E144" s="54" t="str">
        <f aca="false">IFERROR(IF(OR(C144="",C144=0,D144=""),"",D144*1440/C144),"")</f>
        <v/>
      </c>
      <c r="F144" s="31"/>
      <c r="G144" s="31"/>
      <c r="H144" s="31"/>
      <c r="I144" s="36" t="str">
        <f aca="false">IF(A144="","",INT((A144-StartDate)/7)+1)</f>
        <v/>
      </c>
      <c r="J144" s="36" t="str">
        <f aca="false">IF(A144="","",TEXT(A144,"mmm"))</f>
        <v/>
      </c>
    </row>
    <row r="145" customFormat="false" ht="15" hidden="false" customHeight="false" outlineLevel="0" collapsed="false">
      <c r="A145" s="45"/>
      <c r="B145" s="32"/>
      <c r="C145" s="51"/>
      <c r="D145" s="52"/>
      <c r="E145" s="53" t="str">
        <f aca="false">IFERROR(IF(OR(C145="",C145=0,D145=""),"",D145*1440/C145),"")</f>
        <v/>
      </c>
      <c r="F145" s="31"/>
      <c r="G145" s="31"/>
      <c r="H145" s="31"/>
      <c r="I145" s="27" t="str">
        <f aca="false">IF(A145="","",INT((A145-StartDate)/7)+1)</f>
        <v/>
      </c>
      <c r="J145" s="27" t="str">
        <f aca="false">IF(A145="","",TEXT(A145,"mmm"))</f>
        <v/>
      </c>
    </row>
    <row r="146" customFormat="false" ht="15" hidden="false" customHeight="false" outlineLevel="0" collapsed="false">
      <c r="A146" s="45"/>
      <c r="B146" s="32"/>
      <c r="C146" s="51"/>
      <c r="D146" s="52"/>
      <c r="E146" s="54" t="str">
        <f aca="false">IFERROR(IF(OR(C146="",C146=0,D146=""),"",D146*1440/C146),"")</f>
        <v/>
      </c>
      <c r="F146" s="31"/>
      <c r="G146" s="31"/>
      <c r="H146" s="31"/>
      <c r="I146" s="36" t="str">
        <f aca="false">IF(A146="","",INT((A146-StartDate)/7)+1)</f>
        <v/>
      </c>
      <c r="J146" s="36" t="str">
        <f aca="false">IF(A146="","",TEXT(A146,"mmm"))</f>
        <v/>
      </c>
    </row>
    <row r="147" customFormat="false" ht="15" hidden="false" customHeight="false" outlineLevel="0" collapsed="false">
      <c r="A147" s="45"/>
      <c r="B147" s="32"/>
      <c r="C147" s="51"/>
      <c r="D147" s="52"/>
      <c r="E147" s="53" t="str">
        <f aca="false">IFERROR(IF(OR(C147="",C147=0,D147=""),"",D147*1440/C147),"")</f>
        <v/>
      </c>
      <c r="F147" s="31"/>
      <c r="G147" s="31"/>
      <c r="H147" s="31"/>
      <c r="I147" s="27" t="str">
        <f aca="false">IF(A147="","",INT((A147-StartDate)/7)+1)</f>
        <v/>
      </c>
      <c r="J147" s="27" t="str">
        <f aca="false">IF(A147="","",TEXT(A147,"mmm"))</f>
        <v/>
      </c>
    </row>
    <row r="148" customFormat="false" ht="15" hidden="false" customHeight="false" outlineLevel="0" collapsed="false">
      <c r="A148" s="45"/>
      <c r="B148" s="32"/>
      <c r="C148" s="51"/>
      <c r="D148" s="52"/>
      <c r="E148" s="54" t="str">
        <f aca="false">IFERROR(IF(OR(C148="",C148=0,D148=""),"",D148*1440/C148),"")</f>
        <v/>
      </c>
      <c r="F148" s="31"/>
      <c r="G148" s="31"/>
      <c r="H148" s="31"/>
      <c r="I148" s="36" t="str">
        <f aca="false">IF(A148="","",INT((A148-StartDate)/7)+1)</f>
        <v/>
      </c>
      <c r="J148" s="36" t="str">
        <f aca="false">IF(A148="","",TEXT(A148,"mmm"))</f>
        <v/>
      </c>
    </row>
    <row r="149" customFormat="false" ht="15" hidden="false" customHeight="false" outlineLevel="0" collapsed="false">
      <c r="A149" s="45"/>
      <c r="B149" s="32"/>
      <c r="C149" s="51"/>
      <c r="D149" s="52"/>
      <c r="E149" s="53" t="str">
        <f aca="false">IFERROR(IF(OR(C149="",C149=0,D149=""),"",D149*1440/C149),"")</f>
        <v/>
      </c>
      <c r="F149" s="31"/>
      <c r="G149" s="31"/>
      <c r="H149" s="31"/>
      <c r="I149" s="27" t="str">
        <f aca="false">IF(A149="","",INT((A149-StartDate)/7)+1)</f>
        <v/>
      </c>
      <c r="J149" s="27" t="str">
        <f aca="false">IF(A149="","",TEXT(A149,"mmm"))</f>
        <v/>
      </c>
    </row>
    <row r="150" customFormat="false" ht="15" hidden="false" customHeight="false" outlineLevel="0" collapsed="false">
      <c r="A150" s="45"/>
      <c r="B150" s="32"/>
      <c r="C150" s="51"/>
      <c r="D150" s="52"/>
      <c r="E150" s="54" t="str">
        <f aca="false">IFERROR(IF(OR(C150="",C150=0,D150=""),"",D150*1440/C150),"")</f>
        <v/>
      </c>
      <c r="F150" s="31"/>
      <c r="G150" s="31"/>
      <c r="H150" s="31"/>
      <c r="I150" s="36" t="str">
        <f aca="false">IF(A150="","",INT((A150-StartDate)/7)+1)</f>
        <v/>
      </c>
      <c r="J150" s="36" t="str">
        <f aca="false">IF(A150="","",TEXT(A150,"mmm"))</f>
        <v/>
      </c>
    </row>
    <row r="151" customFormat="false" ht="15" hidden="false" customHeight="false" outlineLevel="0" collapsed="false">
      <c r="A151" s="45"/>
      <c r="B151" s="32"/>
      <c r="C151" s="51"/>
      <c r="D151" s="52"/>
      <c r="E151" s="53" t="str">
        <f aca="false">IFERROR(IF(OR(C151="",C151=0,D151=""),"",D151*1440/C151),"")</f>
        <v/>
      </c>
      <c r="F151" s="31"/>
      <c r="G151" s="31"/>
      <c r="H151" s="31"/>
      <c r="I151" s="27" t="str">
        <f aca="false">IF(A151="","",INT((A151-StartDate)/7)+1)</f>
        <v/>
      </c>
      <c r="J151" s="27" t="str">
        <f aca="false">IF(A151="","",TEXT(A151,"mmm"))</f>
        <v/>
      </c>
    </row>
    <row r="152" customFormat="false" ht="15" hidden="false" customHeight="false" outlineLevel="0" collapsed="false">
      <c r="A152" s="45"/>
      <c r="B152" s="32"/>
      <c r="C152" s="51"/>
      <c r="D152" s="52"/>
      <c r="E152" s="54" t="str">
        <f aca="false">IFERROR(IF(OR(C152="",C152=0,D152=""),"",D152*1440/C152),"")</f>
        <v/>
      </c>
      <c r="F152" s="31"/>
      <c r="G152" s="31"/>
      <c r="H152" s="31"/>
      <c r="I152" s="36" t="str">
        <f aca="false">IF(A152="","",INT((A152-StartDate)/7)+1)</f>
        <v/>
      </c>
      <c r="J152" s="36" t="str">
        <f aca="false">IF(A152="","",TEXT(A152,"mmm"))</f>
        <v/>
      </c>
    </row>
    <row r="153" customFormat="false" ht="15" hidden="false" customHeight="false" outlineLevel="0" collapsed="false">
      <c r="A153" s="45"/>
      <c r="B153" s="32"/>
      <c r="C153" s="51"/>
      <c r="D153" s="52"/>
      <c r="E153" s="53" t="str">
        <f aca="false">IFERROR(IF(OR(C153="",C153=0,D153=""),"",D153*1440/C153),"")</f>
        <v/>
      </c>
      <c r="F153" s="31"/>
      <c r="G153" s="31"/>
      <c r="H153" s="31"/>
      <c r="I153" s="27" t="str">
        <f aca="false">IF(A153="","",INT((A153-StartDate)/7)+1)</f>
        <v/>
      </c>
      <c r="J153" s="27" t="str">
        <f aca="false">IF(A153="","",TEXT(A153,"mmm"))</f>
        <v/>
      </c>
    </row>
    <row r="154" customFormat="false" ht="15" hidden="false" customHeight="false" outlineLevel="0" collapsed="false">
      <c r="A154" s="45"/>
      <c r="B154" s="32"/>
      <c r="C154" s="51"/>
      <c r="D154" s="52"/>
      <c r="E154" s="54" t="str">
        <f aca="false">IFERROR(IF(OR(C154="",C154=0,D154=""),"",D154*1440/C154),"")</f>
        <v/>
      </c>
      <c r="F154" s="31"/>
      <c r="G154" s="31"/>
      <c r="H154" s="31"/>
      <c r="I154" s="36" t="str">
        <f aca="false">IF(A154="","",INT((A154-StartDate)/7)+1)</f>
        <v/>
      </c>
      <c r="J154" s="36" t="str">
        <f aca="false">IF(A154="","",TEXT(A154,"mmm"))</f>
        <v/>
      </c>
    </row>
    <row r="155" customFormat="false" ht="15" hidden="false" customHeight="false" outlineLevel="0" collapsed="false">
      <c r="A155" s="45"/>
      <c r="B155" s="32"/>
      <c r="C155" s="51"/>
      <c r="D155" s="52"/>
      <c r="E155" s="53" t="str">
        <f aca="false">IFERROR(IF(OR(C155="",C155=0,D155=""),"",D155*1440/C155),"")</f>
        <v/>
      </c>
      <c r="F155" s="31"/>
      <c r="G155" s="31"/>
      <c r="H155" s="31"/>
      <c r="I155" s="27" t="str">
        <f aca="false">IF(A155="","",INT((A155-StartDate)/7)+1)</f>
        <v/>
      </c>
      <c r="J155" s="27" t="str">
        <f aca="false">IF(A155="","",TEXT(A155,"mmm"))</f>
        <v/>
      </c>
    </row>
    <row r="156" customFormat="false" ht="15" hidden="false" customHeight="false" outlineLevel="0" collapsed="false">
      <c r="A156" s="45"/>
      <c r="B156" s="32"/>
      <c r="C156" s="51"/>
      <c r="D156" s="52"/>
      <c r="E156" s="54" t="str">
        <f aca="false">IFERROR(IF(OR(C156="",C156=0,D156=""),"",D156*1440/C156),"")</f>
        <v/>
      </c>
      <c r="F156" s="31"/>
      <c r="G156" s="31"/>
      <c r="H156" s="31"/>
      <c r="I156" s="36" t="str">
        <f aca="false">IF(A156="","",INT((A156-StartDate)/7)+1)</f>
        <v/>
      </c>
      <c r="J156" s="36" t="str">
        <f aca="false">IF(A156="","",TEXT(A156,"mmm"))</f>
        <v/>
      </c>
    </row>
    <row r="157" customFormat="false" ht="15" hidden="false" customHeight="false" outlineLevel="0" collapsed="false">
      <c r="A157" s="45"/>
      <c r="B157" s="32"/>
      <c r="C157" s="51"/>
      <c r="D157" s="52"/>
      <c r="E157" s="53" t="str">
        <f aca="false">IFERROR(IF(OR(C157="",C157=0,D157=""),"",D157*1440/C157),"")</f>
        <v/>
      </c>
      <c r="F157" s="31"/>
      <c r="G157" s="31"/>
      <c r="H157" s="31"/>
      <c r="I157" s="27" t="str">
        <f aca="false">IF(A157="","",INT((A157-StartDate)/7)+1)</f>
        <v/>
      </c>
      <c r="J157" s="27" t="str">
        <f aca="false">IF(A157="","",TEXT(A157,"mmm"))</f>
        <v/>
      </c>
    </row>
    <row r="158" customFormat="false" ht="15" hidden="false" customHeight="false" outlineLevel="0" collapsed="false">
      <c r="A158" s="45"/>
      <c r="B158" s="32"/>
      <c r="C158" s="51"/>
      <c r="D158" s="52"/>
      <c r="E158" s="54" t="str">
        <f aca="false">IFERROR(IF(OR(C158="",C158=0,D158=""),"",D158*1440/C158),"")</f>
        <v/>
      </c>
      <c r="F158" s="31"/>
      <c r="G158" s="31"/>
      <c r="H158" s="31"/>
      <c r="I158" s="36" t="str">
        <f aca="false">IF(A158="","",INT((A158-StartDate)/7)+1)</f>
        <v/>
      </c>
      <c r="J158" s="36" t="str">
        <f aca="false">IF(A158="","",TEXT(A158,"mmm"))</f>
        <v/>
      </c>
    </row>
    <row r="159" customFormat="false" ht="15" hidden="false" customHeight="false" outlineLevel="0" collapsed="false">
      <c r="A159" s="45"/>
      <c r="B159" s="32"/>
      <c r="C159" s="51"/>
      <c r="D159" s="52"/>
      <c r="E159" s="53" t="str">
        <f aca="false">IFERROR(IF(OR(C159="",C159=0,D159=""),"",D159*1440/C159),"")</f>
        <v/>
      </c>
      <c r="F159" s="31"/>
      <c r="G159" s="31"/>
      <c r="H159" s="31"/>
      <c r="I159" s="27" t="str">
        <f aca="false">IF(A159="","",INT((A159-StartDate)/7)+1)</f>
        <v/>
      </c>
      <c r="J159" s="27" t="str">
        <f aca="false">IF(A159="","",TEXT(A159,"mmm"))</f>
        <v/>
      </c>
    </row>
    <row r="160" customFormat="false" ht="15" hidden="false" customHeight="false" outlineLevel="0" collapsed="false">
      <c r="A160" s="45"/>
      <c r="B160" s="32"/>
      <c r="C160" s="51"/>
      <c r="D160" s="52"/>
      <c r="E160" s="54" t="str">
        <f aca="false">IFERROR(IF(OR(C160="",C160=0,D160=""),"",D160*1440/C160),"")</f>
        <v/>
      </c>
      <c r="F160" s="31"/>
      <c r="G160" s="31"/>
      <c r="H160" s="31"/>
      <c r="I160" s="36" t="str">
        <f aca="false">IF(A160="","",INT((A160-StartDate)/7)+1)</f>
        <v/>
      </c>
      <c r="J160" s="36" t="str">
        <f aca="false">IF(A160="","",TEXT(A160,"mmm"))</f>
        <v/>
      </c>
    </row>
    <row r="161" customFormat="false" ht="15" hidden="false" customHeight="false" outlineLevel="0" collapsed="false">
      <c r="A161" s="45"/>
      <c r="B161" s="32"/>
      <c r="C161" s="51"/>
      <c r="D161" s="52"/>
      <c r="E161" s="53" t="str">
        <f aca="false">IFERROR(IF(OR(C161="",C161=0,D161=""),"",D161*1440/C161),"")</f>
        <v/>
      </c>
      <c r="F161" s="31"/>
      <c r="G161" s="31"/>
      <c r="H161" s="31"/>
      <c r="I161" s="27" t="str">
        <f aca="false">IF(A161="","",INT((A161-StartDate)/7)+1)</f>
        <v/>
      </c>
      <c r="J161" s="27" t="str">
        <f aca="false">IF(A161="","",TEXT(A161,"mmm"))</f>
        <v/>
      </c>
    </row>
    <row r="162" customFormat="false" ht="15" hidden="false" customHeight="false" outlineLevel="0" collapsed="false">
      <c r="A162" s="45"/>
      <c r="B162" s="32"/>
      <c r="C162" s="51"/>
      <c r="D162" s="52"/>
      <c r="E162" s="54" t="str">
        <f aca="false">IFERROR(IF(OR(C162="",C162=0,D162=""),"",D162*1440/C162),"")</f>
        <v/>
      </c>
      <c r="F162" s="31"/>
      <c r="G162" s="31"/>
      <c r="H162" s="31"/>
      <c r="I162" s="36" t="str">
        <f aca="false">IF(A162="","",INT((A162-StartDate)/7)+1)</f>
        <v/>
      </c>
      <c r="J162" s="36" t="str">
        <f aca="false">IF(A162="","",TEXT(A162,"mmm"))</f>
        <v/>
      </c>
    </row>
    <row r="163" customFormat="false" ht="15" hidden="false" customHeight="false" outlineLevel="0" collapsed="false">
      <c r="A163" s="45"/>
      <c r="B163" s="32"/>
      <c r="C163" s="51"/>
      <c r="D163" s="52"/>
      <c r="E163" s="53" t="str">
        <f aca="false">IFERROR(IF(OR(C163="",C163=0,D163=""),"",D163*1440/C163),"")</f>
        <v/>
      </c>
      <c r="F163" s="31"/>
      <c r="G163" s="31"/>
      <c r="H163" s="31"/>
      <c r="I163" s="27" t="str">
        <f aca="false">IF(A163="","",INT((A163-StartDate)/7)+1)</f>
        <v/>
      </c>
      <c r="J163" s="27" t="str">
        <f aca="false">IF(A163="","",TEXT(A163,"mmm"))</f>
        <v/>
      </c>
    </row>
    <row r="164" customFormat="false" ht="15" hidden="false" customHeight="false" outlineLevel="0" collapsed="false">
      <c r="A164" s="45"/>
      <c r="B164" s="32"/>
      <c r="C164" s="51"/>
      <c r="D164" s="52"/>
      <c r="E164" s="54" t="str">
        <f aca="false">IFERROR(IF(OR(C164="",C164=0,D164=""),"",D164*1440/C164),"")</f>
        <v/>
      </c>
      <c r="F164" s="31"/>
      <c r="G164" s="31"/>
      <c r="H164" s="31"/>
      <c r="I164" s="36" t="str">
        <f aca="false">IF(A164="","",INT((A164-StartDate)/7)+1)</f>
        <v/>
      </c>
      <c r="J164" s="36" t="str">
        <f aca="false">IF(A164="","",TEXT(A164,"mmm"))</f>
        <v/>
      </c>
    </row>
    <row r="165" customFormat="false" ht="15" hidden="false" customHeight="false" outlineLevel="0" collapsed="false">
      <c r="A165" s="45"/>
      <c r="B165" s="32"/>
      <c r="C165" s="51"/>
      <c r="D165" s="52"/>
      <c r="E165" s="53" t="str">
        <f aca="false">IFERROR(IF(OR(C165="",C165=0,D165=""),"",D165*1440/C165),"")</f>
        <v/>
      </c>
      <c r="F165" s="31"/>
      <c r="G165" s="31"/>
      <c r="H165" s="31"/>
      <c r="I165" s="27" t="str">
        <f aca="false">IF(A165="","",INT((A165-StartDate)/7)+1)</f>
        <v/>
      </c>
      <c r="J165" s="27" t="str">
        <f aca="false">IF(A165="","",TEXT(A165,"mmm"))</f>
        <v/>
      </c>
    </row>
    <row r="166" customFormat="false" ht="15" hidden="false" customHeight="false" outlineLevel="0" collapsed="false">
      <c r="A166" s="45"/>
      <c r="B166" s="32"/>
      <c r="C166" s="51"/>
      <c r="D166" s="52"/>
      <c r="E166" s="54" t="str">
        <f aca="false">IFERROR(IF(OR(C166="",C166=0,D166=""),"",D166*1440/C166),"")</f>
        <v/>
      </c>
      <c r="F166" s="31"/>
      <c r="G166" s="31"/>
      <c r="H166" s="31"/>
      <c r="I166" s="36" t="str">
        <f aca="false">IF(A166="","",INT((A166-StartDate)/7)+1)</f>
        <v/>
      </c>
      <c r="J166" s="36" t="str">
        <f aca="false">IF(A166="","",TEXT(A166,"mmm"))</f>
        <v/>
      </c>
    </row>
    <row r="167" customFormat="false" ht="15" hidden="false" customHeight="false" outlineLevel="0" collapsed="false">
      <c r="A167" s="45"/>
      <c r="B167" s="32"/>
      <c r="C167" s="51"/>
      <c r="D167" s="52"/>
      <c r="E167" s="53" t="str">
        <f aca="false">IFERROR(IF(OR(C167="",C167=0,D167=""),"",D167*1440/C167),"")</f>
        <v/>
      </c>
      <c r="F167" s="31"/>
      <c r="G167" s="31"/>
      <c r="H167" s="31"/>
      <c r="I167" s="27" t="str">
        <f aca="false">IF(A167="","",INT((A167-StartDate)/7)+1)</f>
        <v/>
      </c>
      <c r="J167" s="27" t="str">
        <f aca="false">IF(A167="","",TEXT(A167,"mmm"))</f>
        <v/>
      </c>
    </row>
    <row r="168" customFormat="false" ht="15" hidden="false" customHeight="false" outlineLevel="0" collapsed="false">
      <c r="A168" s="45"/>
      <c r="B168" s="32"/>
      <c r="C168" s="51"/>
      <c r="D168" s="52"/>
      <c r="E168" s="54" t="str">
        <f aca="false">IFERROR(IF(OR(C168="",C168=0,D168=""),"",D168*1440/C168),"")</f>
        <v/>
      </c>
      <c r="F168" s="31"/>
      <c r="G168" s="31"/>
      <c r="H168" s="31"/>
      <c r="I168" s="36" t="str">
        <f aca="false">IF(A168="","",INT((A168-StartDate)/7)+1)</f>
        <v/>
      </c>
      <c r="J168" s="36" t="str">
        <f aca="false">IF(A168="","",TEXT(A168,"mmm"))</f>
        <v/>
      </c>
    </row>
    <row r="169" customFormat="false" ht="15" hidden="false" customHeight="false" outlineLevel="0" collapsed="false">
      <c r="A169" s="45"/>
      <c r="B169" s="32"/>
      <c r="C169" s="51"/>
      <c r="D169" s="52"/>
      <c r="E169" s="53" t="str">
        <f aca="false">IFERROR(IF(OR(C169="",C169=0,D169=""),"",D169*1440/C169),"")</f>
        <v/>
      </c>
      <c r="F169" s="31"/>
      <c r="G169" s="31"/>
      <c r="H169" s="31"/>
      <c r="I169" s="27" t="str">
        <f aca="false">IF(A169="","",INT((A169-StartDate)/7)+1)</f>
        <v/>
      </c>
      <c r="J169" s="27" t="str">
        <f aca="false">IF(A169="","",TEXT(A169,"mmm"))</f>
        <v/>
      </c>
    </row>
    <row r="170" customFormat="false" ht="15" hidden="false" customHeight="false" outlineLevel="0" collapsed="false">
      <c r="A170" s="45"/>
      <c r="B170" s="32"/>
      <c r="C170" s="51"/>
      <c r="D170" s="52"/>
      <c r="E170" s="54" t="str">
        <f aca="false">IFERROR(IF(OR(C170="",C170=0,D170=""),"",D170*1440/C170),"")</f>
        <v/>
      </c>
      <c r="F170" s="31"/>
      <c r="G170" s="31"/>
      <c r="H170" s="31"/>
      <c r="I170" s="36" t="str">
        <f aca="false">IF(A170="","",INT((A170-StartDate)/7)+1)</f>
        <v/>
      </c>
      <c r="J170" s="36" t="str">
        <f aca="false">IF(A170="","",TEXT(A170,"mmm"))</f>
        <v/>
      </c>
    </row>
    <row r="171" customFormat="false" ht="15" hidden="false" customHeight="false" outlineLevel="0" collapsed="false">
      <c r="A171" s="45"/>
      <c r="B171" s="32"/>
      <c r="C171" s="51"/>
      <c r="D171" s="52"/>
      <c r="E171" s="53" t="str">
        <f aca="false">IFERROR(IF(OR(C171="",C171=0,D171=""),"",D171*1440/C171),"")</f>
        <v/>
      </c>
      <c r="F171" s="31"/>
      <c r="G171" s="31"/>
      <c r="H171" s="31"/>
      <c r="I171" s="27" t="str">
        <f aca="false">IF(A171="","",INT((A171-StartDate)/7)+1)</f>
        <v/>
      </c>
      <c r="J171" s="27" t="str">
        <f aca="false">IF(A171="","",TEXT(A171,"mmm"))</f>
        <v/>
      </c>
    </row>
    <row r="172" customFormat="false" ht="15" hidden="false" customHeight="false" outlineLevel="0" collapsed="false">
      <c r="A172" s="45"/>
      <c r="B172" s="32"/>
      <c r="C172" s="51"/>
      <c r="D172" s="52"/>
      <c r="E172" s="54" t="str">
        <f aca="false">IFERROR(IF(OR(C172="",C172=0,D172=""),"",D172*1440/C172),"")</f>
        <v/>
      </c>
      <c r="F172" s="31"/>
      <c r="G172" s="31"/>
      <c r="H172" s="31"/>
      <c r="I172" s="36" t="str">
        <f aca="false">IF(A172="","",INT((A172-StartDate)/7)+1)</f>
        <v/>
      </c>
      <c r="J172" s="36" t="str">
        <f aca="false">IF(A172="","",TEXT(A172,"mmm"))</f>
        <v/>
      </c>
    </row>
    <row r="173" customFormat="false" ht="15" hidden="false" customHeight="false" outlineLevel="0" collapsed="false">
      <c r="A173" s="45"/>
      <c r="B173" s="32"/>
      <c r="C173" s="51"/>
      <c r="D173" s="52"/>
      <c r="E173" s="53" t="str">
        <f aca="false">IFERROR(IF(OR(C173="",C173=0,D173=""),"",D173*1440/C173),"")</f>
        <v/>
      </c>
      <c r="F173" s="31"/>
      <c r="G173" s="31"/>
      <c r="H173" s="31"/>
      <c r="I173" s="27" t="str">
        <f aca="false">IF(A173="","",INT((A173-StartDate)/7)+1)</f>
        <v/>
      </c>
      <c r="J173" s="27" t="str">
        <f aca="false">IF(A173="","",TEXT(A173,"mmm"))</f>
        <v/>
      </c>
    </row>
    <row r="174" customFormat="false" ht="15" hidden="false" customHeight="false" outlineLevel="0" collapsed="false">
      <c r="A174" s="45"/>
      <c r="B174" s="32"/>
      <c r="C174" s="51"/>
      <c r="D174" s="52"/>
      <c r="E174" s="54" t="str">
        <f aca="false">IFERROR(IF(OR(C174="",C174=0,D174=""),"",D174*1440/C174),"")</f>
        <v/>
      </c>
      <c r="F174" s="31"/>
      <c r="G174" s="31"/>
      <c r="H174" s="31"/>
      <c r="I174" s="36" t="str">
        <f aca="false">IF(A174="","",INT((A174-StartDate)/7)+1)</f>
        <v/>
      </c>
      <c r="J174" s="36" t="str">
        <f aca="false">IF(A174="","",TEXT(A174,"mmm"))</f>
        <v/>
      </c>
    </row>
    <row r="175" customFormat="false" ht="15" hidden="false" customHeight="false" outlineLevel="0" collapsed="false">
      <c r="A175" s="45"/>
      <c r="B175" s="32"/>
      <c r="C175" s="51"/>
      <c r="D175" s="52"/>
      <c r="E175" s="53" t="str">
        <f aca="false">IFERROR(IF(OR(C175="",C175=0,D175=""),"",D175*1440/C175),"")</f>
        <v/>
      </c>
      <c r="F175" s="31"/>
      <c r="G175" s="31"/>
      <c r="H175" s="31"/>
      <c r="I175" s="27" t="str">
        <f aca="false">IF(A175="","",INT((A175-StartDate)/7)+1)</f>
        <v/>
      </c>
      <c r="J175" s="27" t="str">
        <f aca="false">IF(A175="","",TEXT(A175,"mmm"))</f>
        <v/>
      </c>
    </row>
    <row r="176" customFormat="false" ht="15" hidden="false" customHeight="false" outlineLevel="0" collapsed="false">
      <c r="A176" s="45"/>
      <c r="B176" s="32"/>
      <c r="C176" s="51"/>
      <c r="D176" s="52"/>
      <c r="E176" s="54" t="str">
        <f aca="false">IFERROR(IF(OR(C176="",C176=0,D176=""),"",D176*1440/C176),"")</f>
        <v/>
      </c>
      <c r="F176" s="31"/>
      <c r="G176" s="31"/>
      <c r="H176" s="31"/>
      <c r="I176" s="36" t="str">
        <f aca="false">IF(A176="","",INT((A176-StartDate)/7)+1)</f>
        <v/>
      </c>
      <c r="J176" s="36" t="str">
        <f aca="false">IF(A176="","",TEXT(A176,"mmm"))</f>
        <v/>
      </c>
    </row>
    <row r="177" customFormat="false" ht="15" hidden="false" customHeight="false" outlineLevel="0" collapsed="false">
      <c r="A177" s="45"/>
      <c r="B177" s="32"/>
      <c r="C177" s="51"/>
      <c r="D177" s="52"/>
      <c r="E177" s="53" t="str">
        <f aca="false">IFERROR(IF(OR(C177="",C177=0,D177=""),"",D177*1440/C177),"")</f>
        <v/>
      </c>
      <c r="F177" s="31"/>
      <c r="G177" s="31"/>
      <c r="H177" s="31"/>
      <c r="I177" s="27" t="str">
        <f aca="false">IF(A177="","",INT((A177-StartDate)/7)+1)</f>
        <v/>
      </c>
      <c r="J177" s="27" t="str">
        <f aca="false">IF(A177="","",TEXT(A177,"mmm"))</f>
        <v/>
      </c>
    </row>
    <row r="178" customFormat="false" ht="15" hidden="false" customHeight="false" outlineLevel="0" collapsed="false">
      <c r="A178" s="45"/>
      <c r="B178" s="32"/>
      <c r="C178" s="51"/>
      <c r="D178" s="52"/>
      <c r="E178" s="54" t="str">
        <f aca="false">IFERROR(IF(OR(C178="",C178=0,D178=""),"",D178*1440/C178),"")</f>
        <v/>
      </c>
      <c r="F178" s="31"/>
      <c r="G178" s="31"/>
      <c r="H178" s="31"/>
      <c r="I178" s="36" t="str">
        <f aca="false">IF(A178="","",INT((A178-StartDate)/7)+1)</f>
        <v/>
      </c>
      <c r="J178" s="36" t="str">
        <f aca="false">IF(A178="","",TEXT(A178,"mmm"))</f>
        <v/>
      </c>
    </row>
    <row r="179" customFormat="false" ht="15" hidden="false" customHeight="false" outlineLevel="0" collapsed="false">
      <c r="A179" s="45"/>
      <c r="B179" s="32"/>
      <c r="C179" s="51"/>
      <c r="D179" s="52"/>
      <c r="E179" s="53" t="str">
        <f aca="false">IFERROR(IF(OR(C179="",C179=0,D179=""),"",D179*1440/C179),"")</f>
        <v/>
      </c>
      <c r="F179" s="31"/>
      <c r="G179" s="31"/>
      <c r="H179" s="31"/>
      <c r="I179" s="27" t="str">
        <f aca="false">IF(A179="","",INT((A179-StartDate)/7)+1)</f>
        <v/>
      </c>
      <c r="J179" s="27" t="str">
        <f aca="false">IF(A179="","",TEXT(A179,"mmm"))</f>
        <v/>
      </c>
    </row>
    <row r="180" customFormat="false" ht="15" hidden="false" customHeight="false" outlineLevel="0" collapsed="false">
      <c r="A180" s="45"/>
      <c r="B180" s="32"/>
      <c r="C180" s="51"/>
      <c r="D180" s="52"/>
      <c r="E180" s="54" t="str">
        <f aca="false">IFERROR(IF(OR(C180="",C180=0,D180=""),"",D180*1440/C180),"")</f>
        <v/>
      </c>
      <c r="F180" s="31"/>
      <c r="G180" s="31"/>
      <c r="H180" s="31"/>
      <c r="I180" s="36" t="str">
        <f aca="false">IF(A180="","",INT((A180-StartDate)/7)+1)</f>
        <v/>
      </c>
      <c r="J180" s="36" t="str">
        <f aca="false">IF(A180="","",TEXT(A180,"mmm"))</f>
        <v/>
      </c>
    </row>
    <row r="181" customFormat="false" ht="15" hidden="false" customHeight="false" outlineLevel="0" collapsed="false">
      <c r="A181" s="45"/>
      <c r="B181" s="32"/>
      <c r="C181" s="51"/>
      <c r="D181" s="52"/>
      <c r="E181" s="53" t="str">
        <f aca="false">IFERROR(IF(OR(C181="",C181=0,D181=""),"",D181*1440/C181),"")</f>
        <v/>
      </c>
      <c r="F181" s="31"/>
      <c r="G181" s="31"/>
      <c r="H181" s="31"/>
      <c r="I181" s="27" t="str">
        <f aca="false">IF(A181="","",INT((A181-StartDate)/7)+1)</f>
        <v/>
      </c>
      <c r="J181" s="27" t="str">
        <f aca="false">IF(A181="","",TEXT(A181,"mmm"))</f>
        <v/>
      </c>
    </row>
    <row r="182" customFormat="false" ht="15" hidden="false" customHeight="false" outlineLevel="0" collapsed="false">
      <c r="A182" s="45"/>
      <c r="B182" s="32"/>
      <c r="C182" s="51"/>
      <c r="D182" s="52"/>
      <c r="E182" s="54" t="str">
        <f aca="false">IFERROR(IF(OR(C182="",C182=0,D182=""),"",D182*1440/C182),"")</f>
        <v/>
      </c>
      <c r="F182" s="31"/>
      <c r="G182" s="31"/>
      <c r="H182" s="31"/>
      <c r="I182" s="36" t="str">
        <f aca="false">IF(A182="","",INT((A182-StartDate)/7)+1)</f>
        <v/>
      </c>
      <c r="J182" s="36" t="str">
        <f aca="false">IF(A182="","",TEXT(A182,"mmm"))</f>
        <v/>
      </c>
    </row>
    <row r="183" customFormat="false" ht="15" hidden="false" customHeight="false" outlineLevel="0" collapsed="false">
      <c r="A183" s="45"/>
      <c r="B183" s="32"/>
      <c r="C183" s="51"/>
      <c r="D183" s="52"/>
      <c r="E183" s="53" t="str">
        <f aca="false">IFERROR(IF(OR(C183="",C183=0,D183=""),"",D183*1440/C183),"")</f>
        <v/>
      </c>
      <c r="F183" s="31"/>
      <c r="G183" s="31"/>
      <c r="H183" s="31"/>
      <c r="I183" s="27" t="str">
        <f aca="false">IF(A183="","",INT((A183-StartDate)/7)+1)</f>
        <v/>
      </c>
      <c r="J183" s="27" t="str">
        <f aca="false">IF(A183="","",TEXT(A183,"mmm"))</f>
        <v/>
      </c>
    </row>
    <row r="184" customFormat="false" ht="15" hidden="false" customHeight="false" outlineLevel="0" collapsed="false">
      <c r="A184" s="45"/>
      <c r="B184" s="32"/>
      <c r="C184" s="51"/>
      <c r="D184" s="52"/>
      <c r="E184" s="54" t="str">
        <f aca="false">IFERROR(IF(OR(C184="",C184=0,D184=""),"",D184*1440/C184),"")</f>
        <v/>
      </c>
      <c r="F184" s="31"/>
      <c r="G184" s="31"/>
      <c r="H184" s="31"/>
      <c r="I184" s="36" t="str">
        <f aca="false">IF(A184="","",INT((A184-StartDate)/7)+1)</f>
        <v/>
      </c>
      <c r="J184" s="36" t="str">
        <f aca="false">IF(A184="","",TEXT(A184,"mmm"))</f>
        <v/>
      </c>
    </row>
    <row r="185" customFormat="false" ht="15" hidden="false" customHeight="false" outlineLevel="0" collapsed="false">
      <c r="A185" s="45"/>
      <c r="B185" s="32"/>
      <c r="C185" s="51"/>
      <c r="D185" s="52"/>
      <c r="E185" s="53" t="str">
        <f aca="false">IFERROR(IF(OR(C185="",C185=0,D185=""),"",D185*1440/C185),"")</f>
        <v/>
      </c>
      <c r="F185" s="31"/>
      <c r="G185" s="31"/>
      <c r="H185" s="31"/>
      <c r="I185" s="27" t="str">
        <f aca="false">IF(A185="","",INT((A185-StartDate)/7)+1)</f>
        <v/>
      </c>
      <c r="J185" s="27" t="str">
        <f aca="false">IF(A185="","",TEXT(A185,"mmm"))</f>
        <v/>
      </c>
    </row>
    <row r="186" customFormat="false" ht="15" hidden="false" customHeight="false" outlineLevel="0" collapsed="false">
      <c r="A186" s="45"/>
      <c r="B186" s="32"/>
      <c r="C186" s="51"/>
      <c r="D186" s="52"/>
      <c r="E186" s="54" t="str">
        <f aca="false">IFERROR(IF(OR(C186="",C186=0,D186=""),"",D186*1440/C186),"")</f>
        <v/>
      </c>
      <c r="F186" s="31"/>
      <c r="G186" s="31"/>
      <c r="H186" s="31"/>
      <c r="I186" s="36" t="str">
        <f aca="false">IF(A186="","",INT((A186-StartDate)/7)+1)</f>
        <v/>
      </c>
      <c r="J186" s="36" t="str">
        <f aca="false">IF(A186="","",TEXT(A186,"mmm"))</f>
        <v/>
      </c>
    </row>
    <row r="187" customFormat="false" ht="15" hidden="false" customHeight="false" outlineLevel="0" collapsed="false">
      <c r="A187" s="45"/>
      <c r="B187" s="32"/>
      <c r="C187" s="51"/>
      <c r="D187" s="52"/>
      <c r="E187" s="53" t="str">
        <f aca="false">IFERROR(IF(OR(C187="",C187=0,D187=""),"",D187*1440/C187),"")</f>
        <v/>
      </c>
      <c r="F187" s="31"/>
      <c r="G187" s="31"/>
      <c r="H187" s="31"/>
      <c r="I187" s="27" t="str">
        <f aca="false">IF(A187="","",INT((A187-StartDate)/7)+1)</f>
        <v/>
      </c>
      <c r="J187" s="27" t="str">
        <f aca="false">IF(A187="","",TEXT(A187,"mmm"))</f>
        <v/>
      </c>
    </row>
    <row r="188" customFormat="false" ht="15" hidden="false" customHeight="false" outlineLevel="0" collapsed="false">
      <c r="A188" s="45"/>
      <c r="B188" s="32"/>
      <c r="C188" s="51"/>
      <c r="D188" s="52"/>
      <c r="E188" s="54" t="str">
        <f aca="false">IFERROR(IF(OR(C188="",C188=0,D188=""),"",D188*1440/C188),"")</f>
        <v/>
      </c>
      <c r="F188" s="31"/>
      <c r="G188" s="31"/>
      <c r="H188" s="31"/>
      <c r="I188" s="36" t="str">
        <f aca="false">IF(A188="","",INT((A188-StartDate)/7)+1)</f>
        <v/>
      </c>
      <c r="J188" s="36" t="str">
        <f aca="false">IF(A188="","",TEXT(A188,"mmm"))</f>
        <v/>
      </c>
    </row>
    <row r="189" customFormat="false" ht="15" hidden="false" customHeight="false" outlineLevel="0" collapsed="false">
      <c r="A189" s="45"/>
      <c r="B189" s="32"/>
      <c r="C189" s="51"/>
      <c r="D189" s="52"/>
      <c r="E189" s="53" t="str">
        <f aca="false">IFERROR(IF(OR(C189="",C189=0,D189=""),"",D189*1440/C189),"")</f>
        <v/>
      </c>
      <c r="F189" s="31"/>
      <c r="G189" s="31"/>
      <c r="H189" s="31"/>
      <c r="I189" s="27" t="str">
        <f aca="false">IF(A189="","",INT((A189-StartDate)/7)+1)</f>
        <v/>
      </c>
      <c r="J189" s="27" t="str">
        <f aca="false">IF(A189="","",TEXT(A189,"mmm"))</f>
        <v/>
      </c>
    </row>
    <row r="190" customFormat="false" ht="15" hidden="false" customHeight="false" outlineLevel="0" collapsed="false">
      <c r="A190" s="45"/>
      <c r="B190" s="32"/>
      <c r="C190" s="51"/>
      <c r="D190" s="52"/>
      <c r="E190" s="54" t="str">
        <f aca="false">IFERROR(IF(OR(C190="",C190=0,D190=""),"",D190*1440/C190),"")</f>
        <v/>
      </c>
      <c r="F190" s="31"/>
      <c r="G190" s="31"/>
      <c r="H190" s="31"/>
      <c r="I190" s="36" t="str">
        <f aca="false">IF(A190="","",INT((A190-StartDate)/7)+1)</f>
        <v/>
      </c>
      <c r="J190" s="36" t="str">
        <f aca="false">IF(A190="","",TEXT(A190,"mmm"))</f>
        <v/>
      </c>
    </row>
    <row r="191" customFormat="false" ht="15" hidden="false" customHeight="false" outlineLevel="0" collapsed="false">
      <c r="A191" s="45"/>
      <c r="B191" s="32"/>
      <c r="C191" s="51"/>
      <c r="D191" s="52"/>
      <c r="E191" s="53" t="str">
        <f aca="false">IFERROR(IF(OR(C191="",C191=0,D191=""),"",D191*1440/C191),"")</f>
        <v/>
      </c>
      <c r="F191" s="31"/>
      <c r="G191" s="31"/>
      <c r="H191" s="31"/>
      <c r="I191" s="27" t="str">
        <f aca="false">IF(A191="","",INT((A191-StartDate)/7)+1)</f>
        <v/>
      </c>
      <c r="J191" s="27" t="str">
        <f aca="false">IF(A191="","",TEXT(A191,"mmm"))</f>
        <v/>
      </c>
    </row>
    <row r="192" customFormat="false" ht="15" hidden="false" customHeight="false" outlineLevel="0" collapsed="false">
      <c r="A192" s="45"/>
      <c r="B192" s="32"/>
      <c r="C192" s="51"/>
      <c r="D192" s="52"/>
      <c r="E192" s="54" t="str">
        <f aca="false">IFERROR(IF(OR(C192="",C192=0,D192=""),"",D192*1440/C192),"")</f>
        <v/>
      </c>
      <c r="F192" s="31"/>
      <c r="G192" s="31"/>
      <c r="H192" s="31"/>
      <c r="I192" s="36" t="str">
        <f aca="false">IF(A192="","",INT((A192-StartDate)/7)+1)</f>
        <v/>
      </c>
      <c r="J192" s="36" t="str">
        <f aca="false">IF(A192="","",TEXT(A192,"mmm"))</f>
        <v/>
      </c>
    </row>
    <row r="193" customFormat="false" ht="15" hidden="false" customHeight="false" outlineLevel="0" collapsed="false">
      <c r="A193" s="45"/>
      <c r="B193" s="32"/>
      <c r="C193" s="51"/>
      <c r="D193" s="52"/>
      <c r="E193" s="53" t="str">
        <f aca="false">IFERROR(IF(OR(C193="",C193=0,D193=""),"",D193*1440/C193),"")</f>
        <v/>
      </c>
      <c r="F193" s="31"/>
      <c r="G193" s="31"/>
      <c r="H193" s="31"/>
      <c r="I193" s="27" t="str">
        <f aca="false">IF(A193="","",INT((A193-StartDate)/7)+1)</f>
        <v/>
      </c>
      <c r="J193" s="27" t="str">
        <f aca="false">IF(A193="","",TEXT(A193,"mmm"))</f>
        <v/>
      </c>
    </row>
    <row r="194" customFormat="false" ht="15" hidden="false" customHeight="false" outlineLevel="0" collapsed="false">
      <c r="A194" s="45"/>
      <c r="B194" s="32"/>
      <c r="C194" s="51"/>
      <c r="D194" s="52"/>
      <c r="E194" s="54" t="str">
        <f aca="false">IFERROR(IF(OR(C194="",C194=0,D194=""),"",D194*1440/C194),"")</f>
        <v/>
      </c>
      <c r="F194" s="31"/>
      <c r="G194" s="31"/>
      <c r="H194" s="31"/>
      <c r="I194" s="36" t="str">
        <f aca="false">IF(A194="","",INT((A194-StartDate)/7)+1)</f>
        <v/>
      </c>
      <c r="J194" s="36" t="str">
        <f aca="false">IF(A194="","",TEXT(A194,"mmm"))</f>
        <v/>
      </c>
    </row>
    <row r="195" customFormat="false" ht="15" hidden="false" customHeight="false" outlineLevel="0" collapsed="false">
      <c r="A195" s="45"/>
      <c r="B195" s="32"/>
      <c r="C195" s="51"/>
      <c r="D195" s="52"/>
      <c r="E195" s="53" t="str">
        <f aca="false">IFERROR(IF(OR(C195="",C195=0,D195=""),"",D195*1440/C195),"")</f>
        <v/>
      </c>
      <c r="F195" s="31"/>
      <c r="G195" s="31"/>
      <c r="H195" s="31"/>
      <c r="I195" s="27" t="str">
        <f aca="false">IF(A195="","",INT((A195-StartDate)/7)+1)</f>
        <v/>
      </c>
      <c r="J195" s="27" t="str">
        <f aca="false">IF(A195="","",TEXT(A195,"mmm"))</f>
        <v/>
      </c>
    </row>
    <row r="196" customFormat="false" ht="15" hidden="false" customHeight="false" outlineLevel="0" collapsed="false">
      <c r="A196" s="45"/>
      <c r="B196" s="32"/>
      <c r="C196" s="51"/>
      <c r="D196" s="52"/>
      <c r="E196" s="54" t="str">
        <f aca="false">IFERROR(IF(OR(C196="",C196=0,D196=""),"",D196*1440/C196),"")</f>
        <v/>
      </c>
      <c r="F196" s="31"/>
      <c r="G196" s="31"/>
      <c r="H196" s="31"/>
      <c r="I196" s="36" t="str">
        <f aca="false">IF(A196="","",INT((A196-StartDate)/7)+1)</f>
        <v/>
      </c>
      <c r="J196" s="36" t="str">
        <f aca="false">IF(A196="","",TEXT(A196,"mmm"))</f>
        <v/>
      </c>
    </row>
    <row r="197" customFormat="false" ht="15" hidden="false" customHeight="false" outlineLevel="0" collapsed="false">
      <c r="A197" s="45"/>
      <c r="B197" s="32"/>
      <c r="C197" s="51"/>
      <c r="D197" s="52"/>
      <c r="E197" s="53" t="str">
        <f aca="false">IFERROR(IF(OR(C197="",C197=0,D197=""),"",D197*1440/C197),"")</f>
        <v/>
      </c>
      <c r="F197" s="31"/>
      <c r="G197" s="31"/>
      <c r="H197" s="31"/>
      <c r="I197" s="27" t="str">
        <f aca="false">IF(A197="","",INT((A197-StartDate)/7)+1)</f>
        <v/>
      </c>
      <c r="J197" s="27" t="str">
        <f aca="false">IF(A197="","",TEXT(A197,"mmm"))</f>
        <v/>
      </c>
    </row>
    <row r="198" customFormat="false" ht="15" hidden="false" customHeight="false" outlineLevel="0" collapsed="false">
      <c r="A198" s="45"/>
      <c r="B198" s="32"/>
      <c r="C198" s="51"/>
      <c r="D198" s="52"/>
      <c r="E198" s="54" t="str">
        <f aca="false">IFERROR(IF(OR(C198="",C198=0,D198=""),"",D198*1440/C198),"")</f>
        <v/>
      </c>
      <c r="F198" s="31"/>
      <c r="G198" s="31"/>
      <c r="H198" s="31"/>
      <c r="I198" s="36" t="str">
        <f aca="false">IF(A198="","",INT((A198-StartDate)/7)+1)</f>
        <v/>
      </c>
      <c r="J198" s="36" t="str">
        <f aca="false">IF(A198="","",TEXT(A198,"mmm"))</f>
        <v/>
      </c>
    </row>
    <row r="199" customFormat="false" ht="15" hidden="false" customHeight="false" outlineLevel="0" collapsed="false">
      <c r="A199" s="45"/>
      <c r="B199" s="32"/>
      <c r="C199" s="51"/>
      <c r="D199" s="52"/>
      <c r="E199" s="53" t="str">
        <f aca="false">IFERROR(IF(OR(C199="",C199=0,D199=""),"",D199*1440/C199),"")</f>
        <v/>
      </c>
      <c r="F199" s="31"/>
      <c r="G199" s="31"/>
      <c r="H199" s="31"/>
      <c r="I199" s="27" t="str">
        <f aca="false">IF(A199="","",INT((A199-StartDate)/7)+1)</f>
        <v/>
      </c>
      <c r="J199" s="27" t="str">
        <f aca="false">IF(A199="","",TEXT(A199,"mmm"))</f>
        <v/>
      </c>
    </row>
    <row r="200" customFormat="false" ht="15" hidden="false" customHeight="false" outlineLevel="0" collapsed="false">
      <c r="A200" s="45"/>
      <c r="B200" s="32"/>
      <c r="C200" s="51"/>
      <c r="D200" s="52"/>
      <c r="E200" s="54" t="str">
        <f aca="false">IFERROR(IF(OR(C200="",C200=0,D200=""),"",D200*1440/C200),"")</f>
        <v/>
      </c>
      <c r="F200" s="31"/>
      <c r="G200" s="31"/>
      <c r="H200" s="31"/>
      <c r="I200" s="36" t="str">
        <f aca="false">IF(A200="","",INT((A200-StartDate)/7)+1)</f>
        <v/>
      </c>
      <c r="J200" s="36" t="str">
        <f aca="false">IF(A200="","",TEXT(A200,"mmm"))</f>
        <v/>
      </c>
    </row>
    <row r="201" customFormat="false" ht="15" hidden="false" customHeight="false" outlineLevel="0" collapsed="false">
      <c r="A201" s="45"/>
      <c r="B201" s="32"/>
      <c r="C201" s="51"/>
      <c r="D201" s="52"/>
      <c r="E201" s="53" t="str">
        <f aca="false">IFERROR(IF(OR(C201="",C201=0,D201=""),"",D201*1440/C201),"")</f>
        <v/>
      </c>
      <c r="F201" s="31"/>
      <c r="G201" s="31"/>
      <c r="H201" s="31"/>
      <c r="I201" s="27" t="str">
        <f aca="false">IF(A201="","",INT((A201-StartDate)/7)+1)</f>
        <v/>
      </c>
      <c r="J201" s="27" t="str">
        <f aca="false">IF(A201="","",TEXT(A201,"mmm"))</f>
        <v/>
      </c>
    </row>
    <row r="202" customFormat="false" ht="15" hidden="false" customHeight="false" outlineLevel="0" collapsed="false">
      <c r="A202" s="45"/>
      <c r="B202" s="32"/>
      <c r="C202" s="51"/>
      <c r="D202" s="52"/>
      <c r="E202" s="54" t="str">
        <f aca="false">IFERROR(IF(OR(C202="",C202=0,D202=""),"",D202*1440/C202),"")</f>
        <v/>
      </c>
      <c r="F202" s="31"/>
      <c r="G202" s="31"/>
      <c r="H202" s="31"/>
      <c r="I202" s="36" t="str">
        <f aca="false">IF(A202="","",INT((A202-StartDate)/7)+1)</f>
        <v/>
      </c>
      <c r="J202" s="36" t="str">
        <f aca="false">IF(A202="","",TEXT(A202,"mmm"))</f>
        <v/>
      </c>
    </row>
    <row r="203" customFormat="false" ht="15" hidden="false" customHeight="false" outlineLevel="0" collapsed="false">
      <c r="A203" s="45"/>
      <c r="B203" s="32"/>
      <c r="C203" s="51"/>
      <c r="D203" s="52"/>
      <c r="E203" s="53" t="str">
        <f aca="false">IFERROR(IF(OR(C203="",C203=0,D203=""),"",D203*1440/C203),"")</f>
        <v/>
      </c>
      <c r="F203" s="31"/>
      <c r="G203" s="31"/>
      <c r="H203" s="31"/>
      <c r="I203" s="27" t="str">
        <f aca="false">IF(A203="","",INT((A203-StartDate)/7)+1)</f>
        <v/>
      </c>
      <c r="J203" s="27" t="str">
        <f aca="false">IF(A203="","",TEXT(A203,"mmm"))</f>
        <v/>
      </c>
    </row>
    <row r="204" customFormat="false" ht="15" hidden="false" customHeight="false" outlineLevel="0" collapsed="false">
      <c r="A204" s="45"/>
      <c r="B204" s="32"/>
      <c r="C204" s="51"/>
      <c r="D204" s="52"/>
      <c r="E204" s="54" t="str">
        <f aca="false">IFERROR(IF(OR(C204="",C204=0,D204=""),"",D204*1440/C204),"")</f>
        <v/>
      </c>
      <c r="F204" s="31"/>
      <c r="G204" s="31"/>
      <c r="H204" s="31"/>
      <c r="I204" s="36" t="str">
        <f aca="false">IF(A204="","",INT((A204-StartDate)/7)+1)</f>
        <v/>
      </c>
      <c r="J204" s="36" t="str">
        <f aca="false">IF(A204="","",TEXT(A204,"mmm"))</f>
        <v/>
      </c>
    </row>
    <row r="205" customFormat="false" ht="15" hidden="false" customHeight="false" outlineLevel="0" collapsed="false">
      <c r="A205" s="45"/>
      <c r="B205" s="32"/>
      <c r="C205" s="51"/>
      <c r="D205" s="52"/>
      <c r="E205" s="53" t="str">
        <f aca="false">IFERROR(IF(OR(C205="",C205=0,D205=""),"",D205*1440/C205),"")</f>
        <v/>
      </c>
      <c r="F205" s="31"/>
      <c r="G205" s="31"/>
      <c r="H205" s="31"/>
      <c r="I205" s="27" t="str">
        <f aca="false">IF(A205="","",INT((A205-StartDate)/7)+1)</f>
        <v/>
      </c>
      <c r="J205" s="27" t="str">
        <f aca="false">IF(A205="","",TEXT(A205,"mmm"))</f>
        <v/>
      </c>
    </row>
    <row r="206" customFormat="false" ht="15" hidden="false" customHeight="false" outlineLevel="0" collapsed="false">
      <c r="A206" s="45"/>
      <c r="B206" s="32"/>
      <c r="C206" s="51"/>
      <c r="D206" s="52"/>
      <c r="E206" s="54" t="str">
        <f aca="false">IFERROR(IF(OR(C206="",C206=0,D206=""),"",D206*1440/C206),"")</f>
        <v/>
      </c>
      <c r="F206" s="31"/>
      <c r="G206" s="31"/>
      <c r="H206" s="31"/>
      <c r="I206" s="36" t="str">
        <f aca="false">IF(A206="","",INT((A206-StartDate)/7)+1)</f>
        <v/>
      </c>
      <c r="J206" s="36" t="str">
        <f aca="false">IF(A206="","",TEXT(A206,"mmm"))</f>
        <v/>
      </c>
    </row>
    <row r="207" customFormat="false" ht="15" hidden="false" customHeight="false" outlineLevel="0" collapsed="false">
      <c r="A207" s="45"/>
      <c r="B207" s="32"/>
      <c r="C207" s="51"/>
      <c r="D207" s="52"/>
      <c r="E207" s="53" t="str">
        <f aca="false">IFERROR(IF(OR(C207="",C207=0,D207=""),"",D207*1440/C207),"")</f>
        <v/>
      </c>
      <c r="F207" s="31"/>
      <c r="G207" s="31"/>
      <c r="H207" s="31"/>
      <c r="I207" s="27" t="str">
        <f aca="false">IF(A207="","",INT((A207-StartDate)/7)+1)</f>
        <v/>
      </c>
      <c r="J207" s="27" t="str">
        <f aca="false">IF(A207="","",TEXT(A207,"mmm"))</f>
        <v/>
      </c>
    </row>
    <row r="208" customFormat="false" ht="15" hidden="false" customHeight="false" outlineLevel="0" collapsed="false">
      <c r="A208" s="45"/>
      <c r="B208" s="32"/>
      <c r="C208" s="51"/>
      <c r="D208" s="52"/>
      <c r="E208" s="54" t="str">
        <f aca="false">IFERROR(IF(OR(C208="",C208=0,D208=""),"",D208*1440/C208),"")</f>
        <v/>
      </c>
      <c r="F208" s="31"/>
      <c r="G208" s="31"/>
      <c r="H208" s="31"/>
      <c r="I208" s="36" t="str">
        <f aca="false">IF(A208="","",INT((A208-StartDate)/7)+1)</f>
        <v/>
      </c>
      <c r="J208" s="36" t="str">
        <f aca="false">IF(A208="","",TEXT(A208,"mmm"))</f>
        <v/>
      </c>
    </row>
    <row r="209" customFormat="false" ht="15" hidden="false" customHeight="false" outlineLevel="0" collapsed="false">
      <c r="A209" s="45"/>
      <c r="B209" s="32"/>
      <c r="C209" s="51"/>
      <c r="D209" s="52"/>
      <c r="E209" s="53" t="str">
        <f aca="false">IFERROR(IF(OR(C209="",C209=0,D209=""),"",D209*1440/C209),"")</f>
        <v/>
      </c>
      <c r="F209" s="31"/>
      <c r="G209" s="31"/>
      <c r="H209" s="31"/>
      <c r="I209" s="27" t="str">
        <f aca="false">IF(A209="","",INT((A209-StartDate)/7)+1)</f>
        <v/>
      </c>
      <c r="J209" s="27" t="str">
        <f aca="false">IF(A209="","",TEXT(A209,"mmm"))</f>
        <v/>
      </c>
    </row>
    <row r="210" customFormat="false" ht="15" hidden="false" customHeight="false" outlineLevel="0" collapsed="false">
      <c r="A210" s="45"/>
      <c r="B210" s="32"/>
      <c r="C210" s="51"/>
      <c r="D210" s="52"/>
      <c r="E210" s="54" t="str">
        <f aca="false">IFERROR(IF(OR(C210="",C210=0,D210=""),"",D210*1440/C210),"")</f>
        <v/>
      </c>
      <c r="F210" s="31"/>
      <c r="G210" s="31"/>
      <c r="H210" s="31"/>
      <c r="I210" s="36" t="str">
        <f aca="false">IF(A210="","",INT((A210-StartDate)/7)+1)</f>
        <v/>
      </c>
      <c r="J210" s="36" t="str">
        <f aca="false">IF(A210="","",TEXT(A210,"mmm"))</f>
        <v/>
      </c>
    </row>
    <row r="211" customFormat="false" ht="15" hidden="false" customHeight="false" outlineLevel="0" collapsed="false">
      <c r="A211" s="45"/>
      <c r="B211" s="32"/>
      <c r="C211" s="51"/>
      <c r="D211" s="52"/>
      <c r="E211" s="53" t="str">
        <f aca="false">IFERROR(IF(OR(C211="",C211=0,D211=""),"",D211*1440/C211),"")</f>
        <v/>
      </c>
      <c r="F211" s="31"/>
      <c r="G211" s="31"/>
      <c r="H211" s="31"/>
      <c r="I211" s="27" t="str">
        <f aca="false">IF(A211="","",INT((A211-StartDate)/7)+1)</f>
        <v/>
      </c>
      <c r="J211" s="27" t="str">
        <f aca="false">IF(A211="","",TEXT(A211,"mmm"))</f>
        <v/>
      </c>
    </row>
    <row r="212" customFormat="false" ht="15" hidden="false" customHeight="false" outlineLevel="0" collapsed="false">
      <c r="A212" s="45"/>
      <c r="B212" s="32"/>
      <c r="C212" s="51"/>
      <c r="D212" s="52"/>
      <c r="E212" s="54" t="str">
        <f aca="false">IFERROR(IF(OR(C212="",C212=0,D212=""),"",D212*1440/C212),"")</f>
        <v/>
      </c>
      <c r="F212" s="31"/>
      <c r="G212" s="31"/>
      <c r="H212" s="31"/>
      <c r="I212" s="36" t="str">
        <f aca="false">IF(A212="","",INT((A212-StartDate)/7)+1)</f>
        <v/>
      </c>
      <c r="J212" s="36" t="str">
        <f aca="false">IF(A212="","",TEXT(A212,"mmm"))</f>
        <v/>
      </c>
    </row>
    <row r="213" customFormat="false" ht="15" hidden="false" customHeight="false" outlineLevel="0" collapsed="false">
      <c r="A213" s="45"/>
      <c r="B213" s="32"/>
      <c r="C213" s="51"/>
      <c r="D213" s="52"/>
      <c r="E213" s="53" t="str">
        <f aca="false">IFERROR(IF(OR(C213="",C213=0,D213=""),"",D213*1440/C213),"")</f>
        <v/>
      </c>
      <c r="F213" s="31"/>
      <c r="G213" s="31"/>
      <c r="H213" s="31"/>
      <c r="I213" s="27" t="str">
        <f aca="false">IF(A213="","",INT((A213-StartDate)/7)+1)</f>
        <v/>
      </c>
      <c r="J213" s="27" t="str">
        <f aca="false">IF(A213="","",TEXT(A213,"mmm"))</f>
        <v/>
      </c>
    </row>
    <row r="214" customFormat="false" ht="15" hidden="false" customHeight="false" outlineLevel="0" collapsed="false">
      <c r="A214" s="45"/>
      <c r="B214" s="32"/>
      <c r="C214" s="51"/>
      <c r="D214" s="52"/>
      <c r="E214" s="54" t="str">
        <f aca="false">IFERROR(IF(OR(C214="",C214=0,D214=""),"",D214*1440/C214),"")</f>
        <v/>
      </c>
      <c r="F214" s="31"/>
      <c r="G214" s="31"/>
      <c r="H214" s="31"/>
      <c r="I214" s="36" t="str">
        <f aca="false">IF(A214="","",INT((A214-StartDate)/7)+1)</f>
        <v/>
      </c>
      <c r="J214" s="36" t="str">
        <f aca="false">IF(A214="","",TEXT(A214,"mmm"))</f>
        <v/>
      </c>
    </row>
    <row r="215" customFormat="false" ht="15" hidden="false" customHeight="false" outlineLevel="0" collapsed="false">
      <c r="A215" s="45"/>
      <c r="B215" s="32"/>
      <c r="C215" s="51"/>
      <c r="D215" s="52"/>
      <c r="E215" s="53" t="str">
        <f aca="false">IFERROR(IF(OR(C215="",C215=0,D215=""),"",D215*1440/C215),"")</f>
        <v/>
      </c>
      <c r="F215" s="31"/>
      <c r="G215" s="31"/>
      <c r="H215" s="31"/>
      <c r="I215" s="27" t="str">
        <f aca="false">IF(A215="","",INT((A215-StartDate)/7)+1)</f>
        <v/>
      </c>
      <c r="J215" s="27" t="str">
        <f aca="false">IF(A215="","",TEXT(A215,"mmm"))</f>
        <v/>
      </c>
    </row>
    <row r="216" customFormat="false" ht="15" hidden="false" customHeight="false" outlineLevel="0" collapsed="false">
      <c r="A216" s="45"/>
      <c r="B216" s="32"/>
      <c r="C216" s="51"/>
      <c r="D216" s="52"/>
      <c r="E216" s="54" t="str">
        <f aca="false">IFERROR(IF(OR(C216="",C216=0,D216=""),"",D216*1440/C216),"")</f>
        <v/>
      </c>
      <c r="F216" s="31"/>
      <c r="G216" s="31"/>
      <c r="H216" s="31"/>
      <c r="I216" s="36" t="str">
        <f aca="false">IF(A216="","",INT((A216-StartDate)/7)+1)</f>
        <v/>
      </c>
      <c r="J216" s="36" t="str">
        <f aca="false">IF(A216="","",TEXT(A216,"mmm"))</f>
        <v/>
      </c>
    </row>
    <row r="217" customFormat="false" ht="15" hidden="false" customHeight="false" outlineLevel="0" collapsed="false">
      <c r="A217" s="45"/>
      <c r="B217" s="32"/>
      <c r="C217" s="51"/>
      <c r="D217" s="52"/>
      <c r="E217" s="53" t="str">
        <f aca="false">IFERROR(IF(OR(C217="",C217=0,D217=""),"",D217*1440/C217),"")</f>
        <v/>
      </c>
      <c r="F217" s="31"/>
      <c r="G217" s="31"/>
      <c r="H217" s="31"/>
      <c r="I217" s="27" t="str">
        <f aca="false">IF(A217="","",INT((A217-StartDate)/7)+1)</f>
        <v/>
      </c>
      <c r="J217" s="27" t="str">
        <f aca="false">IF(A217="","",TEXT(A217,"mmm"))</f>
        <v/>
      </c>
    </row>
    <row r="218" customFormat="false" ht="15" hidden="false" customHeight="false" outlineLevel="0" collapsed="false">
      <c r="A218" s="45"/>
      <c r="B218" s="32"/>
      <c r="C218" s="51"/>
      <c r="D218" s="52"/>
      <c r="E218" s="54" t="str">
        <f aca="false">IFERROR(IF(OR(C218="",C218=0,D218=""),"",D218*1440/C218),"")</f>
        <v/>
      </c>
      <c r="F218" s="31"/>
      <c r="G218" s="31"/>
      <c r="H218" s="31"/>
      <c r="I218" s="36" t="str">
        <f aca="false">IF(A218="","",INT((A218-StartDate)/7)+1)</f>
        <v/>
      </c>
      <c r="J218" s="36" t="str">
        <f aca="false">IF(A218="","",TEXT(A218,"mmm"))</f>
        <v/>
      </c>
    </row>
    <row r="219" customFormat="false" ht="15" hidden="false" customHeight="false" outlineLevel="0" collapsed="false">
      <c r="A219" s="45"/>
      <c r="B219" s="32"/>
      <c r="C219" s="51"/>
      <c r="D219" s="52"/>
      <c r="E219" s="53" t="str">
        <f aca="false">IFERROR(IF(OR(C219="",C219=0,D219=""),"",D219*1440/C219),"")</f>
        <v/>
      </c>
      <c r="F219" s="31"/>
      <c r="G219" s="31"/>
      <c r="H219" s="31"/>
      <c r="I219" s="27" t="str">
        <f aca="false">IF(A219="","",INT((A219-StartDate)/7)+1)</f>
        <v/>
      </c>
      <c r="J219" s="27" t="str">
        <f aca="false">IF(A219="","",TEXT(A219,"mmm"))</f>
        <v/>
      </c>
    </row>
    <row r="220" customFormat="false" ht="15" hidden="false" customHeight="false" outlineLevel="0" collapsed="false">
      <c r="A220" s="45"/>
      <c r="B220" s="32"/>
      <c r="C220" s="51"/>
      <c r="D220" s="52"/>
      <c r="E220" s="54" t="str">
        <f aca="false">IFERROR(IF(OR(C220="",C220=0,D220=""),"",D220*1440/C220),"")</f>
        <v/>
      </c>
      <c r="F220" s="31"/>
      <c r="G220" s="31"/>
      <c r="H220" s="31"/>
      <c r="I220" s="36" t="str">
        <f aca="false">IF(A220="","",INT((A220-StartDate)/7)+1)</f>
        <v/>
      </c>
      <c r="J220" s="36" t="str">
        <f aca="false">IF(A220="","",TEXT(A220,"mmm"))</f>
        <v/>
      </c>
    </row>
    <row r="221" customFormat="false" ht="15" hidden="false" customHeight="false" outlineLevel="0" collapsed="false">
      <c r="A221" s="45"/>
      <c r="B221" s="32"/>
      <c r="C221" s="51"/>
      <c r="D221" s="52"/>
      <c r="E221" s="53" t="str">
        <f aca="false">IFERROR(IF(OR(C221="",C221=0,D221=""),"",D221*1440/C221),"")</f>
        <v/>
      </c>
      <c r="F221" s="31"/>
      <c r="G221" s="31"/>
      <c r="H221" s="31"/>
      <c r="I221" s="27" t="str">
        <f aca="false">IF(A221="","",INT((A221-StartDate)/7)+1)</f>
        <v/>
      </c>
      <c r="J221" s="27" t="str">
        <f aca="false">IF(A221="","",TEXT(A221,"mmm"))</f>
        <v/>
      </c>
    </row>
    <row r="222" customFormat="false" ht="15" hidden="false" customHeight="false" outlineLevel="0" collapsed="false">
      <c r="A222" s="45"/>
      <c r="B222" s="32"/>
      <c r="C222" s="51"/>
      <c r="D222" s="52"/>
      <c r="E222" s="54" t="str">
        <f aca="false">IFERROR(IF(OR(C222="",C222=0,D222=""),"",D222*1440/C222),"")</f>
        <v/>
      </c>
      <c r="F222" s="31"/>
      <c r="G222" s="31"/>
      <c r="H222" s="31"/>
      <c r="I222" s="36" t="str">
        <f aca="false">IF(A222="","",INT((A222-StartDate)/7)+1)</f>
        <v/>
      </c>
      <c r="J222" s="36" t="str">
        <f aca="false">IF(A222="","",TEXT(A222,"mmm"))</f>
        <v/>
      </c>
    </row>
    <row r="223" customFormat="false" ht="15" hidden="false" customHeight="false" outlineLevel="0" collapsed="false">
      <c r="A223" s="45"/>
      <c r="B223" s="32"/>
      <c r="C223" s="51"/>
      <c r="D223" s="52"/>
      <c r="E223" s="53" t="str">
        <f aca="false">IFERROR(IF(OR(C223="",C223=0,D223=""),"",D223*1440/C223),"")</f>
        <v/>
      </c>
      <c r="F223" s="31"/>
      <c r="G223" s="31"/>
      <c r="H223" s="31"/>
      <c r="I223" s="27" t="str">
        <f aca="false">IF(A223="","",INT((A223-StartDate)/7)+1)</f>
        <v/>
      </c>
      <c r="J223" s="27" t="str">
        <f aca="false">IF(A223="","",TEXT(A223,"mmm"))</f>
        <v/>
      </c>
    </row>
    <row r="224" customFormat="false" ht="15" hidden="false" customHeight="false" outlineLevel="0" collapsed="false">
      <c r="A224" s="45"/>
      <c r="B224" s="32"/>
      <c r="C224" s="51"/>
      <c r="D224" s="52"/>
      <c r="E224" s="54" t="str">
        <f aca="false">IFERROR(IF(OR(C224="",C224=0,D224=""),"",D224*1440/C224),"")</f>
        <v/>
      </c>
      <c r="F224" s="31"/>
      <c r="G224" s="31"/>
      <c r="H224" s="31"/>
      <c r="I224" s="36" t="str">
        <f aca="false">IF(A224="","",INT((A224-StartDate)/7)+1)</f>
        <v/>
      </c>
      <c r="J224" s="36" t="str">
        <f aca="false">IF(A224="","",TEXT(A224,"mmm"))</f>
        <v/>
      </c>
    </row>
    <row r="225" customFormat="false" ht="15" hidden="false" customHeight="false" outlineLevel="0" collapsed="false">
      <c r="A225" s="45"/>
      <c r="B225" s="32"/>
      <c r="C225" s="51"/>
      <c r="D225" s="52"/>
      <c r="E225" s="53" t="str">
        <f aca="false">IFERROR(IF(OR(C225="",C225=0,D225=""),"",D225*1440/C225),"")</f>
        <v/>
      </c>
      <c r="F225" s="31"/>
      <c r="G225" s="31"/>
      <c r="H225" s="31"/>
      <c r="I225" s="27" t="str">
        <f aca="false">IF(A225="","",INT((A225-StartDate)/7)+1)</f>
        <v/>
      </c>
      <c r="J225" s="27" t="str">
        <f aca="false">IF(A225="","",TEXT(A225,"mmm"))</f>
        <v/>
      </c>
    </row>
    <row r="226" customFormat="false" ht="15" hidden="false" customHeight="false" outlineLevel="0" collapsed="false">
      <c r="A226" s="45"/>
      <c r="B226" s="32"/>
      <c r="C226" s="51"/>
      <c r="D226" s="52"/>
      <c r="E226" s="54" t="str">
        <f aca="false">IFERROR(IF(OR(C226="",C226=0,D226=""),"",D226*1440/C226),"")</f>
        <v/>
      </c>
      <c r="F226" s="31"/>
      <c r="G226" s="31"/>
      <c r="H226" s="31"/>
      <c r="I226" s="36" t="str">
        <f aca="false">IF(A226="","",INT((A226-StartDate)/7)+1)</f>
        <v/>
      </c>
      <c r="J226" s="36" t="str">
        <f aca="false">IF(A226="","",TEXT(A226,"mmm"))</f>
        <v/>
      </c>
    </row>
    <row r="227" customFormat="false" ht="15" hidden="false" customHeight="false" outlineLevel="0" collapsed="false">
      <c r="A227" s="45"/>
      <c r="B227" s="32"/>
      <c r="C227" s="51"/>
      <c r="D227" s="52"/>
      <c r="E227" s="53" t="str">
        <f aca="false">IFERROR(IF(OR(C227="",C227=0,D227=""),"",D227*1440/C227),"")</f>
        <v/>
      </c>
      <c r="F227" s="31"/>
      <c r="G227" s="31"/>
      <c r="H227" s="31"/>
      <c r="I227" s="27" t="str">
        <f aca="false">IF(A227="","",INT((A227-StartDate)/7)+1)</f>
        <v/>
      </c>
      <c r="J227" s="27" t="str">
        <f aca="false">IF(A227="","",TEXT(A227,"mmm"))</f>
        <v/>
      </c>
    </row>
    <row r="228" customFormat="false" ht="15" hidden="false" customHeight="false" outlineLevel="0" collapsed="false">
      <c r="A228" s="45"/>
      <c r="B228" s="32"/>
      <c r="C228" s="51"/>
      <c r="D228" s="52"/>
      <c r="E228" s="54" t="str">
        <f aca="false">IFERROR(IF(OR(C228="",C228=0,D228=""),"",D228*1440/C228),"")</f>
        <v/>
      </c>
      <c r="F228" s="31"/>
      <c r="G228" s="31"/>
      <c r="H228" s="31"/>
      <c r="I228" s="36" t="str">
        <f aca="false">IF(A228="","",INT((A228-StartDate)/7)+1)</f>
        <v/>
      </c>
      <c r="J228" s="36" t="str">
        <f aca="false">IF(A228="","",TEXT(A228,"mmm"))</f>
        <v/>
      </c>
    </row>
    <row r="229" customFormat="false" ht="15" hidden="false" customHeight="false" outlineLevel="0" collapsed="false">
      <c r="A229" s="45"/>
      <c r="B229" s="32"/>
      <c r="C229" s="51"/>
      <c r="D229" s="52"/>
      <c r="E229" s="53" t="str">
        <f aca="false">IFERROR(IF(OR(C229="",C229=0,D229=""),"",D229*1440/C229),"")</f>
        <v/>
      </c>
      <c r="F229" s="31"/>
      <c r="G229" s="31"/>
      <c r="H229" s="31"/>
      <c r="I229" s="27" t="str">
        <f aca="false">IF(A229="","",INT((A229-StartDate)/7)+1)</f>
        <v/>
      </c>
      <c r="J229" s="27" t="str">
        <f aca="false">IF(A229="","",TEXT(A229,"mmm"))</f>
        <v/>
      </c>
    </row>
    <row r="230" customFormat="false" ht="15" hidden="false" customHeight="false" outlineLevel="0" collapsed="false">
      <c r="A230" s="45"/>
      <c r="B230" s="32"/>
      <c r="C230" s="51"/>
      <c r="D230" s="52"/>
      <c r="E230" s="54" t="str">
        <f aca="false">IFERROR(IF(OR(C230="",C230=0,D230=""),"",D230*1440/C230),"")</f>
        <v/>
      </c>
      <c r="F230" s="31"/>
      <c r="G230" s="31"/>
      <c r="H230" s="31"/>
      <c r="I230" s="36" t="str">
        <f aca="false">IF(A230="","",INT((A230-StartDate)/7)+1)</f>
        <v/>
      </c>
      <c r="J230" s="36" t="str">
        <f aca="false">IF(A230="","",TEXT(A230,"mmm"))</f>
        <v/>
      </c>
    </row>
    <row r="231" customFormat="false" ht="15" hidden="false" customHeight="false" outlineLevel="0" collapsed="false">
      <c r="A231" s="45"/>
      <c r="B231" s="32"/>
      <c r="C231" s="51"/>
      <c r="D231" s="52"/>
      <c r="E231" s="53" t="str">
        <f aca="false">IFERROR(IF(OR(C231="",C231=0,D231=""),"",D231*1440/C231),"")</f>
        <v/>
      </c>
      <c r="F231" s="31"/>
      <c r="G231" s="31"/>
      <c r="H231" s="31"/>
      <c r="I231" s="27" t="str">
        <f aca="false">IF(A231="","",INT((A231-StartDate)/7)+1)</f>
        <v/>
      </c>
      <c r="J231" s="27" t="str">
        <f aca="false">IF(A231="","",TEXT(A231,"mmm"))</f>
        <v/>
      </c>
    </row>
    <row r="232" customFormat="false" ht="15" hidden="false" customHeight="false" outlineLevel="0" collapsed="false">
      <c r="A232" s="45"/>
      <c r="B232" s="32"/>
      <c r="C232" s="51"/>
      <c r="D232" s="52"/>
      <c r="E232" s="54" t="str">
        <f aca="false">IFERROR(IF(OR(C232="",C232=0,D232=""),"",D232*1440/C232),"")</f>
        <v/>
      </c>
      <c r="F232" s="31"/>
      <c r="G232" s="31"/>
      <c r="H232" s="31"/>
      <c r="I232" s="36" t="str">
        <f aca="false">IF(A232="","",INT((A232-StartDate)/7)+1)</f>
        <v/>
      </c>
      <c r="J232" s="36" t="str">
        <f aca="false">IF(A232="","",TEXT(A232,"mmm"))</f>
        <v/>
      </c>
    </row>
    <row r="233" customFormat="false" ht="15" hidden="false" customHeight="false" outlineLevel="0" collapsed="false">
      <c r="A233" s="45"/>
      <c r="B233" s="32"/>
      <c r="C233" s="51"/>
      <c r="D233" s="52"/>
      <c r="E233" s="53" t="str">
        <f aca="false">IFERROR(IF(OR(C233="",C233=0,D233=""),"",D233*1440/C233),"")</f>
        <v/>
      </c>
      <c r="F233" s="31"/>
      <c r="G233" s="31"/>
      <c r="H233" s="31"/>
      <c r="I233" s="27" t="str">
        <f aca="false">IF(A233="","",INT((A233-StartDate)/7)+1)</f>
        <v/>
      </c>
      <c r="J233" s="27" t="str">
        <f aca="false">IF(A233="","",TEXT(A233,"mmm"))</f>
        <v/>
      </c>
    </row>
    <row r="234" customFormat="false" ht="15" hidden="false" customHeight="false" outlineLevel="0" collapsed="false">
      <c r="A234" s="45"/>
      <c r="B234" s="32"/>
      <c r="C234" s="51"/>
      <c r="D234" s="52"/>
      <c r="E234" s="54" t="str">
        <f aca="false">IFERROR(IF(OR(C234="",C234=0,D234=""),"",D234*1440/C234),"")</f>
        <v/>
      </c>
      <c r="F234" s="31"/>
      <c r="G234" s="31"/>
      <c r="H234" s="31"/>
      <c r="I234" s="36" t="str">
        <f aca="false">IF(A234="","",INT((A234-StartDate)/7)+1)</f>
        <v/>
      </c>
      <c r="J234" s="36" t="str">
        <f aca="false">IF(A234="","",TEXT(A234,"mmm"))</f>
        <v/>
      </c>
    </row>
    <row r="235" customFormat="false" ht="15" hidden="false" customHeight="false" outlineLevel="0" collapsed="false">
      <c r="A235" s="45"/>
      <c r="B235" s="32"/>
      <c r="C235" s="51"/>
      <c r="D235" s="52"/>
      <c r="E235" s="53" t="str">
        <f aca="false">IFERROR(IF(OR(C235="",C235=0,D235=""),"",D235*1440/C235),"")</f>
        <v/>
      </c>
      <c r="F235" s="31"/>
      <c r="G235" s="31"/>
      <c r="H235" s="31"/>
      <c r="I235" s="27" t="str">
        <f aca="false">IF(A235="","",INT((A235-StartDate)/7)+1)</f>
        <v/>
      </c>
      <c r="J235" s="27" t="str">
        <f aca="false">IF(A235="","",TEXT(A235,"mmm"))</f>
        <v/>
      </c>
    </row>
    <row r="236" customFormat="false" ht="15" hidden="false" customHeight="false" outlineLevel="0" collapsed="false">
      <c r="A236" s="45"/>
      <c r="B236" s="32"/>
      <c r="C236" s="51"/>
      <c r="D236" s="52"/>
      <c r="E236" s="54" t="str">
        <f aca="false">IFERROR(IF(OR(C236="",C236=0,D236=""),"",D236*1440/C236),"")</f>
        <v/>
      </c>
      <c r="F236" s="31"/>
      <c r="G236" s="31"/>
      <c r="H236" s="31"/>
      <c r="I236" s="36" t="str">
        <f aca="false">IF(A236="","",INT((A236-StartDate)/7)+1)</f>
        <v/>
      </c>
      <c r="J236" s="36" t="str">
        <f aca="false">IF(A236="","",TEXT(A236,"mmm"))</f>
        <v/>
      </c>
    </row>
    <row r="237" customFormat="false" ht="15" hidden="false" customHeight="false" outlineLevel="0" collapsed="false">
      <c r="A237" s="45"/>
      <c r="B237" s="32"/>
      <c r="C237" s="51"/>
      <c r="D237" s="52"/>
      <c r="E237" s="53" t="str">
        <f aca="false">IFERROR(IF(OR(C237="",C237=0,D237=""),"",D237*1440/C237),"")</f>
        <v/>
      </c>
      <c r="F237" s="31"/>
      <c r="G237" s="31"/>
      <c r="H237" s="31"/>
      <c r="I237" s="27" t="str">
        <f aca="false">IF(A237="","",INT((A237-StartDate)/7)+1)</f>
        <v/>
      </c>
      <c r="J237" s="27" t="str">
        <f aca="false">IF(A237="","",TEXT(A237,"mmm"))</f>
        <v/>
      </c>
    </row>
    <row r="238" customFormat="false" ht="15" hidden="false" customHeight="false" outlineLevel="0" collapsed="false">
      <c r="A238" s="45"/>
      <c r="B238" s="32"/>
      <c r="C238" s="51"/>
      <c r="D238" s="52"/>
      <c r="E238" s="54" t="str">
        <f aca="false">IFERROR(IF(OR(C238="",C238=0,D238=""),"",D238*1440/C238),"")</f>
        <v/>
      </c>
      <c r="F238" s="31"/>
      <c r="G238" s="31"/>
      <c r="H238" s="31"/>
      <c r="I238" s="36" t="str">
        <f aca="false">IF(A238="","",INT((A238-StartDate)/7)+1)</f>
        <v/>
      </c>
      <c r="J238" s="36" t="str">
        <f aca="false">IF(A238="","",TEXT(A238,"mmm"))</f>
        <v/>
      </c>
    </row>
    <row r="239" customFormat="false" ht="15" hidden="false" customHeight="false" outlineLevel="0" collapsed="false">
      <c r="A239" s="45"/>
      <c r="B239" s="32"/>
      <c r="C239" s="51"/>
      <c r="D239" s="52"/>
      <c r="E239" s="53" t="str">
        <f aca="false">IFERROR(IF(OR(C239="",C239=0,D239=""),"",D239*1440/C239),"")</f>
        <v/>
      </c>
      <c r="F239" s="31"/>
      <c r="G239" s="31"/>
      <c r="H239" s="31"/>
      <c r="I239" s="27" t="str">
        <f aca="false">IF(A239="","",INT((A239-StartDate)/7)+1)</f>
        <v/>
      </c>
      <c r="J239" s="27" t="str">
        <f aca="false">IF(A239="","",TEXT(A239,"mmm"))</f>
        <v/>
      </c>
    </row>
    <row r="240" customFormat="false" ht="15" hidden="false" customHeight="false" outlineLevel="0" collapsed="false">
      <c r="A240" s="45"/>
      <c r="B240" s="32"/>
      <c r="C240" s="51"/>
      <c r="D240" s="52"/>
      <c r="E240" s="54" t="str">
        <f aca="false">IFERROR(IF(OR(C240="",C240=0,D240=""),"",D240*1440/C240),"")</f>
        <v/>
      </c>
      <c r="F240" s="31"/>
      <c r="G240" s="31"/>
      <c r="H240" s="31"/>
      <c r="I240" s="36" t="str">
        <f aca="false">IF(A240="","",INT((A240-StartDate)/7)+1)</f>
        <v/>
      </c>
      <c r="J240" s="36" t="str">
        <f aca="false">IF(A240="","",TEXT(A240,"mmm"))</f>
        <v/>
      </c>
    </row>
    <row r="241" customFormat="false" ht="15" hidden="false" customHeight="false" outlineLevel="0" collapsed="false">
      <c r="A241" s="45"/>
      <c r="B241" s="32"/>
      <c r="C241" s="51"/>
      <c r="D241" s="52"/>
      <c r="E241" s="53" t="str">
        <f aca="false">IFERROR(IF(OR(C241="",C241=0,D241=""),"",D241*1440/C241),"")</f>
        <v/>
      </c>
      <c r="F241" s="31"/>
      <c r="G241" s="31"/>
      <c r="H241" s="31"/>
      <c r="I241" s="27" t="str">
        <f aca="false">IF(A241="","",INT((A241-StartDate)/7)+1)</f>
        <v/>
      </c>
      <c r="J241" s="27" t="str">
        <f aca="false">IF(A241="","",TEXT(A241,"mmm"))</f>
        <v/>
      </c>
    </row>
    <row r="242" customFormat="false" ht="15" hidden="false" customHeight="false" outlineLevel="0" collapsed="false">
      <c r="A242" s="45"/>
      <c r="B242" s="32"/>
      <c r="C242" s="51"/>
      <c r="D242" s="52"/>
      <c r="E242" s="54" t="str">
        <f aca="false">IFERROR(IF(OR(C242="",C242=0,D242=""),"",D242*1440/C242),"")</f>
        <v/>
      </c>
      <c r="F242" s="31"/>
      <c r="G242" s="31"/>
      <c r="H242" s="31"/>
      <c r="I242" s="36" t="str">
        <f aca="false">IF(A242="","",INT((A242-StartDate)/7)+1)</f>
        <v/>
      </c>
      <c r="J242" s="36" t="str">
        <f aca="false">IF(A242="","",TEXT(A242,"mmm"))</f>
        <v/>
      </c>
    </row>
    <row r="243" customFormat="false" ht="15" hidden="false" customHeight="false" outlineLevel="0" collapsed="false">
      <c r="A243" s="45"/>
      <c r="B243" s="32"/>
      <c r="C243" s="51"/>
      <c r="D243" s="52"/>
      <c r="E243" s="53" t="str">
        <f aca="false">IFERROR(IF(OR(C243="",C243=0,D243=""),"",D243*1440/C243),"")</f>
        <v/>
      </c>
      <c r="F243" s="31"/>
      <c r="G243" s="31"/>
      <c r="H243" s="31"/>
      <c r="I243" s="27" t="str">
        <f aca="false">IF(A243="","",INT((A243-StartDate)/7)+1)</f>
        <v/>
      </c>
      <c r="J243" s="27" t="str">
        <f aca="false">IF(A243="","",TEXT(A243,"mmm"))</f>
        <v/>
      </c>
    </row>
    <row r="244" customFormat="false" ht="15" hidden="false" customHeight="false" outlineLevel="0" collapsed="false">
      <c r="A244" s="45"/>
      <c r="B244" s="32"/>
      <c r="C244" s="51"/>
      <c r="D244" s="52"/>
      <c r="E244" s="54" t="str">
        <f aca="false">IFERROR(IF(OR(C244="",C244=0,D244=""),"",D244*1440/C244),"")</f>
        <v/>
      </c>
      <c r="F244" s="31"/>
      <c r="G244" s="31"/>
      <c r="H244" s="31"/>
      <c r="I244" s="36" t="str">
        <f aca="false">IF(A244="","",INT((A244-StartDate)/7)+1)</f>
        <v/>
      </c>
      <c r="J244" s="36" t="str">
        <f aca="false">IF(A244="","",TEXT(A244,"mmm"))</f>
        <v/>
      </c>
    </row>
    <row r="245" customFormat="false" ht="15" hidden="false" customHeight="false" outlineLevel="0" collapsed="false">
      <c r="A245" s="45"/>
      <c r="B245" s="32"/>
      <c r="C245" s="51"/>
      <c r="D245" s="52"/>
      <c r="E245" s="53" t="str">
        <f aca="false">IFERROR(IF(OR(C245="",C245=0,D245=""),"",D245*1440/C245),"")</f>
        <v/>
      </c>
      <c r="F245" s="31"/>
      <c r="G245" s="31"/>
      <c r="H245" s="31"/>
      <c r="I245" s="27" t="str">
        <f aca="false">IF(A245="","",INT((A245-StartDate)/7)+1)</f>
        <v/>
      </c>
      <c r="J245" s="27" t="str">
        <f aca="false">IF(A245="","",TEXT(A245,"mmm"))</f>
        <v/>
      </c>
    </row>
    <row r="246" customFormat="false" ht="15" hidden="false" customHeight="false" outlineLevel="0" collapsed="false">
      <c r="A246" s="45"/>
      <c r="B246" s="32"/>
      <c r="C246" s="51"/>
      <c r="D246" s="52"/>
      <c r="E246" s="54" t="str">
        <f aca="false">IFERROR(IF(OR(C246="",C246=0,D246=""),"",D246*1440/C246),"")</f>
        <v/>
      </c>
      <c r="F246" s="31"/>
      <c r="G246" s="31"/>
      <c r="H246" s="31"/>
      <c r="I246" s="36" t="str">
        <f aca="false">IF(A246="","",INT((A246-StartDate)/7)+1)</f>
        <v/>
      </c>
      <c r="J246" s="36" t="str">
        <f aca="false">IF(A246="","",TEXT(A246,"mmm"))</f>
        <v/>
      </c>
    </row>
    <row r="247" customFormat="false" ht="15" hidden="false" customHeight="false" outlineLevel="0" collapsed="false">
      <c r="A247" s="45"/>
      <c r="B247" s="32"/>
      <c r="C247" s="51"/>
      <c r="D247" s="52"/>
      <c r="E247" s="53" t="str">
        <f aca="false">IFERROR(IF(OR(C247="",C247=0,D247=""),"",D247*1440/C247),"")</f>
        <v/>
      </c>
      <c r="F247" s="31"/>
      <c r="G247" s="31"/>
      <c r="H247" s="31"/>
      <c r="I247" s="27" t="str">
        <f aca="false">IF(A247="","",INT((A247-StartDate)/7)+1)</f>
        <v/>
      </c>
      <c r="J247" s="27" t="str">
        <f aca="false">IF(A247="","",TEXT(A247,"mmm"))</f>
        <v/>
      </c>
    </row>
    <row r="248" customFormat="false" ht="15" hidden="false" customHeight="false" outlineLevel="0" collapsed="false">
      <c r="A248" s="45"/>
      <c r="B248" s="32"/>
      <c r="C248" s="51"/>
      <c r="D248" s="52"/>
      <c r="E248" s="54" t="str">
        <f aca="false">IFERROR(IF(OR(C248="",C248=0,D248=""),"",D248*1440/C248),"")</f>
        <v/>
      </c>
      <c r="F248" s="31"/>
      <c r="G248" s="31"/>
      <c r="H248" s="31"/>
      <c r="I248" s="36" t="str">
        <f aca="false">IF(A248="","",INT((A248-StartDate)/7)+1)</f>
        <v/>
      </c>
      <c r="J248" s="36" t="str">
        <f aca="false">IF(A248="","",TEXT(A248,"mmm"))</f>
        <v/>
      </c>
    </row>
    <row r="249" customFormat="false" ht="15" hidden="false" customHeight="false" outlineLevel="0" collapsed="false">
      <c r="A249" s="45"/>
      <c r="B249" s="32"/>
      <c r="C249" s="51"/>
      <c r="D249" s="52"/>
      <c r="E249" s="53" t="str">
        <f aca="false">IFERROR(IF(OR(C249="",C249=0,D249=""),"",D249*1440/C249),"")</f>
        <v/>
      </c>
      <c r="F249" s="31"/>
      <c r="G249" s="31"/>
      <c r="H249" s="31"/>
      <c r="I249" s="27" t="str">
        <f aca="false">IF(A249="","",INT((A249-StartDate)/7)+1)</f>
        <v/>
      </c>
      <c r="J249" s="27" t="str">
        <f aca="false">IF(A249="","",TEXT(A249,"mmm"))</f>
        <v/>
      </c>
    </row>
    <row r="250" customFormat="false" ht="15" hidden="false" customHeight="false" outlineLevel="0" collapsed="false">
      <c r="A250" s="45"/>
      <c r="B250" s="32"/>
      <c r="C250" s="51"/>
      <c r="D250" s="52"/>
      <c r="E250" s="54" t="str">
        <f aca="false">IFERROR(IF(OR(C250="",C250=0,D250=""),"",D250*1440/C250),"")</f>
        <v/>
      </c>
      <c r="F250" s="31"/>
      <c r="G250" s="31"/>
      <c r="H250" s="31"/>
      <c r="I250" s="36" t="str">
        <f aca="false">IF(A250="","",INT((A250-StartDate)/7)+1)</f>
        <v/>
      </c>
      <c r="J250" s="36" t="str">
        <f aca="false">IF(A250="","",TEXT(A250,"mmm"))</f>
        <v/>
      </c>
    </row>
    <row r="251" customFormat="false" ht="15" hidden="false" customHeight="false" outlineLevel="0" collapsed="false">
      <c r="A251" s="45"/>
      <c r="B251" s="32"/>
      <c r="C251" s="51"/>
      <c r="D251" s="52"/>
      <c r="E251" s="53" t="str">
        <f aca="false">IFERROR(IF(OR(C251="",C251=0,D251=""),"",D251*1440/C251),"")</f>
        <v/>
      </c>
      <c r="F251" s="31"/>
      <c r="G251" s="31"/>
      <c r="H251" s="31"/>
      <c r="I251" s="27" t="str">
        <f aca="false">IF(A251="","",INT((A251-StartDate)/7)+1)</f>
        <v/>
      </c>
      <c r="J251" s="27" t="str">
        <f aca="false">IF(A251="","",TEXT(A251,"mmm"))</f>
        <v/>
      </c>
    </row>
    <row r="252" customFormat="false" ht="15" hidden="false" customHeight="false" outlineLevel="0" collapsed="false">
      <c r="A252" s="45"/>
      <c r="B252" s="32"/>
      <c r="C252" s="51"/>
      <c r="D252" s="52"/>
      <c r="E252" s="54" t="str">
        <f aca="false">IFERROR(IF(OR(C252="",C252=0,D252=""),"",D252*1440/C252),"")</f>
        <v/>
      </c>
      <c r="F252" s="31"/>
      <c r="G252" s="31"/>
      <c r="H252" s="31"/>
      <c r="I252" s="36" t="str">
        <f aca="false">IF(A252="","",INT((A252-StartDate)/7)+1)</f>
        <v/>
      </c>
      <c r="J252" s="36" t="str">
        <f aca="false">IF(A252="","",TEXT(A252,"mmm"))</f>
        <v/>
      </c>
    </row>
    <row r="253" customFormat="false" ht="15" hidden="false" customHeight="false" outlineLevel="0" collapsed="false">
      <c r="A253" s="45"/>
      <c r="B253" s="32"/>
      <c r="C253" s="51"/>
      <c r="D253" s="52"/>
      <c r="E253" s="53" t="str">
        <f aca="false">IFERROR(IF(OR(C253="",C253=0,D253=""),"",D253*1440/C253),"")</f>
        <v/>
      </c>
      <c r="F253" s="31"/>
      <c r="G253" s="31"/>
      <c r="H253" s="31"/>
      <c r="I253" s="27" t="str">
        <f aca="false">IF(A253="","",INT((A253-StartDate)/7)+1)</f>
        <v/>
      </c>
      <c r="J253" s="27" t="str">
        <f aca="false">IF(A253="","",TEXT(A253,"mmm"))</f>
        <v/>
      </c>
    </row>
    <row r="254" customFormat="false" ht="15" hidden="false" customHeight="false" outlineLevel="0" collapsed="false">
      <c r="A254" s="45"/>
      <c r="B254" s="32"/>
      <c r="C254" s="51"/>
      <c r="D254" s="52"/>
      <c r="E254" s="54" t="str">
        <f aca="false">IFERROR(IF(OR(C254="",C254=0,D254=""),"",D254*1440/C254),"")</f>
        <v/>
      </c>
      <c r="F254" s="31"/>
      <c r="G254" s="31"/>
      <c r="H254" s="31"/>
      <c r="I254" s="36" t="str">
        <f aca="false">IF(A254="","",INT((A254-StartDate)/7)+1)</f>
        <v/>
      </c>
      <c r="J254" s="36" t="str">
        <f aca="false">IF(A254="","",TEXT(A254,"mmm"))</f>
        <v/>
      </c>
    </row>
    <row r="255" customFormat="false" ht="15" hidden="false" customHeight="false" outlineLevel="0" collapsed="false">
      <c r="A255" s="45"/>
      <c r="B255" s="32"/>
      <c r="C255" s="51"/>
      <c r="D255" s="52"/>
      <c r="E255" s="53" t="str">
        <f aca="false">IFERROR(IF(OR(C255="",C255=0,D255=""),"",D255*1440/C255),"")</f>
        <v/>
      </c>
      <c r="F255" s="31"/>
      <c r="G255" s="31"/>
      <c r="H255" s="31"/>
      <c r="I255" s="27" t="str">
        <f aca="false">IF(A255="","",INT((A255-StartDate)/7)+1)</f>
        <v/>
      </c>
      <c r="J255" s="27" t="str">
        <f aca="false">IF(A255="","",TEXT(A255,"mmm"))</f>
        <v/>
      </c>
    </row>
    <row r="256" customFormat="false" ht="15" hidden="false" customHeight="false" outlineLevel="0" collapsed="false">
      <c r="A256" s="45"/>
      <c r="B256" s="32"/>
      <c r="C256" s="51"/>
      <c r="D256" s="52"/>
      <c r="E256" s="54" t="str">
        <f aca="false">IFERROR(IF(OR(C256="",C256=0,D256=""),"",D256*1440/C256),"")</f>
        <v/>
      </c>
      <c r="F256" s="31"/>
      <c r="G256" s="31"/>
      <c r="H256" s="31"/>
      <c r="I256" s="36" t="str">
        <f aca="false">IF(A256="","",INT((A256-StartDate)/7)+1)</f>
        <v/>
      </c>
      <c r="J256" s="36" t="str">
        <f aca="false">IF(A256="","",TEXT(A256,"mmm"))</f>
        <v/>
      </c>
    </row>
    <row r="257" customFormat="false" ht="15" hidden="false" customHeight="false" outlineLevel="0" collapsed="false">
      <c r="A257" s="45"/>
      <c r="B257" s="32"/>
      <c r="C257" s="51"/>
      <c r="D257" s="52"/>
      <c r="E257" s="53" t="str">
        <f aca="false">IFERROR(IF(OR(C257="",C257=0,D257=""),"",D257*1440/C257),"")</f>
        <v/>
      </c>
      <c r="F257" s="31"/>
      <c r="G257" s="31"/>
      <c r="H257" s="31"/>
      <c r="I257" s="27" t="str">
        <f aca="false">IF(A257="","",INT((A257-StartDate)/7)+1)</f>
        <v/>
      </c>
      <c r="J257" s="27" t="str">
        <f aca="false">IF(A257="","",TEXT(A257,"mmm"))</f>
        <v/>
      </c>
    </row>
    <row r="258" customFormat="false" ht="15" hidden="false" customHeight="false" outlineLevel="0" collapsed="false">
      <c r="A258" s="45"/>
      <c r="B258" s="32"/>
      <c r="C258" s="51"/>
      <c r="D258" s="52"/>
      <c r="E258" s="54" t="str">
        <f aca="false">IFERROR(IF(OR(C258="",C258=0,D258=""),"",D258*1440/C258),"")</f>
        <v/>
      </c>
      <c r="F258" s="31"/>
      <c r="G258" s="31"/>
      <c r="H258" s="31"/>
      <c r="I258" s="36" t="str">
        <f aca="false">IF(A258="","",INT((A258-StartDate)/7)+1)</f>
        <v/>
      </c>
      <c r="J258" s="36" t="str">
        <f aca="false">IF(A258="","",TEXT(A258,"mmm"))</f>
        <v/>
      </c>
    </row>
    <row r="259" customFormat="false" ht="15" hidden="false" customHeight="false" outlineLevel="0" collapsed="false">
      <c r="A259" s="45"/>
      <c r="B259" s="32"/>
      <c r="C259" s="51"/>
      <c r="D259" s="52"/>
      <c r="E259" s="53" t="str">
        <f aca="false">IFERROR(IF(OR(C259="",C259=0,D259=""),"",D259*1440/C259),"")</f>
        <v/>
      </c>
      <c r="F259" s="31"/>
      <c r="G259" s="31"/>
      <c r="H259" s="31"/>
      <c r="I259" s="27" t="str">
        <f aca="false">IF(A259="","",INT((A259-StartDate)/7)+1)</f>
        <v/>
      </c>
      <c r="J259" s="27" t="str">
        <f aca="false">IF(A259="","",TEXT(A259,"mmm"))</f>
        <v/>
      </c>
    </row>
    <row r="260" customFormat="false" ht="15" hidden="false" customHeight="false" outlineLevel="0" collapsed="false">
      <c r="A260" s="45"/>
      <c r="B260" s="32"/>
      <c r="C260" s="51"/>
      <c r="D260" s="52"/>
      <c r="E260" s="54" t="str">
        <f aca="false">IFERROR(IF(OR(C260="",C260=0,D260=""),"",D260*1440/C260),"")</f>
        <v/>
      </c>
      <c r="F260" s="31"/>
      <c r="G260" s="31"/>
      <c r="H260" s="31"/>
      <c r="I260" s="36" t="str">
        <f aca="false">IF(A260="","",INT((A260-StartDate)/7)+1)</f>
        <v/>
      </c>
      <c r="J260" s="36" t="str">
        <f aca="false">IF(A260="","",TEXT(A260,"mmm"))</f>
        <v/>
      </c>
    </row>
    <row r="261" customFormat="false" ht="15" hidden="false" customHeight="false" outlineLevel="0" collapsed="false">
      <c r="A261" s="45"/>
      <c r="B261" s="32"/>
      <c r="C261" s="51"/>
      <c r="D261" s="52"/>
      <c r="E261" s="53" t="str">
        <f aca="false">IFERROR(IF(OR(C261="",C261=0,D261=""),"",D261*1440/C261),"")</f>
        <v/>
      </c>
      <c r="F261" s="31"/>
      <c r="G261" s="31"/>
      <c r="H261" s="31"/>
      <c r="I261" s="27" t="str">
        <f aca="false">IF(A261="","",INT((A261-StartDate)/7)+1)</f>
        <v/>
      </c>
      <c r="J261" s="27" t="str">
        <f aca="false">IF(A261="","",TEXT(A261,"mmm"))</f>
        <v/>
      </c>
    </row>
    <row r="262" customFormat="false" ht="15" hidden="false" customHeight="false" outlineLevel="0" collapsed="false">
      <c r="A262" s="45"/>
      <c r="B262" s="32"/>
      <c r="C262" s="51"/>
      <c r="D262" s="52"/>
      <c r="E262" s="54" t="str">
        <f aca="false">IFERROR(IF(OR(C262="",C262=0,D262=""),"",D262*1440/C262),"")</f>
        <v/>
      </c>
      <c r="F262" s="31"/>
      <c r="G262" s="31"/>
      <c r="H262" s="31"/>
      <c r="I262" s="36" t="str">
        <f aca="false">IF(A262="","",INT((A262-StartDate)/7)+1)</f>
        <v/>
      </c>
      <c r="J262" s="36" t="str">
        <f aca="false">IF(A262="","",TEXT(A262,"mmm"))</f>
        <v/>
      </c>
    </row>
    <row r="263" customFormat="false" ht="15" hidden="false" customHeight="false" outlineLevel="0" collapsed="false">
      <c r="A263" s="45"/>
      <c r="B263" s="32"/>
      <c r="C263" s="51"/>
      <c r="D263" s="52"/>
      <c r="E263" s="53" t="str">
        <f aca="false">IFERROR(IF(OR(C263="",C263=0,D263=""),"",D263*1440/C263),"")</f>
        <v/>
      </c>
      <c r="F263" s="31"/>
      <c r="G263" s="31"/>
      <c r="H263" s="31"/>
      <c r="I263" s="27" t="str">
        <f aca="false">IF(A263="","",INT((A263-StartDate)/7)+1)</f>
        <v/>
      </c>
      <c r="J263" s="27" t="str">
        <f aca="false">IF(A263="","",TEXT(A263,"mmm"))</f>
        <v/>
      </c>
    </row>
    <row r="264" customFormat="false" ht="15" hidden="false" customHeight="false" outlineLevel="0" collapsed="false">
      <c r="A264" s="45"/>
      <c r="B264" s="32"/>
      <c r="C264" s="51"/>
      <c r="D264" s="52"/>
      <c r="E264" s="54" t="str">
        <f aca="false">IFERROR(IF(OR(C264="",C264=0,D264=""),"",D264*1440/C264),"")</f>
        <v/>
      </c>
      <c r="F264" s="31"/>
      <c r="G264" s="31"/>
      <c r="H264" s="31"/>
      <c r="I264" s="36" t="str">
        <f aca="false">IF(A264="","",INT((A264-StartDate)/7)+1)</f>
        <v/>
      </c>
      <c r="J264" s="36" t="str">
        <f aca="false">IF(A264="","",TEXT(A264,"mmm"))</f>
        <v/>
      </c>
    </row>
    <row r="265" customFormat="false" ht="15" hidden="false" customHeight="false" outlineLevel="0" collapsed="false">
      <c r="A265" s="45"/>
      <c r="B265" s="32"/>
      <c r="C265" s="51"/>
      <c r="D265" s="52"/>
      <c r="E265" s="53" t="str">
        <f aca="false">IFERROR(IF(OR(C265="",C265=0,D265=""),"",D265*1440/C265),"")</f>
        <v/>
      </c>
      <c r="F265" s="31"/>
      <c r="G265" s="31"/>
      <c r="H265" s="31"/>
      <c r="I265" s="27" t="str">
        <f aca="false">IF(A265="","",INT((A265-StartDate)/7)+1)</f>
        <v/>
      </c>
      <c r="J265" s="27" t="str">
        <f aca="false">IF(A265="","",TEXT(A265,"mmm"))</f>
        <v/>
      </c>
    </row>
    <row r="266" customFormat="false" ht="15" hidden="false" customHeight="false" outlineLevel="0" collapsed="false">
      <c r="A266" s="45"/>
      <c r="B266" s="32"/>
      <c r="C266" s="51"/>
      <c r="D266" s="52"/>
      <c r="E266" s="54" t="str">
        <f aca="false">IFERROR(IF(OR(C266="",C266=0,D266=""),"",D266*1440/C266),"")</f>
        <v/>
      </c>
      <c r="F266" s="31"/>
      <c r="G266" s="31"/>
      <c r="H266" s="31"/>
      <c r="I266" s="36" t="str">
        <f aca="false">IF(A266="","",INT((A266-StartDate)/7)+1)</f>
        <v/>
      </c>
      <c r="J266" s="36" t="str">
        <f aca="false">IF(A266="","",TEXT(A266,"mmm"))</f>
        <v/>
      </c>
    </row>
    <row r="267" customFormat="false" ht="15" hidden="false" customHeight="false" outlineLevel="0" collapsed="false">
      <c r="A267" s="45"/>
      <c r="B267" s="32"/>
      <c r="C267" s="51"/>
      <c r="D267" s="52"/>
      <c r="E267" s="53" t="str">
        <f aca="false">IFERROR(IF(OR(C267="",C267=0,D267=""),"",D267*1440/C267),"")</f>
        <v/>
      </c>
      <c r="F267" s="31"/>
      <c r="G267" s="31"/>
      <c r="H267" s="31"/>
      <c r="I267" s="27" t="str">
        <f aca="false">IF(A267="","",INT((A267-StartDate)/7)+1)</f>
        <v/>
      </c>
      <c r="J267" s="27" t="str">
        <f aca="false">IF(A267="","",TEXT(A267,"mmm"))</f>
        <v/>
      </c>
    </row>
    <row r="268" customFormat="false" ht="15" hidden="false" customHeight="false" outlineLevel="0" collapsed="false">
      <c r="A268" s="45"/>
      <c r="B268" s="32"/>
      <c r="C268" s="51"/>
      <c r="D268" s="52"/>
      <c r="E268" s="54" t="str">
        <f aca="false">IFERROR(IF(OR(C268="",C268=0,D268=""),"",D268*1440/C268),"")</f>
        <v/>
      </c>
      <c r="F268" s="31"/>
      <c r="G268" s="31"/>
      <c r="H268" s="31"/>
      <c r="I268" s="36" t="str">
        <f aca="false">IF(A268="","",INT((A268-StartDate)/7)+1)</f>
        <v/>
      </c>
      <c r="J268" s="36" t="str">
        <f aca="false">IF(A268="","",TEXT(A268,"mmm"))</f>
        <v/>
      </c>
    </row>
    <row r="269" customFormat="false" ht="15" hidden="false" customHeight="false" outlineLevel="0" collapsed="false">
      <c r="A269" s="45"/>
      <c r="B269" s="32"/>
      <c r="C269" s="51"/>
      <c r="D269" s="52"/>
      <c r="E269" s="53" t="str">
        <f aca="false">IFERROR(IF(OR(C269="",C269=0,D269=""),"",D269*1440/C269),"")</f>
        <v/>
      </c>
      <c r="F269" s="31"/>
      <c r="G269" s="31"/>
      <c r="H269" s="31"/>
      <c r="I269" s="27" t="str">
        <f aca="false">IF(A269="","",INT((A269-StartDate)/7)+1)</f>
        <v/>
      </c>
      <c r="J269" s="27" t="str">
        <f aca="false">IF(A269="","",TEXT(A269,"mmm"))</f>
        <v/>
      </c>
    </row>
    <row r="270" customFormat="false" ht="15" hidden="false" customHeight="false" outlineLevel="0" collapsed="false">
      <c r="A270" s="45"/>
      <c r="B270" s="32"/>
      <c r="C270" s="51"/>
      <c r="D270" s="52"/>
      <c r="E270" s="54" t="str">
        <f aca="false">IFERROR(IF(OR(C270="",C270=0,D270=""),"",D270*1440/C270),"")</f>
        <v/>
      </c>
      <c r="F270" s="31"/>
      <c r="G270" s="31"/>
      <c r="H270" s="31"/>
      <c r="I270" s="36" t="str">
        <f aca="false">IF(A270="","",INT((A270-StartDate)/7)+1)</f>
        <v/>
      </c>
      <c r="J270" s="36" t="str">
        <f aca="false">IF(A270="","",TEXT(A270,"mmm"))</f>
        <v/>
      </c>
    </row>
    <row r="271" customFormat="false" ht="15" hidden="false" customHeight="false" outlineLevel="0" collapsed="false">
      <c r="A271" s="45"/>
      <c r="B271" s="32"/>
      <c r="C271" s="51"/>
      <c r="D271" s="52"/>
      <c r="E271" s="53" t="str">
        <f aca="false">IFERROR(IF(OR(C271="",C271=0,D271=""),"",D271*1440/C271),"")</f>
        <v/>
      </c>
      <c r="F271" s="31"/>
      <c r="G271" s="31"/>
      <c r="H271" s="31"/>
      <c r="I271" s="27" t="str">
        <f aca="false">IF(A271="","",INT((A271-StartDate)/7)+1)</f>
        <v/>
      </c>
      <c r="J271" s="27" t="str">
        <f aca="false">IF(A271="","",TEXT(A271,"mmm"))</f>
        <v/>
      </c>
    </row>
    <row r="272" customFormat="false" ht="15" hidden="false" customHeight="false" outlineLevel="0" collapsed="false">
      <c r="A272" s="45"/>
      <c r="B272" s="32"/>
      <c r="C272" s="51"/>
      <c r="D272" s="52"/>
      <c r="E272" s="54" t="str">
        <f aca="false">IFERROR(IF(OR(C272="",C272=0,D272=""),"",D272*1440/C272),"")</f>
        <v/>
      </c>
      <c r="F272" s="31"/>
      <c r="G272" s="31"/>
      <c r="H272" s="31"/>
      <c r="I272" s="36" t="str">
        <f aca="false">IF(A272="","",INT((A272-StartDate)/7)+1)</f>
        <v/>
      </c>
      <c r="J272" s="36" t="str">
        <f aca="false">IF(A272="","",TEXT(A272,"mmm"))</f>
        <v/>
      </c>
    </row>
    <row r="273" customFormat="false" ht="15" hidden="false" customHeight="false" outlineLevel="0" collapsed="false">
      <c r="A273" s="45"/>
      <c r="B273" s="32"/>
      <c r="C273" s="51"/>
      <c r="D273" s="52"/>
      <c r="E273" s="53" t="str">
        <f aca="false">IFERROR(IF(OR(C273="",C273=0,D273=""),"",D273*1440/C273),"")</f>
        <v/>
      </c>
      <c r="F273" s="31"/>
      <c r="G273" s="31"/>
      <c r="H273" s="31"/>
      <c r="I273" s="27" t="str">
        <f aca="false">IF(A273="","",INT((A273-StartDate)/7)+1)</f>
        <v/>
      </c>
      <c r="J273" s="27" t="str">
        <f aca="false">IF(A273="","",TEXT(A273,"mmm"))</f>
        <v/>
      </c>
    </row>
    <row r="274" customFormat="false" ht="15" hidden="false" customHeight="false" outlineLevel="0" collapsed="false">
      <c r="A274" s="45"/>
      <c r="B274" s="32"/>
      <c r="C274" s="51"/>
      <c r="D274" s="52"/>
      <c r="E274" s="54" t="str">
        <f aca="false">IFERROR(IF(OR(C274="",C274=0,D274=""),"",D274*1440/C274),"")</f>
        <v/>
      </c>
      <c r="F274" s="31"/>
      <c r="G274" s="31"/>
      <c r="H274" s="31"/>
      <c r="I274" s="36" t="str">
        <f aca="false">IF(A274="","",INT((A274-StartDate)/7)+1)</f>
        <v/>
      </c>
      <c r="J274" s="36" t="str">
        <f aca="false">IF(A274="","",TEXT(A274,"mmm"))</f>
        <v/>
      </c>
    </row>
    <row r="275" customFormat="false" ht="15" hidden="false" customHeight="false" outlineLevel="0" collapsed="false">
      <c r="A275" s="45"/>
      <c r="B275" s="32"/>
      <c r="C275" s="51"/>
      <c r="D275" s="52"/>
      <c r="E275" s="53" t="str">
        <f aca="false">IFERROR(IF(OR(C275="",C275=0,D275=""),"",D275*1440/C275),"")</f>
        <v/>
      </c>
      <c r="F275" s="31"/>
      <c r="G275" s="31"/>
      <c r="H275" s="31"/>
      <c r="I275" s="27" t="str">
        <f aca="false">IF(A275="","",INT((A275-StartDate)/7)+1)</f>
        <v/>
      </c>
      <c r="J275" s="27" t="str">
        <f aca="false">IF(A275="","",TEXT(A275,"mmm"))</f>
        <v/>
      </c>
    </row>
    <row r="276" customFormat="false" ht="15" hidden="false" customHeight="false" outlineLevel="0" collapsed="false">
      <c r="A276" s="45"/>
      <c r="B276" s="32"/>
      <c r="C276" s="51"/>
      <c r="D276" s="52"/>
      <c r="E276" s="54" t="str">
        <f aca="false">IFERROR(IF(OR(C276="",C276=0,D276=""),"",D276*1440/C276),"")</f>
        <v/>
      </c>
      <c r="F276" s="31"/>
      <c r="G276" s="31"/>
      <c r="H276" s="31"/>
      <c r="I276" s="36" t="str">
        <f aca="false">IF(A276="","",INT((A276-StartDate)/7)+1)</f>
        <v/>
      </c>
      <c r="J276" s="36" t="str">
        <f aca="false">IF(A276="","",TEXT(A276,"mmm"))</f>
        <v/>
      </c>
    </row>
    <row r="277" customFormat="false" ht="15" hidden="false" customHeight="false" outlineLevel="0" collapsed="false">
      <c r="A277" s="45"/>
      <c r="B277" s="32"/>
      <c r="C277" s="51"/>
      <c r="D277" s="52"/>
      <c r="E277" s="53" t="str">
        <f aca="false">IFERROR(IF(OR(C277="",C277=0,D277=""),"",D277*1440/C277),"")</f>
        <v/>
      </c>
      <c r="F277" s="31"/>
      <c r="G277" s="31"/>
      <c r="H277" s="31"/>
      <c r="I277" s="27" t="str">
        <f aca="false">IF(A277="","",INT((A277-StartDate)/7)+1)</f>
        <v/>
      </c>
      <c r="J277" s="27" t="str">
        <f aca="false">IF(A277="","",TEXT(A277,"mmm"))</f>
        <v/>
      </c>
    </row>
    <row r="278" customFormat="false" ht="15" hidden="false" customHeight="false" outlineLevel="0" collapsed="false">
      <c r="A278" s="45"/>
      <c r="B278" s="32"/>
      <c r="C278" s="51"/>
      <c r="D278" s="52"/>
      <c r="E278" s="54" t="str">
        <f aca="false">IFERROR(IF(OR(C278="",C278=0,D278=""),"",D278*1440/C278),"")</f>
        <v/>
      </c>
      <c r="F278" s="31"/>
      <c r="G278" s="31"/>
      <c r="H278" s="31"/>
      <c r="I278" s="36" t="str">
        <f aca="false">IF(A278="","",INT((A278-StartDate)/7)+1)</f>
        <v/>
      </c>
      <c r="J278" s="36" t="str">
        <f aca="false">IF(A278="","",TEXT(A278,"mmm"))</f>
        <v/>
      </c>
    </row>
    <row r="279" customFormat="false" ht="15" hidden="false" customHeight="false" outlineLevel="0" collapsed="false">
      <c r="A279" s="45"/>
      <c r="B279" s="32"/>
      <c r="C279" s="51"/>
      <c r="D279" s="52"/>
      <c r="E279" s="53" t="str">
        <f aca="false">IFERROR(IF(OR(C279="",C279=0,D279=""),"",D279*1440/C279),"")</f>
        <v/>
      </c>
      <c r="F279" s="31"/>
      <c r="G279" s="31"/>
      <c r="H279" s="31"/>
      <c r="I279" s="27" t="str">
        <f aca="false">IF(A279="","",INT((A279-StartDate)/7)+1)</f>
        <v/>
      </c>
      <c r="J279" s="27" t="str">
        <f aca="false">IF(A279="","",TEXT(A279,"mmm"))</f>
        <v/>
      </c>
    </row>
    <row r="280" customFormat="false" ht="15" hidden="false" customHeight="false" outlineLevel="0" collapsed="false">
      <c r="A280" s="45"/>
      <c r="B280" s="32"/>
      <c r="C280" s="51"/>
      <c r="D280" s="52"/>
      <c r="E280" s="54" t="str">
        <f aca="false">IFERROR(IF(OR(C280="",C280=0,D280=""),"",D280*1440/C280),"")</f>
        <v/>
      </c>
      <c r="F280" s="31"/>
      <c r="G280" s="31"/>
      <c r="H280" s="31"/>
      <c r="I280" s="36" t="str">
        <f aca="false">IF(A280="","",INT((A280-StartDate)/7)+1)</f>
        <v/>
      </c>
      <c r="J280" s="36" t="str">
        <f aca="false">IF(A280="","",TEXT(A280,"mmm"))</f>
        <v/>
      </c>
    </row>
    <row r="281" customFormat="false" ht="15" hidden="false" customHeight="false" outlineLevel="0" collapsed="false">
      <c r="A281" s="45"/>
      <c r="B281" s="32"/>
      <c r="C281" s="51"/>
      <c r="D281" s="52"/>
      <c r="E281" s="53" t="str">
        <f aca="false">IFERROR(IF(OR(C281="",C281=0,D281=""),"",D281*1440/C281),"")</f>
        <v/>
      </c>
      <c r="F281" s="31"/>
      <c r="G281" s="31"/>
      <c r="H281" s="31"/>
      <c r="I281" s="27" t="str">
        <f aca="false">IF(A281="","",INT((A281-StartDate)/7)+1)</f>
        <v/>
      </c>
      <c r="J281" s="27" t="str">
        <f aca="false">IF(A281="","",TEXT(A281,"mmm"))</f>
        <v/>
      </c>
    </row>
    <row r="282" customFormat="false" ht="15" hidden="false" customHeight="false" outlineLevel="0" collapsed="false">
      <c r="A282" s="45"/>
      <c r="B282" s="32"/>
      <c r="C282" s="51"/>
      <c r="D282" s="52"/>
      <c r="E282" s="54" t="str">
        <f aca="false">IFERROR(IF(OR(C282="",C282=0,D282=""),"",D282*1440/C282),"")</f>
        <v/>
      </c>
      <c r="F282" s="31"/>
      <c r="G282" s="31"/>
      <c r="H282" s="31"/>
      <c r="I282" s="36" t="str">
        <f aca="false">IF(A282="","",INT((A282-StartDate)/7)+1)</f>
        <v/>
      </c>
      <c r="J282" s="36" t="str">
        <f aca="false">IF(A282="","",TEXT(A282,"mmm"))</f>
        <v/>
      </c>
    </row>
    <row r="283" customFormat="false" ht="15" hidden="false" customHeight="false" outlineLevel="0" collapsed="false">
      <c r="A283" s="45"/>
      <c r="B283" s="32"/>
      <c r="C283" s="51"/>
      <c r="D283" s="52"/>
      <c r="E283" s="53" t="str">
        <f aca="false">IFERROR(IF(OR(C283="",C283=0,D283=""),"",D283*1440/C283),"")</f>
        <v/>
      </c>
      <c r="F283" s="31"/>
      <c r="G283" s="31"/>
      <c r="H283" s="31"/>
      <c r="I283" s="27" t="str">
        <f aca="false">IF(A283="","",INT((A283-StartDate)/7)+1)</f>
        <v/>
      </c>
      <c r="J283" s="27" t="str">
        <f aca="false">IF(A283="","",TEXT(A283,"mmm"))</f>
        <v/>
      </c>
    </row>
    <row r="284" customFormat="false" ht="15" hidden="false" customHeight="false" outlineLevel="0" collapsed="false">
      <c r="A284" s="45"/>
      <c r="B284" s="32"/>
      <c r="C284" s="51"/>
      <c r="D284" s="52"/>
      <c r="E284" s="54" t="str">
        <f aca="false">IFERROR(IF(OR(C284="",C284=0,D284=""),"",D284*1440/C284),"")</f>
        <v/>
      </c>
      <c r="F284" s="31"/>
      <c r="G284" s="31"/>
      <c r="H284" s="31"/>
      <c r="I284" s="36" t="str">
        <f aca="false">IF(A284="","",INT((A284-StartDate)/7)+1)</f>
        <v/>
      </c>
      <c r="J284" s="36" t="str">
        <f aca="false">IF(A284="","",TEXT(A284,"mmm"))</f>
        <v/>
      </c>
    </row>
    <row r="285" customFormat="false" ht="15" hidden="false" customHeight="false" outlineLevel="0" collapsed="false">
      <c r="A285" s="45"/>
      <c r="B285" s="32"/>
      <c r="C285" s="51"/>
      <c r="D285" s="52"/>
      <c r="E285" s="53" t="str">
        <f aca="false">IFERROR(IF(OR(C285="",C285=0,D285=""),"",D285*1440/C285),"")</f>
        <v/>
      </c>
      <c r="F285" s="31"/>
      <c r="G285" s="31"/>
      <c r="H285" s="31"/>
      <c r="I285" s="27" t="str">
        <f aca="false">IF(A285="","",INT((A285-StartDate)/7)+1)</f>
        <v/>
      </c>
      <c r="J285" s="27" t="str">
        <f aca="false">IF(A285="","",TEXT(A285,"mmm"))</f>
        <v/>
      </c>
    </row>
    <row r="286" customFormat="false" ht="15" hidden="false" customHeight="false" outlineLevel="0" collapsed="false">
      <c r="A286" s="45"/>
      <c r="B286" s="32"/>
      <c r="C286" s="51"/>
      <c r="D286" s="52"/>
      <c r="E286" s="54" t="str">
        <f aca="false">IFERROR(IF(OR(C286="",C286=0,D286=""),"",D286*1440/C286),"")</f>
        <v/>
      </c>
      <c r="F286" s="31"/>
      <c r="G286" s="31"/>
      <c r="H286" s="31"/>
      <c r="I286" s="36" t="str">
        <f aca="false">IF(A286="","",INT((A286-StartDate)/7)+1)</f>
        <v/>
      </c>
      <c r="J286" s="36" t="str">
        <f aca="false">IF(A286="","",TEXT(A286,"mmm"))</f>
        <v/>
      </c>
    </row>
    <row r="287" customFormat="false" ht="15" hidden="false" customHeight="false" outlineLevel="0" collapsed="false">
      <c r="A287" s="45"/>
      <c r="B287" s="32"/>
      <c r="C287" s="51"/>
      <c r="D287" s="52"/>
      <c r="E287" s="53" t="str">
        <f aca="false">IFERROR(IF(OR(C287="",C287=0,D287=""),"",D287*1440/C287),"")</f>
        <v/>
      </c>
      <c r="F287" s="31"/>
      <c r="G287" s="31"/>
      <c r="H287" s="31"/>
      <c r="I287" s="27" t="str">
        <f aca="false">IF(A287="","",INT((A287-StartDate)/7)+1)</f>
        <v/>
      </c>
      <c r="J287" s="27" t="str">
        <f aca="false">IF(A287="","",TEXT(A287,"mmm"))</f>
        <v/>
      </c>
    </row>
    <row r="288" customFormat="false" ht="15" hidden="false" customHeight="false" outlineLevel="0" collapsed="false">
      <c r="A288" s="45"/>
      <c r="B288" s="32"/>
      <c r="C288" s="51"/>
      <c r="D288" s="52"/>
      <c r="E288" s="54" t="str">
        <f aca="false">IFERROR(IF(OR(C288="",C288=0,D288=""),"",D288*1440/C288),"")</f>
        <v/>
      </c>
      <c r="F288" s="31"/>
      <c r="G288" s="31"/>
      <c r="H288" s="31"/>
      <c r="I288" s="36" t="str">
        <f aca="false">IF(A288="","",INT((A288-StartDate)/7)+1)</f>
        <v/>
      </c>
      <c r="J288" s="36" t="str">
        <f aca="false">IF(A288="","",TEXT(A288,"mmm"))</f>
        <v/>
      </c>
    </row>
    <row r="289" customFormat="false" ht="15" hidden="false" customHeight="false" outlineLevel="0" collapsed="false">
      <c r="A289" s="45"/>
      <c r="B289" s="32"/>
      <c r="C289" s="51"/>
      <c r="D289" s="52"/>
      <c r="E289" s="53" t="str">
        <f aca="false">IFERROR(IF(OR(C289="",C289=0,D289=""),"",D289*1440/C289),"")</f>
        <v/>
      </c>
      <c r="F289" s="31"/>
      <c r="G289" s="31"/>
      <c r="H289" s="31"/>
      <c r="I289" s="27" t="str">
        <f aca="false">IF(A289="","",INT((A289-StartDate)/7)+1)</f>
        <v/>
      </c>
      <c r="J289" s="27" t="str">
        <f aca="false">IF(A289="","",TEXT(A289,"mmm"))</f>
        <v/>
      </c>
    </row>
    <row r="290" customFormat="false" ht="15" hidden="false" customHeight="false" outlineLevel="0" collapsed="false">
      <c r="A290" s="45"/>
      <c r="B290" s="32"/>
      <c r="C290" s="51"/>
      <c r="D290" s="52"/>
      <c r="E290" s="54" t="str">
        <f aca="false">IFERROR(IF(OR(C290="",C290=0,D290=""),"",D290*1440/C290),"")</f>
        <v/>
      </c>
      <c r="F290" s="31"/>
      <c r="G290" s="31"/>
      <c r="H290" s="31"/>
      <c r="I290" s="36" t="str">
        <f aca="false">IF(A290="","",INT((A290-StartDate)/7)+1)</f>
        <v/>
      </c>
      <c r="J290" s="36" t="str">
        <f aca="false">IF(A290="","",TEXT(A290,"mmm"))</f>
        <v/>
      </c>
    </row>
    <row r="291" customFormat="false" ht="15" hidden="false" customHeight="false" outlineLevel="0" collapsed="false">
      <c r="A291" s="45"/>
      <c r="B291" s="32"/>
      <c r="C291" s="51"/>
      <c r="D291" s="52"/>
      <c r="E291" s="53" t="str">
        <f aca="false">IFERROR(IF(OR(C291="",C291=0,D291=""),"",D291*1440/C291),"")</f>
        <v/>
      </c>
      <c r="F291" s="31"/>
      <c r="G291" s="31"/>
      <c r="H291" s="31"/>
      <c r="I291" s="27" t="str">
        <f aca="false">IF(A291="","",INT((A291-StartDate)/7)+1)</f>
        <v/>
      </c>
      <c r="J291" s="27" t="str">
        <f aca="false">IF(A291="","",TEXT(A291,"mmm"))</f>
        <v/>
      </c>
    </row>
    <row r="292" customFormat="false" ht="15" hidden="false" customHeight="false" outlineLevel="0" collapsed="false">
      <c r="A292" s="45"/>
      <c r="B292" s="32"/>
      <c r="C292" s="51"/>
      <c r="D292" s="52"/>
      <c r="E292" s="54" t="str">
        <f aca="false">IFERROR(IF(OR(C292="",C292=0,D292=""),"",D292*1440/C292),"")</f>
        <v/>
      </c>
      <c r="F292" s="31"/>
      <c r="G292" s="31"/>
      <c r="H292" s="31"/>
      <c r="I292" s="36" t="str">
        <f aca="false">IF(A292="","",INT((A292-StartDate)/7)+1)</f>
        <v/>
      </c>
      <c r="J292" s="36" t="str">
        <f aca="false">IF(A292="","",TEXT(A292,"mmm"))</f>
        <v/>
      </c>
    </row>
    <row r="293" customFormat="false" ht="15" hidden="false" customHeight="false" outlineLevel="0" collapsed="false">
      <c r="A293" s="45"/>
      <c r="B293" s="32"/>
      <c r="C293" s="51"/>
      <c r="D293" s="52"/>
      <c r="E293" s="53" t="str">
        <f aca="false">IFERROR(IF(OR(C293="",C293=0,D293=""),"",D293*1440/C293),"")</f>
        <v/>
      </c>
      <c r="F293" s="31"/>
      <c r="G293" s="31"/>
      <c r="H293" s="31"/>
      <c r="I293" s="27" t="str">
        <f aca="false">IF(A293="","",INT((A293-StartDate)/7)+1)</f>
        <v/>
      </c>
      <c r="J293" s="27" t="str">
        <f aca="false">IF(A293="","",TEXT(A293,"mmm"))</f>
        <v/>
      </c>
    </row>
    <row r="294" customFormat="false" ht="15" hidden="false" customHeight="false" outlineLevel="0" collapsed="false">
      <c r="A294" s="45"/>
      <c r="B294" s="32"/>
      <c r="C294" s="51"/>
      <c r="D294" s="52"/>
      <c r="E294" s="54" t="str">
        <f aca="false">IFERROR(IF(OR(C294="",C294=0,D294=""),"",D294*1440/C294),"")</f>
        <v/>
      </c>
      <c r="F294" s="31"/>
      <c r="G294" s="31"/>
      <c r="H294" s="31"/>
      <c r="I294" s="36" t="str">
        <f aca="false">IF(A294="","",INT((A294-StartDate)/7)+1)</f>
        <v/>
      </c>
      <c r="J294" s="36" t="str">
        <f aca="false">IF(A294="","",TEXT(A294,"mmm"))</f>
        <v/>
      </c>
    </row>
    <row r="295" customFormat="false" ht="15" hidden="false" customHeight="false" outlineLevel="0" collapsed="false">
      <c r="A295" s="45"/>
      <c r="B295" s="32"/>
      <c r="C295" s="51"/>
      <c r="D295" s="52"/>
      <c r="E295" s="53" t="str">
        <f aca="false">IFERROR(IF(OR(C295="",C295=0,D295=""),"",D295*1440/C295),"")</f>
        <v/>
      </c>
      <c r="F295" s="31"/>
      <c r="G295" s="31"/>
      <c r="H295" s="31"/>
      <c r="I295" s="27" t="str">
        <f aca="false">IF(A295="","",INT((A295-StartDate)/7)+1)</f>
        <v/>
      </c>
      <c r="J295" s="27" t="str">
        <f aca="false">IF(A295="","",TEXT(A295,"mmm"))</f>
        <v/>
      </c>
    </row>
    <row r="296" customFormat="false" ht="15" hidden="false" customHeight="false" outlineLevel="0" collapsed="false">
      <c r="A296" s="45"/>
      <c r="B296" s="32"/>
      <c r="C296" s="51"/>
      <c r="D296" s="52"/>
      <c r="E296" s="54" t="str">
        <f aca="false">IFERROR(IF(OR(C296="",C296=0,D296=""),"",D296*1440/C296),"")</f>
        <v/>
      </c>
      <c r="F296" s="31"/>
      <c r="G296" s="31"/>
      <c r="H296" s="31"/>
      <c r="I296" s="36" t="str">
        <f aca="false">IF(A296="","",INT((A296-StartDate)/7)+1)</f>
        <v/>
      </c>
      <c r="J296" s="36" t="str">
        <f aca="false">IF(A296="","",TEXT(A296,"mmm"))</f>
        <v/>
      </c>
    </row>
    <row r="297" customFormat="false" ht="15" hidden="false" customHeight="false" outlineLevel="0" collapsed="false">
      <c r="A297" s="45"/>
      <c r="B297" s="32"/>
      <c r="C297" s="51"/>
      <c r="D297" s="52"/>
      <c r="E297" s="53" t="str">
        <f aca="false">IFERROR(IF(OR(C297="",C297=0,D297=""),"",D297*1440/C297),"")</f>
        <v/>
      </c>
      <c r="F297" s="31"/>
      <c r="G297" s="31"/>
      <c r="H297" s="31"/>
      <c r="I297" s="27" t="str">
        <f aca="false">IF(A297="","",INT((A297-StartDate)/7)+1)</f>
        <v/>
      </c>
      <c r="J297" s="27" t="str">
        <f aca="false">IF(A297="","",TEXT(A297,"mmm"))</f>
        <v/>
      </c>
    </row>
    <row r="298" customFormat="false" ht="15" hidden="false" customHeight="false" outlineLevel="0" collapsed="false">
      <c r="A298" s="45"/>
      <c r="B298" s="32"/>
      <c r="C298" s="51"/>
      <c r="D298" s="52"/>
      <c r="E298" s="54" t="str">
        <f aca="false">IFERROR(IF(OR(C298="",C298=0,D298=""),"",D298*1440/C298),"")</f>
        <v/>
      </c>
      <c r="F298" s="31"/>
      <c r="G298" s="31"/>
      <c r="H298" s="31"/>
      <c r="I298" s="36" t="str">
        <f aca="false">IF(A298="","",INT((A298-StartDate)/7)+1)</f>
        <v/>
      </c>
      <c r="J298" s="36" t="str">
        <f aca="false">IF(A298="","",TEXT(A298,"mmm"))</f>
        <v/>
      </c>
    </row>
    <row r="299" customFormat="false" ht="15" hidden="false" customHeight="false" outlineLevel="0" collapsed="false">
      <c r="A299" s="45"/>
      <c r="B299" s="32"/>
      <c r="C299" s="51"/>
      <c r="D299" s="52"/>
      <c r="E299" s="53" t="str">
        <f aca="false">IFERROR(IF(OR(C299="",C299=0,D299=""),"",D299*1440/C299),"")</f>
        <v/>
      </c>
      <c r="F299" s="31"/>
      <c r="G299" s="31"/>
      <c r="H299" s="31"/>
      <c r="I299" s="27" t="str">
        <f aca="false">IF(A299="","",INT((A299-StartDate)/7)+1)</f>
        <v/>
      </c>
      <c r="J299" s="27" t="str">
        <f aca="false">IF(A299="","",TEXT(A299,"mmm"))</f>
        <v/>
      </c>
    </row>
    <row r="300" customFormat="false" ht="15" hidden="false" customHeight="false" outlineLevel="0" collapsed="false">
      <c r="A300" s="45"/>
      <c r="B300" s="32"/>
      <c r="C300" s="51"/>
      <c r="D300" s="52"/>
      <c r="E300" s="54" t="str">
        <f aca="false">IFERROR(IF(OR(C300="",C300=0,D300=""),"",D300*1440/C300),"")</f>
        <v/>
      </c>
      <c r="F300" s="31"/>
      <c r="G300" s="31"/>
      <c r="H300" s="31"/>
      <c r="I300" s="36" t="str">
        <f aca="false">IF(A300="","",INT((A300-StartDate)/7)+1)</f>
        <v/>
      </c>
      <c r="J300" s="36" t="str">
        <f aca="false">IF(A300="","",TEXT(A300,"mmm"))</f>
        <v/>
      </c>
    </row>
    <row r="301" customFormat="false" ht="15" hidden="false" customHeight="false" outlineLevel="0" collapsed="false">
      <c r="A301" s="45"/>
      <c r="B301" s="32"/>
      <c r="C301" s="51"/>
      <c r="D301" s="52"/>
      <c r="E301" s="53" t="str">
        <f aca="false">IFERROR(IF(OR(C301="",C301=0,D301=""),"",D301*1440/C301),"")</f>
        <v/>
      </c>
      <c r="F301" s="31"/>
      <c r="G301" s="31"/>
      <c r="H301" s="31"/>
      <c r="I301" s="27" t="str">
        <f aca="false">IF(A301="","",INT((A301-StartDate)/7)+1)</f>
        <v/>
      </c>
      <c r="J301" s="27" t="str">
        <f aca="false">IF(A301="","",TEXT(A301,"mmm"))</f>
        <v/>
      </c>
    </row>
    <row r="302" customFormat="false" ht="15" hidden="false" customHeight="false" outlineLevel="0" collapsed="false">
      <c r="A302" s="45"/>
      <c r="B302" s="32"/>
      <c r="C302" s="51"/>
      <c r="D302" s="52"/>
      <c r="E302" s="54" t="str">
        <f aca="false">IFERROR(IF(OR(C302="",C302=0,D302=""),"",D302*1440/C302),"")</f>
        <v/>
      </c>
      <c r="F302" s="31"/>
      <c r="G302" s="31"/>
      <c r="H302" s="31"/>
      <c r="I302" s="36" t="str">
        <f aca="false">IF(A302="","",INT((A302-StartDate)/7)+1)</f>
        <v/>
      </c>
      <c r="J302" s="36" t="str">
        <f aca="false">IF(A302="","",TEXT(A302,"mmm"))</f>
        <v/>
      </c>
    </row>
    <row r="303" customFormat="false" ht="15" hidden="false" customHeight="false" outlineLevel="0" collapsed="false">
      <c r="A303" s="45"/>
      <c r="B303" s="32"/>
      <c r="C303" s="51"/>
      <c r="D303" s="52"/>
      <c r="E303" s="53" t="str">
        <f aca="false">IFERROR(IF(OR(C303="",C303=0,D303=""),"",D303*1440/C303),"")</f>
        <v/>
      </c>
      <c r="F303" s="31"/>
      <c r="G303" s="31"/>
      <c r="H303" s="31"/>
      <c r="I303" s="27" t="str">
        <f aca="false">IF(A303="","",INT((A303-StartDate)/7)+1)</f>
        <v/>
      </c>
      <c r="J303" s="27" t="str">
        <f aca="false">IF(A303="","",TEXT(A303,"mmm"))</f>
        <v/>
      </c>
    </row>
    <row r="304" customFormat="false" ht="15" hidden="false" customHeight="false" outlineLevel="0" collapsed="false">
      <c r="A304" s="45"/>
      <c r="B304" s="32"/>
      <c r="C304" s="51"/>
      <c r="D304" s="52"/>
      <c r="E304" s="54" t="str">
        <f aca="false">IFERROR(IF(OR(C304="",C304=0,D304=""),"",D304*1440/C304),"")</f>
        <v/>
      </c>
      <c r="F304" s="31"/>
      <c r="G304" s="31"/>
      <c r="H304" s="31"/>
      <c r="I304" s="36" t="str">
        <f aca="false">IF(A304="","",INT((A304-StartDate)/7)+1)</f>
        <v/>
      </c>
      <c r="J304" s="36" t="str">
        <f aca="false">IF(A304="","",TEXT(A304,"mmm"))</f>
        <v/>
      </c>
    </row>
  </sheetData>
  <mergeCells count="9">
    <mergeCell ref="A1:J1"/>
    <mergeCell ref="A2:J2"/>
    <mergeCell ref="L4:N4"/>
    <mergeCell ref="L6:M6"/>
    <mergeCell ref="L7:M7"/>
    <mergeCell ref="L8:M8"/>
    <mergeCell ref="L9:M9"/>
    <mergeCell ref="L10:M10"/>
    <mergeCell ref="L11:M11"/>
  </mergeCells>
  <dataValidations count="1">
    <dataValidation allowBlank="true" errorStyle="stop" operator="between" showDropDown="false" showErrorMessage="false" showInputMessage="false" sqref="B5:B304" type="list">
      <formula1>CardioExerciseList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&amp;N&amp;R&amp;F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true"/>
  </sheetPr>
  <dimension ref="A1:I3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22"/>
  </cols>
  <sheetData>
    <row r="1" customFormat="false" ht="39.7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124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30" hidden="false" customHeight="true" outlineLevel="0" collapsed="false">
      <c r="A4" s="24" t="s">
        <v>37</v>
      </c>
      <c r="B4" s="24" t="s">
        <v>42</v>
      </c>
      <c r="C4" s="24" t="s">
        <v>125</v>
      </c>
      <c r="D4" s="24" t="s">
        <v>126</v>
      </c>
      <c r="E4" s="24" t="s">
        <v>127</v>
      </c>
      <c r="F4" s="24" t="s">
        <v>128</v>
      </c>
      <c r="G4" s="24" t="s">
        <v>129</v>
      </c>
      <c r="H4" s="24" t="s">
        <v>130</v>
      </c>
      <c r="I4" s="24" t="s">
        <v>55</v>
      </c>
    </row>
    <row r="5" customFormat="false" ht="15" hidden="false" customHeight="false" outlineLevel="0" collapsed="false">
      <c r="A5" s="26" t="n">
        <f aca="false">'Daily Tracker'!A5</f>
        <v>46023</v>
      </c>
      <c r="B5" s="47" t="n">
        <f aca="false">IF('Daily Tracker'!F5="","",'Daily Tracker'!F5)</f>
        <v>7.5</v>
      </c>
      <c r="C5" s="31" t="n">
        <v>62</v>
      </c>
      <c r="D5" s="31" t="n">
        <v>52</v>
      </c>
      <c r="E5" s="56" t="n">
        <f aca="false">IFERROR(IF(COUNT(B5,C5,D5,F5,G5,H5)=0,"",ROUND((IF(B5="",70,MIN(B5/SleepGoal,1)*100))*0.25+(IF(C5="",70,MIN(C5/HRVGoal,1)*100))*0.2+(IF(D5="",70,MAX(0,MIN(1,(RHRPoor-D5)/(RHRPoor-RHRExcellent)))*100))*0.2+(IF(F5="",70,(5-F5)/4*100))*0.15+(IF(G5="",70,(5-G5)/4*100))*0.1+(IF(H5="",70,(5-H5)/4*100))*0.1,0)),"")</f>
        <v>84</v>
      </c>
      <c r="F5" s="31" t="n">
        <v>2</v>
      </c>
      <c r="G5" s="31" t="n">
        <v>2</v>
      </c>
      <c r="H5" s="31" t="n">
        <v>2</v>
      </c>
      <c r="I5" s="32" t="s">
        <v>96</v>
      </c>
    </row>
    <row r="6" customFormat="false" ht="15" hidden="false" customHeight="false" outlineLevel="0" collapsed="false">
      <c r="A6" s="35" t="n">
        <f aca="false">'Daily Tracker'!A6</f>
        <v>46024</v>
      </c>
      <c r="B6" s="48" t="str">
        <f aca="false">IF('Daily Tracker'!F6="","",'Daily Tracker'!F6)</f>
        <v/>
      </c>
      <c r="C6" s="31"/>
      <c r="D6" s="31"/>
      <c r="E6" s="56" t="str">
        <f aca="false">IFERROR(IF(COUNT(B6,C6,D6,F6,G6,H6)=0,"",ROUND((IF(B6="",70,MIN(B6/SleepGoal,1)*100))*0.25+(IF(C6="",70,MIN(C6/HRVGoal,1)*100))*0.2+(IF(D6="",70,MAX(0,MIN(1,(RHRPoor-D6)/(RHRPoor-RHRExcellent)))*100))*0.2+(IF(F6="",70,(5-F6)/4*100))*0.15+(IF(G6="",70,(5-G6)/4*100))*0.1+(IF(H6="",70,(5-H6)/4*100))*0.1,0)),"")</f>
        <v/>
      </c>
      <c r="F6" s="31"/>
      <c r="G6" s="31"/>
      <c r="H6" s="31"/>
      <c r="I6" s="32"/>
    </row>
    <row r="7" customFormat="false" ht="15" hidden="false" customHeight="false" outlineLevel="0" collapsed="false">
      <c r="A7" s="26" t="n">
        <f aca="false">'Daily Tracker'!A7</f>
        <v>46025</v>
      </c>
      <c r="B7" s="47" t="str">
        <f aca="false">IF('Daily Tracker'!F7="","",'Daily Tracker'!F7)</f>
        <v/>
      </c>
      <c r="C7" s="31"/>
      <c r="D7" s="31"/>
      <c r="E7" s="56" t="str">
        <f aca="false">IFERROR(IF(COUNT(B7,C7,D7,F7,G7,H7)=0,"",ROUND((IF(B7="",70,MIN(B7/SleepGoal,1)*100))*0.25+(IF(C7="",70,MIN(C7/HRVGoal,1)*100))*0.2+(IF(D7="",70,MAX(0,MIN(1,(RHRPoor-D7)/(RHRPoor-RHRExcellent)))*100))*0.2+(IF(F7="",70,(5-F7)/4*100))*0.15+(IF(G7="",70,(5-G7)/4*100))*0.1+(IF(H7="",70,(5-H7)/4*100))*0.1,0)),"")</f>
        <v/>
      </c>
      <c r="F7" s="31"/>
      <c r="G7" s="31"/>
      <c r="H7" s="31"/>
      <c r="I7" s="32"/>
    </row>
    <row r="8" customFormat="false" ht="15" hidden="false" customHeight="false" outlineLevel="0" collapsed="false">
      <c r="A8" s="35" t="n">
        <f aca="false">'Daily Tracker'!A8</f>
        <v>46026</v>
      </c>
      <c r="B8" s="48" t="str">
        <f aca="false">IF('Daily Tracker'!F8="","",'Daily Tracker'!F8)</f>
        <v/>
      </c>
      <c r="C8" s="31"/>
      <c r="D8" s="31"/>
      <c r="E8" s="56" t="str">
        <f aca="false">IFERROR(IF(COUNT(B8,C8,D8,F8,G8,H8)=0,"",ROUND((IF(B8="",70,MIN(B8/SleepGoal,1)*100))*0.25+(IF(C8="",70,MIN(C8/HRVGoal,1)*100))*0.2+(IF(D8="",70,MAX(0,MIN(1,(RHRPoor-D8)/(RHRPoor-RHRExcellent)))*100))*0.2+(IF(F8="",70,(5-F8)/4*100))*0.15+(IF(G8="",70,(5-G8)/4*100))*0.1+(IF(H8="",70,(5-H8)/4*100))*0.1,0)),"")</f>
        <v/>
      </c>
      <c r="F8" s="31"/>
      <c r="G8" s="31"/>
      <c r="H8" s="31"/>
      <c r="I8" s="32"/>
    </row>
    <row r="9" customFormat="false" ht="15" hidden="false" customHeight="false" outlineLevel="0" collapsed="false">
      <c r="A9" s="26" t="n">
        <f aca="false">'Daily Tracker'!A9</f>
        <v>46027</v>
      </c>
      <c r="B9" s="47" t="str">
        <f aca="false">IF('Daily Tracker'!F9="","",'Daily Tracker'!F9)</f>
        <v/>
      </c>
      <c r="C9" s="31"/>
      <c r="D9" s="31"/>
      <c r="E9" s="56" t="str">
        <f aca="false">IFERROR(IF(COUNT(B9,C9,D9,F9,G9,H9)=0,"",ROUND((IF(B9="",70,MIN(B9/SleepGoal,1)*100))*0.25+(IF(C9="",70,MIN(C9/HRVGoal,1)*100))*0.2+(IF(D9="",70,MAX(0,MIN(1,(RHRPoor-D9)/(RHRPoor-RHRExcellent)))*100))*0.2+(IF(F9="",70,(5-F9)/4*100))*0.15+(IF(G9="",70,(5-G9)/4*100))*0.1+(IF(H9="",70,(5-H9)/4*100))*0.1,0)),"")</f>
        <v/>
      </c>
      <c r="F9" s="31"/>
      <c r="G9" s="31"/>
      <c r="H9" s="31"/>
      <c r="I9" s="32"/>
    </row>
    <row r="10" customFormat="false" ht="15" hidden="false" customHeight="false" outlineLevel="0" collapsed="false">
      <c r="A10" s="35" t="n">
        <f aca="false">'Daily Tracker'!A10</f>
        <v>46028</v>
      </c>
      <c r="B10" s="48" t="str">
        <f aca="false">IF('Daily Tracker'!F10="","",'Daily Tracker'!F10)</f>
        <v/>
      </c>
      <c r="C10" s="31"/>
      <c r="D10" s="31"/>
      <c r="E10" s="56" t="str">
        <f aca="false">IFERROR(IF(COUNT(B10,C10,D10,F10,G10,H10)=0,"",ROUND((IF(B10="",70,MIN(B10/SleepGoal,1)*100))*0.25+(IF(C10="",70,MIN(C10/HRVGoal,1)*100))*0.2+(IF(D10="",70,MAX(0,MIN(1,(RHRPoor-D10)/(RHRPoor-RHRExcellent)))*100))*0.2+(IF(F10="",70,(5-F10)/4*100))*0.15+(IF(G10="",70,(5-G10)/4*100))*0.1+(IF(H10="",70,(5-H10)/4*100))*0.1,0)),"")</f>
        <v/>
      </c>
      <c r="F10" s="31"/>
      <c r="G10" s="31"/>
      <c r="H10" s="31"/>
      <c r="I10" s="32"/>
    </row>
    <row r="11" customFormat="false" ht="15" hidden="false" customHeight="false" outlineLevel="0" collapsed="false">
      <c r="A11" s="26" t="n">
        <f aca="false">'Daily Tracker'!A11</f>
        <v>46029</v>
      </c>
      <c r="B11" s="47" t="str">
        <f aca="false">IF('Daily Tracker'!F11="","",'Daily Tracker'!F11)</f>
        <v/>
      </c>
      <c r="C11" s="31"/>
      <c r="D11" s="31"/>
      <c r="E11" s="56" t="str">
        <f aca="false">IFERROR(IF(COUNT(B11,C11,D11,F11,G11,H11)=0,"",ROUND((IF(B11="",70,MIN(B11/SleepGoal,1)*100))*0.25+(IF(C11="",70,MIN(C11/HRVGoal,1)*100))*0.2+(IF(D11="",70,MAX(0,MIN(1,(RHRPoor-D11)/(RHRPoor-RHRExcellent)))*100))*0.2+(IF(F11="",70,(5-F11)/4*100))*0.15+(IF(G11="",70,(5-G11)/4*100))*0.1+(IF(H11="",70,(5-H11)/4*100))*0.1,0)),"")</f>
        <v/>
      </c>
      <c r="F11" s="31"/>
      <c r="G11" s="31"/>
      <c r="H11" s="31"/>
      <c r="I11" s="32"/>
    </row>
    <row r="12" customFormat="false" ht="15" hidden="false" customHeight="false" outlineLevel="0" collapsed="false">
      <c r="A12" s="35" t="n">
        <f aca="false">'Daily Tracker'!A12</f>
        <v>46030</v>
      </c>
      <c r="B12" s="48" t="str">
        <f aca="false">IF('Daily Tracker'!F12="","",'Daily Tracker'!F12)</f>
        <v/>
      </c>
      <c r="C12" s="31"/>
      <c r="D12" s="31"/>
      <c r="E12" s="56" t="str">
        <f aca="false">IFERROR(IF(COUNT(B12,C12,D12,F12,G12,H12)=0,"",ROUND((IF(B12="",70,MIN(B12/SleepGoal,1)*100))*0.25+(IF(C12="",70,MIN(C12/HRVGoal,1)*100))*0.2+(IF(D12="",70,MAX(0,MIN(1,(RHRPoor-D12)/(RHRPoor-RHRExcellent)))*100))*0.2+(IF(F12="",70,(5-F12)/4*100))*0.15+(IF(G12="",70,(5-G12)/4*100))*0.1+(IF(H12="",70,(5-H12)/4*100))*0.1,0)),"")</f>
        <v/>
      </c>
      <c r="F12" s="31"/>
      <c r="G12" s="31"/>
      <c r="H12" s="31"/>
      <c r="I12" s="32"/>
    </row>
    <row r="13" customFormat="false" ht="15" hidden="false" customHeight="false" outlineLevel="0" collapsed="false">
      <c r="A13" s="26" t="n">
        <f aca="false">'Daily Tracker'!A13</f>
        <v>46031</v>
      </c>
      <c r="B13" s="47" t="str">
        <f aca="false">IF('Daily Tracker'!F13="","",'Daily Tracker'!F13)</f>
        <v/>
      </c>
      <c r="C13" s="31"/>
      <c r="D13" s="31"/>
      <c r="E13" s="56" t="str">
        <f aca="false">IFERROR(IF(COUNT(B13,C13,D13,F13,G13,H13)=0,"",ROUND((IF(B13="",70,MIN(B13/SleepGoal,1)*100))*0.25+(IF(C13="",70,MIN(C13/HRVGoal,1)*100))*0.2+(IF(D13="",70,MAX(0,MIN(1,(RHRPoor-D13)/(RHRPoor-RHRExcellent)))*100))*0.2+(IF(F13="",70,(5-F13)/4*100))*0.15+(IF(G13="",70,(5-G13)/4*100))*0.1+(IF(H13="",70,(5-H13)/4*100))*0.1,0)),"")</f>
        <v/>
      </c>
      <c r="F13" s="31"/>
      <c r="G13" s="31"/>
      <c r="H13" s="31"/>
      <c r="I13" s="32"/>
    </row>
    <row r="14" customFormat="false" ht="15" hidden="false" customHeight="false" outlineLevel="0" collapsed="false">
      <c r="A14" s="35" t="n">
        <f aca="false">'Daily Tracker'!A14</f>
        <v>46032</v>
      </c>
      <c r="B14" s="48" t="str">
        <f aca="false">IF('Daily Tracker'!F14="","",'Daily Tracker'!F14)</f>
        <v/>
      </c>
      <c r="C14" s="31"/>
      <c r="D14" s="31"/>
      <c r="E14" s="56" t="str">
        <f aca="false">IFERROR(IF(COUNT(B14,C14,D14,F14,G14,H14)=0,"",ROUND((IF(B14="",70,MIN(B14/SleepGoal,1)*100))*0.25+(IF(C14="",70,MIN(C14/HRVGoal,1)*100))*0.2+(IF(D14="",70,MAX(0,MIN(1,(RHRPoor-D14)/(RHRPoor-RHRExcellent)))*100))*0.2+(IF(F14="",70,(5-F14)/4*100))*0.15+(IF(G14="",70,(5-G14)/4*100))*0.1+(IF(H14="",70,(5-H14)/4*100))*0.1,0)),"")</f>
        <v/>
      </c>
      <c r="F14" s="31"/>
      <c r="G14" s="31"/>
      <c r="H14" s="31"/>
      <c r="I14" s="32"/>
    </row>
    <row r="15" customFormat="false" ht="15" hidden="false" customHeight="false" outlineLevel="0" collapsed="false">
      <c r="A15" s="26" t="n">
        <f aca="false">'Daily Tracker'!A15</f>
        <v>46033</v>
      </c>
      <c r="B15" s="47" t="str">
        <f aca="false">IF('Daily Tracker'!F15="","",'Daily Tracker'!F15)</f>
        <v/>
      </c>
      <c r="C15" s="31"/>
      <c r="D15" s="31"/>
      <c r="E15" s="56" t="str">
        <f aca="false">IFERROR(IF(COUNT(B15,C15,D15,F15,G15,H15)=0,"",ROUND((IF(B15="",70,MIN(B15/SleepGoal,1)*100))*0.25+(IF(C15="",70,MIN(C15/HRVGoal,1)*100))*0.2+(IF(D15="",70,MAX(0,MIN(1,(RHRPoor-D15)/(RHRPoor-RHRExcellent)))*100))*0.2+(IF(F15="",70,(5-F15)/4*100))*0.15+(IF(G15="",70,(5-G15)/4*100))*0.1+(IF(H15="",70,(5-H15)/4*100))*0.1,0)),"")</f>
        <v/>
      </c>
      <c r="F15" s="31"/>
      <c r="G15" s="31"/>
      <c r="H15" s="31"/>
      <c r="I15" s="32"/>
    </row>
    <row r="16" customFormat="false" ht="15" hidden="false" customHeight="false" outlineLevel="0" collapsed="false">
      <c r="A16" s="35" t="n">
        <f aca="false">'Daily Tracker'!A16</f>
        <v>46034</v>
      </c>
      <c r="B16" s="48" t="str">
        <f aca="false">IF('Daily Tracker'!F16="","",'Daily Tracker'!F16)</f>
        <v/>
      </c>
      <c r="C16" s="31"/>
      <c r="D16" s="31"/>
      <c r="E16" s="56" t="str">
        <f aca="false">IFERROR(IF(COUNT(B16,C16,D16,F16,G16,H16)=0,"",ROUND((IF(B16="",70,MIN(B16/SleepGoal,1)*100))*0.25+(IF(C16="",70,MIN(C16/HRVGoal,1)*100))*0.2+(IF(D16="",70,MAX(0,MIN(1,(RHRPoor-D16)/(RHRPoor-RHRExcellent)))*100))*0.2+(IF(F16="",70,(5-F16)/4*100))*0.15+(IF(G16="",70,(5-G16)/4*100))*0.1+(IF(H16="",70,(5-H16)/4*100))*0.1,0)),"")</f>
        <v/>
      </c>
      <c r="F16" s="31"/>
      <c r="G16" s="31"/>
      <c r="H16" s="31"/>
      <c r="I16" s="32"/>
    </row>
    <row r="17" customFormat="false" ht="15" hidden="false" customHeight="false" outlineLevel="0" collapsed="false">
      <c r="A17" s="26" t="n">
        <f aca="false">'Daily Tracker'!A17</f>
        <v>46035</v>
      </c>
      <c r="B17" s="47" t="str">
        <f aca="false">IF('Daily Tracker'!F17="","",'Daily Tracker'!F17)</f>
        <v/>
      </c>
      <c r="C17" s="31"/>
      <c r="D17" s="31"/>
      <c r="E17" s="56" t="str">
        <f aca="false">IFERROR(IF(COUNT(B17,C17,D17,F17,G17,H17)=0,"",ROUND((IF(B17="",70,MIN(B17/SleepGoal,1)*100))*0.25+(IF(C17="",70,MIN(C17/HRVGoal,1)*100))*0.2+(IF(D17="",70,MAX(0,MIN(1,(RHRPoor-D17)/(RHRPoor-RHRExcellent)))*100))*0.2+(IF(F17="",70,(5-F17)/4*100))*0.15+(IF(G17="",70,(5-G17)/4*100))*0.1+(IF(H17="",70,(5-H17)/4*100))*0.1,0)),"")</f>
        <v/>
      </c>
      <c r="F17" s="31"/>
      <c r="G17" s="31"/>
      <c r="H17" s="31"/>
      <c r="I17" s="32"/>
    </row>
    <row r="18" customFormat="false" ht="15" hidden="false" customHeight="false" outlineLevel="0" collapsed="false">
      <c r="A18" s="35" t="n">
        <f aca="false">'Daily Tracker'!A18</f>
        <v>46036</v>
      </c>
      <c r="B18" s="48" t="str">
        <f aca="false">IF('Daily Tracker'!F18="","",'Daily Tracker'!F18)</f>
        <v/>
      </c>
      <c r="C18" s="31"/>
      <c r="D18" s="31"/>
      <c r="E18" s="56" t="str">
        <f aca="false">IFERROR(IF(COUNT(B18,C18,D18,F18,G18,H18)=0,"",ROUND((IF(B18="",70,MIN(B18/SleepGoal,1)*100))*0.25+(IF(C18="",70,MIN(C18/HRVGoal,1)*100))*0.2+(IF(D18="",70,MAX(0,MIN(1,(RHRPoor-D18)/(RHRPoor-RHRExcellent)))*100))*0.2+(IF(F18="",70,(5-F18)/4*100))*0.15+(IF(G18="",70,(5-G18)/4*100))*0.1+(IF(H18="",70,(5-H18)/4*100))*0.1,0)),"")</f>
        <v/>
      </c>
      <c r="F18" s="31"/>
      <c r="G18" s="31"/>
      <c r="H18" s="31"/>
      <c r="I18" s="32"/>
    </row>
    <row r="19" customFormat="false" ht="15" hidden="false" customHeight="false" outlineLevel="0" collapsed="false">
      <c r="A19" s="26" t="n">
        <f aca="false">'Daily Tracker'!A19</f>
        <v>46037</v>
      </c>
      <c r="B19" s="47" t="str">
        <f aca="false">IF('Daily Tracker'!F19="","",'Daily Tracker'!F19)</f>
        <v/>
      </c>
      <c r="C19" s="31"/>
      <c r="D19" s="31"/>
      <c r="E19" s="56" t="str">
        <f aca="false">IFERROR(IF(COUNT(B19,C19,D19,F19,G19,H19)=0,"",ROUND((IF(B19="",70,MIN(B19/SleepGoal,1)*100))*0.25+(IF(C19="",70,MIN(C19/HRVGoal,1)*100))*0.2+(IF(D19="",70,MAX(0,MIN(1,(RHRPoor-D19)/(RHRPoor-RHRExcellent)))*100))*0.2+(IF(F19="",70,(5-F19)/4*100))*0.15+(IF(G19="",70,(5-G19)/4*100))*0.1+(IF(H19="",70,(5-H19)/4*100))*0.1,0)),"")</f>
        <v/>
      </c>
      <c r="F19" s="31"/>
      <c r="G19" s="31"/>
      <c r="H19" s="31"/>
      <c r="I19" s="32"/>
    </row>
    <row r="20" customFormat="false" ht="15" hidden="false" customHeight="false" outlineLevel="0" collapsed="false">
      <c r="A20" s="35" t="n">
        <f aca="false">'Daily Tracker'!A20</f>
        <v>46038</v>
      </c>
      <c r="B20" s="48" t="str">
        <f aca="false">IF('Daily Tracker'!F20="","",'Daily Tracker'!F20)</f>
        <v/>
      </c>
      <c r="C20" s="31"/>
      <c r="D20" s="31"/>
      <c r="E20" s="56" t="str">
        <f aca="false">IFERROR(IF(COUNT(B20,C20,D20,F20,G20,H20)=0,"",ROUND((IF(B20="",70,MIN(B20/SleepGoal,1)*100))*0.25+(IF(C20="",70,MIN(C20/HRVGoal,1)*100))*0.2+(IF(D20="",70,MAX(0,MIN(1,(RHRPoor-D20)/(RHRPoor-RHRExcellent)))*100))*0.2+(IF(F20="",70,(5-F20)/4*100))*0.15+(IF(G20="",70,(5-G20)/4*100))*0.1+(IF(H20="",70,(5-H20)/4*100))*0.1,0)),"")</f>
        <v/>
      </c>
      <c r="F20" s="31"/>
      <c r="G20" s="31"/>
      <c r="H20" s="31"/>
      <c r="I20" s="32"/>
    </row>
    <row r="21" customFormat="false" ht="15" hidden="false" customHeight="false" outlineLevel="0" collapsed="false">
      <c r="A21" s="26" t="n">
        <f aca="false">'Daily Tracker'!A21</f>
        <v>46039</v>
      </c>
      <c r="B21" s="47" t="str">
        <f aca="false">IF('Daily Tracker'!F21="","",'Daily Tracker'!F21)</f>
        <v/>
      </c>
      <c r="C21" s="31"/>
      <c r="D21" s="31"/>
      <c r="E21" s="56" t="str">
        <f aca="false">IFERROR(IF(COUNT(B21,C21,D21,F21,G21,H21)=0,"",ROUND((IF(B21="",70,MIN(B21/SleepGoal,1)*100))*0.25+(IF(C21="",70,MIN(C21/HRVGoal,1)*100))*0.2+(IF(D21="",70,MAX(0,MIN(1,(RHRPoor-D21)/(RHRPoor-RHRExcellent)))*100))*0.2+(IF(F21="",70,(5-F21)/4*100))*0.15+(IF(G21="",70,(5-G21)/4*100))*0.1+(IF(H21="",70,(5-H21)/4*100))*0.1,0)),"")</f>
        <v/>
      </c>
      <c r="F21" s="31"/>
      <c r="G21" s="31"/>
      <c r="H21" s="31"/>
      <c r="I21" s="32"/>
    </row>
    <row r="22" customFormat="false" ht="15" hidden="false" customHeight="false" outlineLevel="0" collapsed="false">
      <c r="A22" s="35" t="n">
        <f aca="false">'Daily Tracker'!A22</f>
        <v>46040</v>
      </c>
      <c r="B22" s="48" t="str">
        <f aca="false">IF('Daily Tracker'!F22="","",'Daily Tracker'!F22)</f>
        <v/>
      </c>
      <c r="C22" s="31"/>
      <c r="D22" s="31"/>
      <c r="E22" s="56" t="str">
        <f aca="false">IFERROR(IF(COUNT(B22,C22,D22,F22,G22,H22)=0,"",ROUND((IF(B22="",70,MIN(B22/SleepGoal,1)*100))*0.25+(IF(C22="",70,MIN(C22/HRVGoal,1)*100))*0.2+(IF(D22="",70,MAX(0,MIN(1,(RHRPoor-D22)/(RHRPoor-RHRExcellent)))*100))*0.2+(IF(F22="",70,(5-F22)/4*100))*0.15+(IF(G22="",70,(5-G22)/4*100))*0.1+(IF(H22="",70,(5-H22)/4*100))*0.1,0)),"")</f>
        <v/>
      </c>
      <c r="F22" s="31"/>
      <c r="G22" s="31"/>
      <c r="H22" s="31"/>
      <c r="I22" s="32"/>
    </row>
    <row r="23" customFormat="false" ht="15" hidden="false" customHeight="false" outlineLevel="0" collapsed="false">
      <c r="A23" s="26" t="n">
        <f aca="false">'Daily Tracker'!A23</f>
        <v>46041</v>
      </c>
      <c r="B23" s="47" t="str">
        <f aca="false">IF('Daily Tracker'!F23="","",'Daily Tracker'!F23)</f>
        <v/>
      </c>
      <c r="C23" s="31"/>
      <c r="D23" s="31"/>
      <c r="E23" s="56" t="str">
        <f aca="false">IFERROR(IF(COUNT(B23,C23,D23,F23,G23,H23)=0,"",ROUND((IF(B23="",70,MIN(B23/SleepGoal,1)*100))*0.25+(IF(C23="",70,MIN(C23/HRVGoal,1)*100))*0.2+(IF(D23="",70,MAX(0,MIN(1,(RHRPoor-D23)/(RHRPoor-RHRExcellent)))*100))*0.2+(IF(F23="",70,(5-F23)/4*100))*0.15+(IF(G23="",70,(5-G23)/4*100))*0.1+(IF(H23="",70,(5-H23)/4*100))*0.1,0)),"")</f>
        <v/>
      </c>
      <c r="F23" s="31"/>
      <c r="G23" s="31"/>
      <c r="H23" s="31"/>
      <c r="I23" s="32"/>
    </row>
    <row r="24" customFormat="false" ht="15" hidden="false" customHeight="false" outlineLevel="0" collapsed="false">
      <c r="A24" s="35" t="n">
        <f aca="false">'Daily Tracker'!A24</f>
        <v>46042</v>
      </c>
      <c r="B24" s="48" t="str">
        <f aca="false">IF('Daily Tracker'!F24="","",'Daily Tracker'!F24)</f>
        <v/>
      </c>
      <c r="C24" s="31"/>
      <c r="D24" s="31"/>
      <c r="E24" s="56" t="str">
        <f aca="false">IFERROR(IF(COUNT(B24,C24,D24,F24,G24,H24)=0,"",ROUND((IF(B24="",70,MIN(B24/SleepGoal,1)*100))*0.25+(IF(C24="",70,MIN(C24/HRVGoal,1)*100))*0.2+(IF(D24="",70,MAX(0,MIN(1,(RHRPoor-D24)/(RHRPoor-RHRExcellent)))*100))*0.2+(IF(F24="",70,(5-F24)/4*100))*0.15+(IF(G24="",70,(5-G24)/4*100))*0.1+(IF(H24="",70,(5-H24)/4*100))*0.1,0)),"")</f>
        <v/>
      </c>
      <c r="F24" s="31"/>
      <c r="G24" s="31"/>
      <c r="H24" s="31"/>
      <c r="I24" s="32"/>
    </row>
    <row r="25" customFormat="false" ht="15" hidden="false" customHeight="false" outlineLevel="0" collapsed="false">
      <c r="A25" s="26" t="n">
        <f aca="false">'Daily Tracker'!A25</f>
        <v>46043</v>
      </c>
      <c r="B25" s="47" t="str">
        <f aca="false">IF('Daily Tracker'!F25="","",'Daily Tracker'!F25)</f>
        <v/>
      </c>
      <c r="C25" s="31"/>
      <c r="D25" s="31"/>
      <c r="E25" s="56" t="str">
        <f aca="false">IFERROR(IF(COUNT(B25,C25,D25,F25,G25,H25)=0,"",ROUND((IF(B25="",70,MIN(B25/SleepGoal,1)*100))*0.25+(IF(C25="",70,MIN(C25/HRVGoal,1)*100))*0.2+(IF(D25="",70,MAX(0,MIN(1,(RHRPoor-D25)/(RHRPoor-RHRExcellent)))*100))*0.2+(IF(F25="",70,(5-F25)/4*100))*0.15+(IF(G25="",70,(5-G25)/4*100))*0.1+(IF(H25="",70,(5-H25)/4*100))*0.1,0)),"")</f>
        <v/>
      </c>
      <c r="F25" s="31"/>
      <c r="G25" s="31"/>
      <c r="H25" s="31"/>
      <c r="I25" s="32"/>
    </row>
    <row r="26" customFormat="false" ht="15" hidden="false" customHeight="false" outlineLevel="0" collapsed="false">
      <c r="A26" s="35" t="n">
        <f aca="false">'Daily Tracker'!A26</f>
        <v>46044</v>
      </c>
      <c r="B26" s="48" t="str">
        <f aca="false">IF('Daily Tracker'!F26="","",'Daily Tracker'!F26)</f>
        <v/>
      </c>
      <c r="C26" s="31"/>
      <c r="D26" s="31"/>
      <c r="E26" s="56" t="str">
        <f aca="false">IFERROR(IF(COUNT(B26,C26,D26,F26,G26,H26)=0,"",ROUND((IF(B26="",70,MIN(B26/SleepGoal,1)*100))*0.25+(IF(C26="",70,MIN(C26/HRVGoal,1)*100))*0.2+(IF(D26="",70,MAX(0,MIN(1,(RHRPoor-D26)/(RHRPoor-RHRExcellent)))*100))*0.2+(IF(F26="",70,(5-F26)/4*100))*0.15+(IF(G26="",70,(5-G26)/4*100))*0.1+(IF(H26="",70,(5-H26)/4*100))*0.1,0)),"")</f>
        <v/>
      </c>
      <c r="F26" s="31"/>
      <c r="G26" s="31"/>
      <c r="H26" s="31"/>
      <c r="I26" s="32"/>
    </row>
    <row r="27" customFormat="false" ht="15" hidden="false" customHeight="false" outlineLevel="0" collapsed="false">
      <c r="A27" s="26" t="n">
        <f aca="false">'Daily Tracker'!A27</f>
        <v>46045</v>
      </c>
      <c r="B27" s="47" t="str">
        <f aca="false">IF('Daily Tracker'!F27="","",'Daily Tracker'!F27)</f>
        <v/>
      </c>
      <c r="C27" s="31"/>
      <c r="D27" s="31"/>
      <c r="E27" s="56" t="str">
        <f aca="false">IFERROR(IF(COUNT(B27,C27,D27,F27,G27,H27)=0,"",ROUND((IF(B27="",70,MIN(B27/SleepGoal,1)*100))*0.25+(IF(C27="",70,MIN(C27/HRVGoal,1)*100))*0.2+(IF(D27="",70,MAX(0,MIN(1,(RHRPoor-D27)/(RHRPoor-RHRExcellent)))*100))*0.2+(IF(F27="",70,(5-F27)/4*100))*0.15+(IF(G27="",70,(5-G27)/4*100))*0.1+(IF(H27="",70,(5-H27)/4*100))*0.1,0)),"")</f>
        <v/>
      </c>
      <c r="F27" s="31"/>
      <c r="G27" s="31"/>
      <c r="H27" s="31"/>
      <c r="I27" s="32"/>
    </row>
    <row r="28" customFormat="false" ht="15" hidden="false" customHeight="false" outlineLevel="0" collapsed="false">
      <c r="A28" s="35" t="n">
        <f aca="false">'Daily Tracker'!A28</f>
        <v>46046</v>
      </c>
      <c r="B28" s="48" t="str">
        <f aca="false">IF('Daily Tracker'!F28="","",'Daily Tracker'!F28)</f>
        <v/>
      </c>
      <c r="C28" s="31"/>
      <c r="D28" s="31"/>
      <c r="E28" s="56" t="str">
        <f aca="false">IFERROR(IF(COUNT(B28,C28,D28,F28,G28,H28)=0,"",ROUND((IF(B28="",70,MIN(B28/SleepGoal,1)*100))*0.25+(IF(C28="",70,MIN(C28/HRVGoal,1)*100))*0.2+(IF(D28="",70,MAX(0,MIN(1,(RHRPoor-D28)/(RHRPoor-RHRExcellent)))*100))*0.2+(IF(F28="",70,(5-F28)/4*100))*0.15+(IF(G28="",70,(5-G28)/4*100))*0.1+(IF(H28="",70,(5-H28)/4*100))*0.1,0)),"")</f>
        <v/>
      </c>
      <c r="F28" s="31"/>
      <c r="G28" s="31"/>
      <c r="H28" s="31"/>
      <c r="I28" s="32"/>
    </row>
    <row r="29" customFormat="false" ht="15" hidden="false" customHeight="false" outlineLevel="0" collapsed="false">
      <c r="A29" s="26" t="n">
        <f aca="false">'Daily Tracker'!A29</f>
        <v>46047</v>
      </c>
      <c r="B29" s="47" t="str">
        <f aca="false">IF('Daily Tracker'!F29="","",'Daily Tracker'!F29)</f>
        <v/>
      </c>
      <c r="C29" s="31"/>
      <c r="D29" s="31"/>
      <c r="E29" s="56" t="str">
        <f aca="false">IFERROR(IF(COUNT(B29,C29,D29,F29,G29,H29)=0,"",ROUND((IF(B29="",70,MIN(B29/SleepGoal,1)*100))*0.25+(IF(C29="",70,MIN(C29/HRVGoal,1)*100))*0.2+(IF(D29="",70,MAX(0,MIN(1,(RHRPoor-D29)/(RHRPoor-RHRExcellent)))*100))*0.2+(IF(F29="",70,(5-F29)/4*100))*0.15+(IF(G29="",70,(5-G29)/4*100))*0.1+(IF(H29="",70,(5-H29)/4*100))*0.1,0)),"")</f>
        <v/>
      </c>
      <c r="F29" s="31"/>
      <c r="G29" s="31"/>
      <c r="H29" s="31"/>
      <c r="I29" s="32"/>
    </row>
    <row r="30" customFormat="false" ht="15" hidden="false" customHeight="false" outlineLevel="0" collapsed="false">
      <c r="A30" s="35" t="n">
        <f aca="false">'Daily Tracker'!A30</f>
        <v>46048</v>
      </c>
      <c r="B30" s="48" t="str">
        <f aca="false">IF('Daily Tracker'!F30="","",'Daily Tracker'!F30)</f>
        <v/>
      </c>
      <c r="C30" s="31"/>
      <c r="D30" s="31"/>
      <c r="E30" s="56" t="str">
        <f aca="false">IFERROR(IF(COUNT(B30,C30,D30,F30,G30,H30)=0,"",ROUND((IF(B30="",70,MIN(B30/SleepGoal,1)*100))*0.25+(IF(C30="",70,MIN(C30/HRVGoal,1)*100))*0.2+(IF(D30="",70,MAX(0,MIN(1,(RHRPoor-D30)/(RHRPoor-RHRExcellent)))*100))*0.2+(IF(F30="",70,(5-F30)/4*100))*0.15+(IF(G30="",70,(5-G30)/4*100))*0.1+(IF(H30="",70,(5-H30)/4*100))*0.1,0)),"")</f>
        <v/>
      </c>
      <c r="F30" s="31"/>
      <c r="G30" s="31"/>
      <c r="H30" s="31"/>
      <c r="I30" s="32"/>
    </row>
    <row r="31" customFormat="false" ht="15" hidden="false" customHeight="false" outlineLevel="0" collapsed="false">
      <c r="A31" s="26" t="n">
        <f aca="false">'Daily Tracker'!A31</f>
        <v>46049</v>
      </c>
      <c r="B31" s="47" t="str">
        <f aca="false">IF('Daily Tracker'!F31="","",'Daily Tracker'!F31)</f>
        <v/>
      </c>
      <c r="C31" s="31"/>
      <c r="D31" s="31"/>
      <c r="E31" s="56" t="str">
        <f aca="false">IFERROR(IF(COUNT(B31,C31,D31,F31,G31,H31)=0,"",ROUND((IF(B31="",70,MIN(B31/SleepGoal,1)*100))*0.25+(IF(C31="",70,MIN(C31/HRVGoal,1)*100))*0.2+(IF(D31="",70,MAX(0,MIN(1,(RHRPoor-D31)/(RHRPoor-RHRExcellent)))*100))*0.2+(IF(F31="",70,(5-F31)/4*100))*0.15+(IF(G31="",70,(5-G31)/4*100))*0.1+(IF(H31="",70,(5-H31)/4*100))*0.1,0)),"")</f>
        <v/>
      </c>
      <c r="F31" s="31"/>
      <c r="G31" s="31"/>
      <c r="H31" s="31"/>
      <c r="I31" s="32"/>
    </row>
    <row r="32" customFormat="false" ht="15" hidden="false" customHeight="false" outlineLevel="0" collapsed="false">
      <c r="A32" s="35" t="n">
        <f aca="false">'Daily Tracker'!A32</f>
        <v>46050</v>
      </c>
      <c r="B32" s="48" t="str">
        <f aca="false">IF('Daily Tracker'!F32="","",'Daily Tracker'!F32)</f>
        <v/>
      </c>
      <c r="C32" s="31"/>
      <c r="D32" s="31"/>
      <c r="E32" s="56" t="str">
        <f aca="false">IFERROR(IF(COUNT(B32,C32,D32,F32,G32,H32)=0,"",ROUND((IF(B32="",70,MIN(B32/SleepGoal,1)*100))*0.25+(IF(C32="",70,MIN(C32/HRVGoal,1)*100))*0.2+(IF(D32="",70,MAX(0,MIN(1,(RHRPoor-D32)/(RHRPoor-RHRExcellent)))*100))*0.2+(IF(F32="",70,(5-F32)/4*100))*0.15+(IF(G32="",70,(5-G32)/4*100))*0.1+(IF(H32="",70,(5-H32)/4*100))*0.1,0)),"")</f>
        <v/>
      </c>
      <c r="F32" s="31"/>
      <c r="G32" s="31"/>
      <c r="H32" s="31"/>
      <c r="I32" s="32"/>
    </row>
    <row r="33" customFormat="false" ht="15" hidden="false" customHeight="false" outlineLevel="0" collapsed="false">
      <c r="A33" s="26" t="n">
        <f aca="false">'Daily Tracker'!A33</f>
        <v>46051</v>
      </c>
      <c r="B33" s="47" t="str">
        <f aca="false">IF('Daily Tracker'!F33="","",'Daily Tracker'!F33)</f>
        <v/>
      </c>
      <c r="C33" s="31"/>
      <c r="D33" s="31"/>
      <c r="E33" s="56" t="str">
        <f aca="false">IFERROR(IF(COUNT(B33,C33,D33,F33,G33,H33)=0,"",ROUND((IF(B33="",70,MIN(B33/SleepGoal,1)*100))*0.25+(IF(C33="",70,MIN(C33/HRVGoal,1)*100))*0.2+(IF(D33="",70,MAX(0,MIN(1,(RHRPoor-D33)/(RHRPoor-RHRExcellent)))*100))*0.2+(IF(F33="",70,(5-F33)/4*100))*0.15+(IF(G33="",70,(5-G33)/4*100))*0.1+(IF(H33="",70,(5-H33)/4*100))*0.1,0)),"")</f>
        <v/>
      </c>
      <c r="F33" s="31"/>
      <c r="G33" s="31"/>
      <c r="H33" s="31"/>
      <c r="I33" s="32"/>
    </row>
    <row r="34" customFormat="false" ht="15" hidden="false" customHeight="false" outlineLevel="0" collapsed="false">
      <c r="A34" s="35" t="n">
        <f aca="false">'Daily Tracker'!A34</f>
        <v>46052</v>
      </c>
      <c r="B34" s="48" t="str">
        <f aca="false">IF('Daily Tracker'!F34="","",'Daily Tracker'!F34)</f>
        <v/>
      </c>
      <c r="C34" s="31"/>
      <c r="D34" s="31"/>
      <c r="E34" s="56" t="str">
        <f aca="false">IFERROR(IF(COUNT(B34,C34,D34,F34,G34,H34)=0,"",ROUND((IF(B34="",70,MIN(B34/SleepGoal,1)*100))*0.25+(IF(C34="",70,MIN(C34/HRVGoal,1)*100))*0.2+(IF(D34="",70,MAX(0,MIN(1,(RHRPoor-D34)/(RHRPoor-RHRExcellent)))*100))*0.2+(IF(F34="",70,(5-F34)/4*100))*0.15+(IF(G34="",70,(5-G34)/4*100))*0.1+(IF(H34="",70,(5-H34)/4*100))*0.1,0)),"")</f>
        <v/>
      </c>
      <c r="F34" s="31"/>
      <c r="G34" s="31"/>
      <c r="H34" s="31"/>
      <c r="I34" s="32"/>
    </row>
    <row r="35" customFormat="false" ht="15" hidden="false" customHeight="false" outlineLevel="0" collapsed="false">
      <c r="A35" s="26" t="n">
        <f aca="false">'Daily Tracker'!A35</f>
        <v>46053</v>
      </c>
      <c r="B35" s="47" t="str">
        <f aca="false">IF('Daily Tracker'!F35="","",'Daily Tracker'!F35)</f>
        <v/>
      </c>
      <c r="C35" s="31"/>
      <c r="D35" s="31"/>
      <c r="E35" s="56" t="str">
        <f aca="false">IFERROR(IF(COUNT(B35,C35,D35,F35,G35,H35)=0,"",ROUND((IF(B35="",70,MIN(B35/SleepGoal,1)*100))*0.25+(IF(C35="",70,MIN(C35/HRVGoal,1)*100))*0.2+(IF(D35="",70,MAX(0,MIN(1,(RHRPoor-D35)/(RHRPoor-RHRExcellent)))*100))*0.2+(IF(F35="",70,(5-F35)/4*100))*0.15+(IF(G35="",70,(5-G35)/4*100))*0.1+(IF(H35="",70,(5-H35)/4*100))*0.1,0)),"")</f>
        <v/>
      </c>
      <c r="F35" s="31"/>
      <c r="G35" s="31"/>
      <c r="H35" s="31"/>
      <c r="I35" s="32"/>
    </row>
    <row r="36" customFormat="false" ht="15" hidden="false" customHeight="false" outlineLevel="0" collapsed="false">
      <c r="A36" s="35" t="n">
        <f aca="false">'Daily Tracker'!A36</f>
        <v>46054</v>
      </c>
      <c r="B36" s="48" t="str">
        <f aca="false">IF('Daily Tracker'!F36="","",'Daily Tracker'!F36)</f>
        <v/>
      </c>
      <c r="C36" s="31"/>
      <c r="D36" s="31"/>
      <c r="E36" s="56" t="str">
        <f aca="false">IFERROR(IF(COUNT(B36,C36,D36,F36,G36,H36)=0,"",ROUND((IF(B36="",70,MIN(B36/SleepGoal,1)*100))*0.25+(IF(C36="",70,MIN(C36/HRVGoal,1)*100))*0.2+(IF(D36="",70,MAX(0,MIN(1,(RHRPoor-D36)/(RHRPoor-RHRExcellent)))*100))*0.2+(IF(F36="",70,(5-F36)/4*100))*0.15+(IF(G36="",70,(5-G36)/4*100))*0.1+(IF(H36="",70,(5-H36)/4*100))*0.1,0)),"")</f>
        <v/>
      </c>
      <c r="F36" s="31"/>
      <c r="G36" s="31"/>
      <c r="H36" s="31"/>
      <c r="I36" s="32"/>
    </row>
    <row r="37" customFormat="false" ht="15" hidden="false" customHeight="false" outlineLevel="0" collapsed="false">
      <c r="A37" s="26" t="n">
        <f aca="false">'Daily Tracker'!A37</f>
        <v>46055</v>
      </c>
      <c r="B37" s="47" t="str">
        <f aca="false">IF('Daily Tracker'!F37="","",'Daily Tracker'!F37)</f>
        <v/>
      </c>
      <c r="C37" s="31"/>
      <c r="D37" s="31"/>
      <c r="E37" s="56" t="str">
        <f aca="false">IFERROR(IF(COUNT(B37,C37,D37,F37,G37,H37)=0,"",ROUND((IF(B37="",70,MIN(B37/SleepGoal,1)*100))*0.25+(IF(C37="",70,MIN(C37/HRVGoal,1)*100))*0.2+(IF(D37="",70,MAX(0,MIN(1,(RHRPoor-D37)/(RHRPoor-RHRExcellent)))*100))*0.2+(IF(F37="",70,(5-F37)/4*100))*0.15+(IF(G37="",70,(5-G37)/4*100))*0.1+(IF(H37="",70,(5-H37)/4*100))*0.1,0)),"")</f>
        <v/>
      </c>
      <c r="F37" s="31"/>
      <c r="G37" s="31"/>
      <c r="H37" s="31"/>
      <c r="I37" s="32"/>
    </row>
    <row r="38" customFormat="false" ht="15" hidden="false" customHeight="false" outlineLevel="0" collapsed="false">
      <c r="A38" s="35" t="n">
        <f aca="false">'Daily Tracker'!A38</f>
        <v>46056</v>
      </c>
      <c r="B38" s="48" t="str">
        <f aca="false">IF('Daily Tracker'!F38="","",'Daily Tracker'!F38)</f>
        <v/>
      </c>
      <c r="C38" s="31"/>
      <c r="D38" s="31"/>
      <c r="E38" s="56" t="str">
        <f aca="false">IFERROR(IF(COUNT(B38,C38,D38,F38,G38,H38)=0,"",ROUND((IF(B38="",70,MIN(B38/SleepGoal,1)*100))*0.25+(IF(C38="",70,MIN(C38/HRVGoal,1)*100))*0.2+(IF(D38="",70,MAX(0,MIN(1,(RHRPoor-D38)/(RHRPoor-RHRExcellent)))*100))*0.2+(IF(F38="",70,(5-F38)/4*100))*0.15+(IF(G38="",70,(5-G38)/4*100))*0.1+(IF(H38="",70,(5-H38)/4*100))*0.1,0)),"")</f>
        <v/>
      </c>
      <c r="F38" s="31"/>
      <c r="G38" s="31"/>
      <c r="H38" s="31"/>
      <c r="I38" s="32"/>
    </row>
    <row r="39" customFormat="false" ht="15" hidden="false" customHeight="false" outlineLevel="0" collapsed="false">
      <c r="A39" s="26" t="n">
        <f aca="false">'Daily Tracker'!A39</f>
        <v>46057</v>
      </c>
      <c r="B39" s="47" t="str">
        <f aca="false">IF('Daily Tracker'!F39="","",'Daily Tracker'!F39)</f>
        <v/>
      </c>
      <c r="C39" s="31"/>
      <c r="D39" s="31"/>
      <c r="E39" s="56" t="str">
        <f aca="false">IFERROR(IF(COUNT(B39,C39,D39,F39,G39,H39)=0,"",ROUND((IF(B39="",70,MIN(B39/SleepGoal,1)*100))*0.25+(IF(C39="",70,MIN(C39/HRVGoal,1)*100))*0.2+(IF(D39="",70,MAX(0,MIN(1,(RHRPoor-D39)/(RHRPoor-RHRExcellent)))*100))*0.2+(IF(F39="",70,(5-F39)/4*100))*0.15+(IF(G39="",70,(5-G39)/4*100))*0.1+(IF(H39="",70,(5-H39)/4*100))*0.1,0)),"")</f>
        <v/>
      </c>
      <c r="F39" s="31"/>
      <c r="G39" s="31"/>
      <c r="H39" s="31"/>
      <c r="I39" s="32"/>
    </row>
    <row r="40" customFormat="false" ht="15" hidden="false" customHeight="false" outlineLevel="0" collapsed="false">
      <c r="A40" s="35" t="n">
        <f aca="false">'Daily Tracker'!A40</f>
        <v>46058</v>
      </c>
      <c r="B40" s="48" t="str">
        <f aca="false">IF('Daily Tracker'!F40="","",'Daily Tracker'!F40)</f>
        <v/>
      </c>
      <c r="C40" s="31"/>
      <c r="D40" s="31"/>
      <c r="E40" s="56" t="str">
        <f aca="false">IFERROR(IF(COUNT(B40,C40,D40,F40,G40,H40)=0,"",ROUND((IF(B40="",70,MIN(B40/SleepGoal,1)*100))*0.25+(IF(C40="",70,MIN(C40/HRVGoal,1)*100))*0.2+(IF(D40="",70,MAX(0,MIN(1,(RHRPoor-D40)/(RHRPoor-RHRExcellent)))*100))*0.2+(IF(F40="",70,(5-F40)/4*100))*0.15+(IF(G40="",70,(5-G40)/4*100))*0.1+(IF(H40="",70,(5-H40)/4*100))*0.1,0)),"")</f>
        <v/>
      </c>
      <c r="F40" s="31"/>
      <c r="G40" s="31"/>
      <c r="H40" s="31"/>
      <c r="I40" s="32"/>
    </row>
    <row r="41" customFormat="false" ht="15" hidden="false" customHeight="false" outlineLevel="0" collapsed="false">
      <c r="A41" s="26" t="n">
        <f aca="false">'Daily Tracker'!A41</f>
        <v>46059</v>
      </c>
      <c r="B41" s="47" t="str">
        <f aca="false">IF('Daily Tracker'!F41="","",'Daily Tracker'!F41)</f>
        <v/>
      </c>
      <c r="C41" s="31"/>
      <c r="D41" s="31"/>
      <c r="E41" s="56" t="str">
        <f aca="false">IFERROR(IF(COUNT(B41,C41,D41,F41,G41,H41)=0,"",ROUND((IF(B41="",70,MIN(B41/SleepGoal,1)*100))*0.25+(IF(C41="",70,MIN(C41/HRVGoal,1)*100))*0.2+(IF(D41="",70,MAX(0,MIN(1,(RHRPoor-D41)/(RHRPoor-RHRExcellent)))*100))*0.2+(IF(F41="",70,(5-F41)/4*100))*0.15+(IF(G41="",70,(5-G41)/4*100))*0.1+(IF(H41="",70,(5-H41)/4*100))*0.1,0)),"")</f>
        <v/>
      </c>
      <c r="F41" s="31"/>
      <c r="G41" s="31"/>
      <c r="H41" s="31"/>
      <c r="I41" s="32"/>
    </row>
    <row r="42" customFormat="false" ht="15" hidden="false" customHeight="false" outlineLevel="0" collapsed="false">
      <c r="A42" s="35" t="n">
        <f aca="false">'Daily Tracker'!A42</f>
        <v>46060</v>
      </c>
      <c r="B42" s="48" t="str">
        <f aca="false">IF('Daily Tracker'!F42="","",'Daily Tracker'!F42)</f>
        <v/>
      </c>
      <c r="C42" s="31"/>
      <c r="D42" s="31"/>
      <c r="E42" s="56" t="str">
        <f aca="false">IFERROR(IF(COUNT(B42,C42,D42,F42,G42,H42)=0,"",ROUND((IF(B42="",70,MIN(B42/SleepGoal,1)*100))*0.25+(IF(C42="",70,MIN(C42/HRVGoal,1)*100))*0.2+(IF(D42="",70,MAX(0,MIN(1,(RHRPoor-D42)/(RHRPoor-RHRExcellent)))*100))*0.2+(IF(F42="",70,(5-F42)/4*100))*0.15+(IF(G42="",70,(5-G42)/4*100))*0.1+(IF(H42="",70,(5-H42)/4*100))*0.1,0)),"")</f>
        <v/>
      </c>
      <c r="F42" s="31"/>
      <c r="G42" s="31"/>
      <c r="H42" s="31"/>
      <c r="I42" s="32"/>
    </row>
    <row r="43" customFormat="false" ht="15" hidden="false" customHeight="false" outlineLevel="0" collapsed="false">
      <c r="A43" s="26" t="n">
        <f aca="false">'Daily Tracker'!A43</f>
        <v>46061</v>
      </c>
      <c r="B43" s="47" t="str">
        <f aca="false">IF('Daily Tracker'!F43="","",'Daily Tracker'!F43)</f>
        <v/>
      </c>
      <c r="C43" s="31"/>
      <c r="D43" s="31"/>
      <c r="E43" s="56" t="str">
        <f aca="false">IFERROR(IF(COUNT(B43,C43,D43,F43,G43,H43)=0,"",ROUND((IF(B43="",70,MIN(B43/SleepGoal,1)*100))*0.25+(IF(C43="",70,MIN(C43/HRVGoal,1)*100))*0.2+(IF(D43="",70,MAX(0,MIN(1,(RHRPoor-D43)/(RHRPoor-RHRExcellent)))*100))*0.2+(IF(F43="",70,(5-F43)/4*100))*0.15+(IF(G43="",70,(5-G43)/4*100))*0.1+(IF(H43="",70,(5-H43)/4*100))*0.1,0)),"")</f>
        <v/>
      </c>
      <c r="F43" s="31"/>
      <c r="G43" s="31"/>
      <c r="H43" s="31"/>
      <c r="I43" s="32"/>
    </row>
    <row r="44" customFormat="false" ht="15" hidden="false" customHeight="false" outlineLevel="0" collapsed="false">
      <c r="A44" s="35" t="n">
        <f aca="false">'Daily Tracker'!A44</f>
        <v>46062</v>
      </c>
      <c r="B44" s="48" t="str">
        <f aca="false">IF('Daily Tracker'!F44="","",'Daily Tracker'!F44)</f>
        <v/>
      </c>
      <c r="C44" s="31"/>
      <c r="D44" s="31"/>
      <c r="E44" s="56" t="str">
        <f aca="false">IFERROR(IF(COUNT(B44,C44,D44,F44,G44,H44)=0,"",ROUND((IF(B44="",70,MIN(B44/SleepGoal,1)*100))*0.25+(IF(C44="",70,MIN(C44/HRVGoal,1)*100))*0.2+(IF(D44="",70,MAX(0,MIN(1,(RHRPoor-D44)/(RHRPoor-RHRExcellent)))*100))*0.2+(IF(F44="",70,(5-F44)/4*100))*0.15+(IF(G44="",70,(5-G44)/4*100))*0.1+(IF(H44="",70,(5-H44)/4*100))*0.1,0)),"")</f>
        <v/>
      </c>
      <c r="F44" s="31"/>
      <c r="G44" s="31"/>
      <c r="H44" s="31"/>
      <c r="I44" s="32"/>
    </row>
    <row r="45" customFormat="false" ht="15" hidden="false" customHeight="false" outlineLevel="0" collapsed="false">
      <c r="A45" s="26" t="n">
        <f aca="false">'Daily Tracker'!A45</f>
        <v>46063</v>
      </c>
      <c r="B45" s="47" t="str">
        <f aca="false">IF('Daily Tracker'!F45="","",'Daily Tracker'!F45)</f>
        <v/>
      </c>
      <c r="C45" s="31"/>
      <c r="D45" s="31"/>
      <c r="E45" s="56" t="str">
        <f aca="false">IFERROR(IF(COUNT(B45,C45,D45,F45,G45,H45)=0,"",ROUND((IF(B45="",70,MIN(B45/SleepGoal,1)*100))*0.25+(IF(C45="",70,MIN(C45/HRVGoal,1)*100))*0.2+(IF(D45="",70,MAX(0,MIN(1,(RHRPoor-D45)/(RHRPoor-RHRExcellent)))*100))*0.2+(IF(F45="",70,(5-F45)/4*100))*0.15+(IF(G45="",70,(5-G45)/4*100))*0.1+(IF(H45="",70,(5-H45)/4*100))*0.1,0)),"")</f>
        <v/>
      </c>
      <c r="F45" s="31"/>
      <c r="G45" s="31"/>
      <c r="H45" s="31"/>
      <c r="I45" s="32"/>
    </row>
    <row r="46" customFormat="false" ht="15" hidden="false" customHeight="false" outlineLevel="0" collapsed="false">
      <c r="A46" s="35" t="n">
        <f aca="false">'Daily Tracker'!A46</f>
        <v>46064</v>
      </c>
      <c r="B46" s="48" t="str">
        <f aca="false">IF('Daily Tracker'!F46="","",'Daily Tracker'!F46)</f>
        <v/>
      </c>
      <c r="C46" s="31"/>
      <c r="D46" s="31"/>
      <c r="E46" s="56" t="str">
        <f aca="false">IFERROR(IF(COUNT(B46,C46,D46,F46,G46,H46)=0,"",ROUND((IF(B46="",70,MIN(B46/SleepGoal,1)*100))*0.25+(IF(C46="",70,MIN(C46/HRVGoal,1)*100))*0.2+(IF(D46="",70,MAX(0,MIN(1,(RHRPoor-D46)/(RHRPoor-RHRExcellent)))*100))*0.2+(IF(F46="",70,(5-F46)/4*100))*0.15+(IF(G46="",70,(5-G46)/4*100))*0.1+(IF(H46="",70,(5-H46)/4*100))*0.1,0)),"")</f>
        <v/>
      </c>
      <c r="F46" s="31"/>
      <c r="G46" s="31"/>
      <c r="H46" s="31"/>
      <c r="I46" s="32"/>
    </row>
    <row r="47" customFormat="false" ht="15" hidden="false" customHeight="false" outlineLevel="0" collapsed="false">
      <c r="A47" s="26" t="n">
        <f aca="false">'Daily Tracker'!A47</f>
        <v>46065</v>
      </c>
      <c r="B47" s="47" t="str">
        <f aca="false">IF('Daily Tracker'!F47="","",'Daily Tracker'!F47)</f>
        <v/>
      </c>
      <c r="C47" s="31"/>
      <c r="D47" s="31"/>
      <c r="E47" s="56" t="str">
        <f aca="false">IFERROR(IF(COUNT(B47,C47,D47,F47,G47,H47)=0,"",ROUND((IF(B47="",70,MIN(B47/SleepGoal,1)*100))*0.25+(IF(C47="",70,MIN(C47/HRVGoal,1)*100))*0.2+(IF(D47="",70,MAX(0,MIN(1,(RHRPoor-D47)/(RHRPoor-RHRExcellent)))*100))*0.2+(IF(F47="",70,(5-F47)/4*100))*0.15+(IF(G47="",70,(5-G47)/4*100))*0.1+(IF(H47="",70,(5-H47)/4*100))*0.1,0)),"")</f>
        <v/>
      </c>
      <c r="F47" s="31"/>
      <c r="G47" s="31"/>
      <c r="H47" s="31"/>
      <c r="I47" s="32"/>
    </row>
    <row r="48" customFormat="false" ht="15" hidden="false" customHeight="false" outlineLevel="0" collapsed="false">
      <c r="A48" s="35" t="n">
        <f aca="false">'Daily Tracker'!A48</f>
        <v>46066</v>
      </c>
      <c r="B48" s="48" t="str">
        <f aca="false">IF('Daily Tracker'!F48="","",'Daily Tracker'!F48)</f>
        <v/>
      </c>
      <c r="C48" s="31"/>
      <c r="D48" s="31"/>
      <c r="E48" s="56" t="str">
        <f aca="false">IFERROR(IF(COUNT(B48,C48,D48,F48,G48,H48)=0,"",ROUND((IF(B48="",70,MIN(B48/SleepGoal,1)*100))*0.25+(IF(C48="",70,MIN(C48/HRVGoal,1)*100))*0.2+(IF(D48="",70,MAX(0,MIN(1,(RHRPoor-D48)/(RHRPoor-RHRExcellent)))*100))*0.2+(IF(F48="",70,(5-F48)/4*100))*0.15+(IF(G48="",70,(5-G48)/4*100))*0.1+(IF(H48="",70,(5-H48)/4*100))*0.1,0)),"")</f>
        <v/>
      </c>
      <c r="F48" s="31"/>
      <c r="G48" s="31"/>
      <c r="H48" s="31"/>
      <c r="I48" s="32"/>
    </row>
    <row r="49" customFormat="false" ht="15" hidden="false" customHeight="false" outlineLevel="0" collapsed="false">
      <c r="A49" s="26" t="n">
        <f aca="false">'Daily Tracker'!A49</f>
        <v>46067</v>
      </c>
      <c r="B49" s="47" t="str">
        <f aca="false">IF('Daily Tracker'!F49="","",'Daily Tracker'!F49)</f>
        <v/>
      </c>
      <c r="C49" s="31"/>
      <c r="D49" s="31"/>
      <c r="E49" s="56" t="str">
        <f aca="false">IFERROR(IF(COUNT(B49,C49,D49,F49,G49,H49)=0,"",ROUND((IF(B49="",70,MIN(B49/SleepGoal,1)*100))*0.25+(IF(C49="",70,MIN(C49/HRVGoal,1)*100))*0.2+(IF(D49="",70,MAX(0,MIN(1,(RHRPoor-D49)/(RHRPoor-RHRExcellent)))*100))*0.2+(IF(F49="",70,(5-F49)/4*100))*0.15+(IF(G49="",70,(5-G49)/4*100))*0.1+(IF(H49="",70,(5-H49)/4*100))*0.1,0)),"")</f>
        <v/>
      </c>
      <c r="F49" s="31"/>
      <c r="G49" s="31"/>
      <c r="H49" s="31"/>
      <c r="I49" s="32"/>
    </row>
    <row r="50" customFormat="false" ht="15" hidden="false" customHeight="false" outlineLevel="0" collapsed="false">
      <c r="A50" s="35" t="n">
        <f aca="false">'Daily Tracker'!A50</f>
        <v>46068</v>
      </c>
      <c r="B50" s="48" t="str">
        <f aca="false">IF('Daily Tracker'!F50="","",'Daily Tracker'!F50)</f>
        <v/>
      </c>
      <c r="C50" s="31"/>
      <c r="D50" s="31"/>
      <c r="E50" s="56" t="str">
        <f aca="false">IFERROR(IF(COUNT(B50,C50,D50,F50,G50,H50)=0,"",ROUND((IF(B50="",70,MIN(B50/SleepGoal,1)*100))*0.25+(IF(C50="",70,MIN(C50/HRVGoal,1)*100))*0.2+(IF(D50="",70,MAX(0,MIN(1,(RHRPoor-D50)/(RHRPoor-RHRExcellent)))*100))*0.2+(IF(F50="",70,(5-F50)/4*100))*0.15+(IF(G50="",70,(5-G50)/4*100))*0.1+(IF(H50="",70,(5-H50)/4*100))*0.1,0)),"")</f>
        <v/>
      </c>
      <c r="F50" s="31"/>
      <c r="G50" s="31"/>
      <c r="H50" s="31"/>
      <c r="I50" s="32"/>
    </row>
    <row r="51" customFormat="false" ht="15" hidden="false" customHeight="false" outlineLevel="0" collapsed="false">
      <c r="A51" s="26" t="n">
        <f aca="false">'Daily Tracker'!A51</f>
        <v>46069</v>
      </c>
      <c r="B51" s="47" t="str">
        <f aca="false">IF('Daily Tracker'!F51="","",'Daily Tracker'!F51)</f>
        <v/>
      </c>
      <c r="C51" s="31"/>
      <c r="D51" s="31"/>
      <c r="E51" s="56" t="str">
        <f aca="false">IFERROR(IF(COUNT(B51,C51,D51,F51,G51,H51)=0,"",ROUND((IF(B51="",70,MIN(B51/SleepGoal,1)*100))*0.25+(IF(C51="",70,MIN(C51/HRVGoal,1)*100))*0.2+(IF(D51="",70,MAX(0,MIN(1,(RHRPoor-D51)/(RHRPoor-RHRExcellent)))*100))*0.2+(IF(F51="",70,(5-F51)/4*100))*0.15+(IF(G51="",70,(5-G51)/4*100))*0.1+(IF(H51="",70,(5-H51)/4*100))*0.1,0)),"")</f>
        <v/>
      </c>
      <c r="F51" s="31"/>
      <c r="G51" s="31"/>
      <c r="H51" s="31"/>
      <c r="I51" s="32"/>
    </row>
    <row r="52" customFormat="false" ht="15" hidden="false" customHeight="false" outlineLevel="0" collapsed="false">
      <c r="A52" s="35" t="n">
        <f aca="false">'Daily Tracker'!A52</f>
        <v>46070</v>
      </c>
      <c r="B52" s="48" t="str">
        <f aca="false">IF('Daily Tracker'!F52="","",'Daily Tracker'!F52)</f>
        <v/>
      </c>
      <c r="C52" s="31"/>
      <c r="D52" s="31"/>
      <c r="E52" s="56" t="str">
        <f aca="false">IFERROR(IF(COUNT(B52,C52,D52,F52,G52,H52)=0,"",ROUND((IF(B52="",70,MIN(B52/SleepGoal,1)*100))*0.25+(IF(C52="",70,MIN(C52/HRVGoal,1)*100))*0.2+(IF(D52="",70,MAX(0,MIN(1,(RHRPoor-D52)/(RHRPoor-RHRExcellent)))*100))*0.2+(IF(F52="",70,(5-F52)/4*100))*0.15+(IF(G52="",70,(5-G52)/4*100))*0.1+(IF(H52="",70,(5-H52)/4*100))*0.1,0)),"")</f>
        <v/>
      </c>
      <c r="F52" s="31"/>
      <c r="G52" s="31"/>
      <c r="H52" s="31"/>
      <c r="I52" s="32"/>
    </row>
    <row r="53" customFormat="false" ht="15" hidden="false" customHeight="false" outlineLevel="0" collapsed="false">
      <c r="A53" s="26" t="n">
        <f aca="false">'Daily Tracker'!A53</f>
        <v>46071</v>
      </c>
      <c r="B53" s="47" t="str">
        <f aca="false">IF('Daily Tracker'!F53="","",'Daily Tracker'!F53)</f>
        <v/>
      </c>
      <c r="C53" s="31"/>
      <c r="D53" s="31"/>
      <c r="E53" s="56" t="str">
        <f aca="false">IFERROR(IF(COUNT(B53,C53,D53,F53,G53,H53)=0,"",ROUND((IF(B53="",70,MIN(B53/SleepGoal,1)*100))*0.25+(IF(C53="",70,MIN(C53/HRVGoal,1)*100))*0.2+(IF(D53="",70,MAX(0,MIN(1,(RHRPoor-D53)/(RHRPoor-RHRExcellent)))*100))*0.2+(IF(F53="",70,(5-F53)/4*100))*0.15+(IF(G53="",70,(5-G53)/4*100))*0.1+(IF(H53="",70,(5-H53)/4*100))*0.1,0)),"")</f>
        <v/>
      </c>
      <c r="F53" s="31"/>
      <c r="G53" s="31"/>
      <c r="H53" s="31"/>
      <c r="I53" s="32"/>
    </row>
    <row r="54" customFormat="false" ht="15" hidden="false" customHeight="false" outlineLevel="0" collapsed="false">
      <c r="A54" s="35" t="n">
        <f aca="false">'Daily Tracker'!A54</f>
        <v>46072</v>
      </c>
      <c r="B54" s="48" t="str">
        <f aca="false">IF('Daily Tracker'!F54="","",'Daily Tracker'!F54)</f>
        <v/>
      </c>
      <c r="C54" s="31"/>
      <c r="D54" s="31"/>
      <c r="E54" s="56" t="str">
        <f aca="false">IFERROR(IF(COUNT(B54,C54,D54,F54,G54,H54)=0,"",ROUND((IF(B54="",70,MIN(B54/SleepGoal,1)*100))*0.25+(IF(C54="",70,MIN(C54/HRVGoal,1)*100))*0.2+(IF(D54="",70,MAX(0,MIN(1,(RHRPoor-D54)/(RHRPoor-RHRExcellent)))*100))*0.2+(IF(F54="",70,(5-F54)/4*100))*0.15+(IF(G54="",70,(5-G54)/4*100))*0.1+(IF(H54="",70,(5-H54)/4*100))*0.1,0)),"")</f>
        <v/>
      </c>
      <c r="F54" s="31"/>
      <c r="G54" s="31"/>
      <c r="H54" s="31"/>
      <c r="I54" s="32"/>
    </row>
    <row r="55" customFormat="false" ht="15" hidden="false" customHeight="false" outlineLevel="0" collapsed="false">
      <c r="A55" s="26" t="n">
        <f aca="false">'Daily Tracker'!A55</f>
        <v>46073</v>
      </c>
      <c r="B55" s="47" t="str">
        <f aca="false">IF('Daily Tracker'!F55="","",'Daily Tracker'!F55)</f>
        <v/>
      </c>
      <c r="C55" s="31"/>
      <c r="D55" s="31"/>
      <c r="E55" s="56" t="str">
        <f aca="false">IFERROR(IF(COUNT(B55,C55,D55,F55,G55,H55)=0,"",ROUND((IF(B55="",70,MIN(B55/SleepGoal,1)*100))*0.25+(IF(C55="",70,MIN(C55/HRVGoal,1)*100))*0.2+(IF(D55="",70,MAX(0,MIN(1,(RHRPoor-D55)/(RHRPoor-RHRExcellent)))*100))*0.2+(IF(F55="",70,(5-F55)/4*100))*0.15+(IF(G55="",70,(5-G55)/4*100))*0.1+(IF(H55="",70,(5-H55)/4*100))*0.1,0)),"")</f>
        <v/>
      </c>
      <c r="F55" s="31"/>
      <c r="G55" s="31"/>
      <c r="H55" s="31"/>
      <c r="I55" s="32"/>
    </row>
    <row r="56" customFormat="false" ht="15" hidden="false" customHeight="false" outlineLevel="0" collapsed="false">
      <c r="A56" s="35" t="n">
        <f aca="false">'Daily Tracker'!A56</f>
        <v>46074</v>
      </c>
      <c r="B56" s="48" t="str">
        <f aca="false">IF('Daily Tracker'!F56="","",'Daily Tracker'!F56)</f>
        <v/>
      </c>
      <c r="C56" s="31"/>
      <c r="D56" s="31"/>
      <c r="E56" s="56" t="str">
        <f aca="false">IFERROR(IF(COUNT(B56,C56,D56,F56,G56,H56)=0,"",ROUND((IF(B56="",70,MIN(B56/SleepGoal,1)*100))*0.25+(IF(C56="",70,MIN(C56/HRVGoal,1)*100))*0.2+(IF(D56="",70,MAX(0,MIN(1,(RHRPoor-D56)/(RHRPoor-RHRExcellent)))*100))*0.2+(IF(F56="",70,(5-F56)/4*100))*0.15+(IF(G56="",70,(5-G56)/4*100))*0.1+(IF(H56="",70,(5-H56)/4*100))*0.1,0)),"")</f>
        <v/>
      </c>
      <c r="F56" s="31"/>
      <c r="G56" s="31"/>
      <c r="H56" s="31"/>
      <c r="I56" s="32"/>
    </row>
    <row r="57" customFormat="false" ht="15" hidden="false" customHeight="false" outlineLevel="0" collapsed="false">
      <c r="A57" s="26" t="n">
        <f aca="false">'Daily Tracker'!A57</f>
        <v>46075</v>
      </c>
      <c r="B57" s="47" t="str">
        <f aca="false">IF('Daily Tracker'!F57="","",'Daily Tracker'!F57)</f>
        <v/>
      </c>
      <c r="C57" s="31"/>
      <c r="D57" s="31"/>
      <c r="E57" s="56" t="str">
        <f aca="false">IFERROR(IF(COUNT(B57,C57,D57,F57,G57,H57)=0,"",ROUND((IF(B57="",70,MIN(B57/SleepGoal,1)*100))*0.25+(IF(C57="",70,MIN(C57/HRVGoal,1)*100))*0.2+(IF(D57="",70,MAX(0,MIN(1,(RHRPoor-D57)/(RHRPoor-RHRExcellent)))*100))*0.2+(IF(F57="",70,(5-F57)/4*100))*0.15+(IF(G57="",70,(5-G57)/4*100))*0.1+(IF(H57="",70,(5-H57)/4*100))*0.1,0)),"")</f>
        <v/>
      </c>
      <c r="F57" s="31"/>
      <c r="G57" s="31"/>
      <c r="H57" s="31"/>
      <c r="I57" s="32"/>
    </row>
    <row r="58" customFormat="false" ht="15" hidden="false" customHeight="false" outlineLevel="0" collapsed="false">
      <c r="A58" s="35" t="n">
        <f aca="false">'Daily Tracker'!A58</f>
        <v>46076</v>
      </c>
      <c r="B58" s="48" t="str">
        <f aca="false">IF('Daily Tracker'!F58="","",'Daily Tracker'!F58)</f>
        <v/>
      </c>
      <c r="C58" s="31"/>
      <c r="D58" s="31"/>
      <c r="E58" s="56" t="str">
        <f aca="false">IFERROR(IF(COUNT(B58,C58,D58,F58,G58,H58)=0,"",ROUND((IF(B58="",70,MIN(B58/SleepGoal,1)*100))*0.25+(IF(C58="",70,MIN(C58/HRVGoal,1)*100))*0.2+(IF(D58="",70,MAX(0,MIN(1,(RHRPoor-D58)/(RHRPoor-RHRExcellent)))*100))*0.2+(IF(F58="",70,(5-F58)/4*100))*0.15+(IF(G58="",70,(5-G58)/4*100))*0.1+(IF(H58="",70,(5-H58)/4*100))*0.1,0)),"")</f>
        <v/>
      </c>
      <c r="F58" s="31"/>
      <c r="G58" s="31"/>
      <c r="H58" s="31"/>
      <c r="I58" s="32"/>
    </row>
    <row r="59" customFormat="false" ht="15" hidden="false" customHeight="false" outlineLevel="0" collapsed="false">
      <c r="A59" s="26" t="n">
        <f aca="false">'Daily Tracker'!A59</f>
        <v>46077</v>
      </c>
      <c r="B59" s="47" t="str">
        <f aca="false">IF('Daily Tracker'!F59="","",'Daily Tracker'!F59)</f>
        <v/>
      </c>
      <c r="C59" s="31"/>
      <c r="D59" s="31"/>
      <c r="E59" s="56" t="str">
        <f aca="false">IFERROR(IF(COUNT(B59,C59,D59,F59,G59,H59)=0,"",ROUND((IF(B59="",70,MIN(B59/SleepGoal,1)*100))*0.25+(IF(C59="",70,MIN(C59/HRVGoal,1)*100))*0.2+(IF(D59="",70,MAX(0,MIN(1,(RHRPoor-D59)/(RHRPoor-RHRExcellent)))*100))*0.2+(IF(F59="",70,(5-F59)/4*100))*0.15+(IF(G59="",70,(5-G59)/4*100))*0.1+(IF(H59="",70,(5-H59)/4*100))*0.1,0)),"")</f>
        <v/>
      </c>
      <c r="F59" s="31"/>
      <c r="G59" s="31"/>
      <c r="H59" s="31"/>
      <c r="I59" s="32"/>
    </row>
    <row r="60" customFormat="false" ht="15" hidden="false" customHeight="false" outlineLevel="0" collapsed="false">
      <c r="A60" s="35" t="n">
        <f aca="false">'Daily Tracker'!A60</f>
        <v>46078</v>
      </c>
      <c r="B60" s="48" t="str">
        <f aca="false">IF('Daily Tracker'!F60="","",'Daily Tracker'!F60)</f>
        <v/>
      </c>
      <c r="C60" s="31"/>
      <c r="D60" s="31"/>
      <c r="E60" s="56" t="str">
        <f aca="false">IFERROR(IF(COUNT(B60,C60,D60,F60,G60,H60)=0,"",ROUND((IF(B60="",70,MIN(B60/SleepGoal,1)*100))*0.25+(IF(C60="",70,MIN(C60/HRVGoal,1)*100))*0.2+(IF(D60="",70,MAX(0,MIN(1,(RHRPoor-D60)/(RHRPoor-RHRExcellent)))*100))*0.2+(IF(F60="",70,(5-F60)/4*100))*0.15+(IF(G60="",70,(5-G60)/4*100))*0.1+(IF(H60="",70,(5-H60)/4*100))*0.1,0)),"")</f>
        <v/>
      </c>
      <c r="F60" s="31"/>
      <c r="G60" s="31"/>
      <c r="H60" s="31"/>
      <c r="I60" s="32"/>
    </row>
    <row r="61" customFormat="false" ht="15" hidden="false" customHeight="false" outlineLevel="0" collapsed="false">
      <c r="A61" s="26" t="n">
        <f aca="false">'Daily Tracker'!A61</f>
        <v>46079</v>
      </c>
      <c r="B61" s="47" t="str">
        <f aca="false">IF('Daily Tracker'!F61="","",'Daily Tracker'!F61)</f>
        <v/>
      </c>
      <c r="C61" s="31"/>
      <c r="D61" s="31"/>
      <c r="E61" s="56" t="str">
        <f aca="false">IFERROR(IF(COUNT(B61,C61,D61,F61,G61,H61)=0,"",ROUND((IF(B61="",70,MIN(B61/SleepGoal,1)*100))*0.25+(IF(C61="",70,MIN(C61/HRVGoal,1)*100))*0.2+(IF(D61="",70,MAX(0,MIN(1,(RHRPoor-D61)/(RHRPoor-RHRExcellent)))*100))*0.2+(IF(F61="",70,(5-F61)/4*100))*0.15+(IF(G61="",70,(5-G61)/4*100))*0.1+(IF(H61="",70,(5-H61)/4*100))*0.1,0)),"")</f>
        <v/>
      </c>
      <c r="F61" s="31"/>
      <c r="G61" s="31"/>
      <c r="H61" s="31"/>
      <c r="I61" s="32"/>
    </row>
    <row r="62" customFormat="false" ht="15" hidden="false" customHeight="false" outlineLevel="0" collapsed="false">
      <c r="A62" s="35" t="n">
        <f aca="false">'Daily Tracker'!A62</f>
        <v>46080</v>
      </c>
      <c r="B62" s="48" t="str">
        <f aca="false">IF('Daily Tracker'!F62="","",'Daily Tracker'!F62)</f>
        <v/>
      </c>
      <c r="C62" s="31"/>
      <c r="D62" s="31"/>
      <c r="E62" s="56" t="str">
        <f aca="false">IFERROR(IF(COUNT(B62,C62,D62,F62,G62,H62)=0,"",ROUND((IF(B62="",70,MIN(B62/SleepGoal,1)*100))*0.25+(IF(C62="",70,MIN(C62/HRVGoal,1)*100))*0.2+(IF(D62="",70,MAX(0,MIN(1,(RHRPoor-D62)/(RHRPoor-RHRExcellent)))*100))*0.2+(IF(F62="",70,(5-F62)/4*100))*0.15+(IF(G62="",70,(5-G62)/4*100))*0.1+(IF(H62="",70,(5-H62)/4*100))*0.1,0)),"")</f>
        <v/>
      </c>
      <c r="F62" s="31"/>
      <c r="G62" s="31"/>
      <c r="H62" s="31"/>
      <c r="I62" s="32"/>
    </row>
    <row r="63" customFormat="false" ht="15" hidden="false" customHeight="false" outlineLevel="0" collapsed="false">
      <c r="A63" s="26" t="n">
        <f aca="false">'Daily Tracker'!A63</f>
        <v>46081</v>
      </c>
      <c r="B63" s="47" t="str">
        <f aca="false">IF('Daily Tracker'!F63="","",'Daily Tracker'!F63)</f>
        <v/>
      </c>
      <c r="C63" s="31"/>
      <c r="D63" s="31"/>
      <c r="E63" s="56" t="str">
        <f aca="false">IFERROR(IF(COUNT(B63,C63,D63,F63,G63,H63)=0,"",ROUND((IF(B63="",70,MIN(B63/SleepGoal,1)*100))*0.25+(IF(C63="",70,MIN(C63/HRVGoal,1)*100))*0.2+(IF(D63="",70,MAX(0,MIN(1,(RHRPoor-D63)/(RHRPoor-RHRExcellent)))*100))*0.2+(IF(F63="",70,(5-F63)/4*100))*0.15+(IF(G63="",70,(5-G63)/4*100))*0.1+(IF(H63="",70,(5-H63)/4*100))*0.1,0)),"")</f>
        <v/>
      </c>
      <c r="F63" s="31"/>
      <c r="G63" s="31"/>
      <c r="H63" s="31"/>
      <c r="I63" s="32"/>
    </row>
    <row r="64" customFormat="false" ht="15" hidden="false" customHeight="false" outlineLevel="0" collapsed="false">
      <c r="A64" s="35" t="n">
        <f aca="false">'Daily Tracker'!A64</f>
        <v>46082</v>
      </c>
      <c r="B64" s="48" t="str">
        <f aca="false">IF('Daily Tracker'!F64="","",'Daily Tracker'!F64)</f>
        <v/>
      </c>
      <c r="C64" s="31"/>
      <c r="D64" s="31"/>
      <c r="E64" s="56" t="str">
        <f aca="false">IFERROR(IF(COUNT(B64,C64,D64,F64,G64,H64)=0,"",ROUND((IF(B64="",70,MIN(B64/SleepGoal,1)*100))*0.25+(IF(C64="",70,MIN(C64/HRVGoal,1)*100))*0.2+(IF(D64="",70,MAX(0,MIN(1,(RHRPoor-D64)/(RHRPoor-RHRExcellent)))*100))*0.2+(IF(F64="",70,(5-F64)/4*100))*0.15+(IF(G64="",70,(5-G64)/4*100))*0.1+(IF(H64="",70,(5-H64)/4*100))*0.1,0)),"")</f>
        <v/>
      </c>
      <c r="F64" s="31"/>
      <c r="G64" s="31"/>
      <c r="H64" s="31"/>
      <c r="I64" s="32"/>
    </row>
    <row r="65" customFormat="false" ht="15" hidden="false" customHeight="false" outlineLevel="0" collapsed="false">
      <c r="A65" s="26" t="n">
        <f aca="false">'Daily Tracker'!A65</f>
        <v>46083</v>
      </c>
      <c r="B65" s="47" t="str">
        <f aca="false">IF('Daily Tracker'!F65="","",'Daily Tracker'!F65)</f>
        <v/>
      </c>
      <c r="C65" s="31"/>
      <c r="D65" s="31"/>
      <c r="E65" s="56" t="str">
        <f aca="false">IFERROR(IF(COUNT(B65,C65,D65,F65,G65,H65)=0,"",ROUND((IF(B65="",70,MIN(B65/SleepGoal,1)*100))*0.25+(IF(C65="",70,MIN(C65/HRVGoal,1)*100))*0.2+(IF(D65="",70,MAX(0,MIN(1,(RHRPoor-D65)/(RHRPoor-RHRExcellent)))*100))*0.2+(IF(F65="",70,(5-F65)/4*100))*0.15+(IF(G65="",70,(5-G65)/4*100))*0.1+(IF(H65="",70,(5-H65)/4*100))*0.1,0)),"")</f>
        <v/>
      </c>
      <c r="F65" s="31"/>
      <c r="G65" s="31"/>
      <c r="H65" s="31"/>
      <c r="I65" s="32"/>
    </row>
    <row r="66" customFormat="false" ht="15" hidden="false" customHeight="false" outlineLevel="0" collapsed="false">
      <c r="A66" s="35" t="n">
        <f aca="false">'Daily Tracker'!A66</f>
        <v>46084</v>
      </c>
      <c r="B66" s="48" t="str">
        <f aca="false">IF('Daily Tracker'!F66="","",'Daily Tracker'!F66)</f>
        <v/>
      </c>
      <c r="C66" s="31"/>
      <c r="D66" s="31"/>
      <c r="E66" s="56" t="str">
        <f aca="false">IFERROR(IF(COUNT(B66,C66,D66,F66,G66,H66)=0,"",ROUND((IF(B66="",70,MIN(B66/SleepGoal,1)*100))*0.25+(IF(C66="",70,MIN(C66/HRVGoal,1)*100))*0.2+(IF(D66="",70,MAX(0,MIN(1,(RHRPoor-D66)/(RHRPoor-RHRExcellent)))*100))*0.2+(IF(F66="",70,(5-F66)/4*100))*0.15+(IF(G66="",70,(5-G66)/4*100))*0.1+(IF(H66="",70,(5-H66)/4*100))*0.1,0)),"")</f>
        <v/>
      </c>
      <c r="F66" s="31"/>
      <c r="G66" s="31"/>
      <c r="H66" s="31"/>
      <c r="I66" s="32"/>
    </row>
    <row r="67" customFormat="false" ht="15" hidden="false" customHeight="false" outlineLevel="0" collapsed="false">
      <c r="A67" s="26" t="n">
        <f aca="false">'Daily Tracker'!A67</f>
        <v>46085</v>
      </c>
      <c r="B67" s="47" t="str">
        <f aca="false">IF('Daily Tracker'!F67="","",'Daily Tracker'!F67)</f>
        <v/>
      </c>
      <c r="C67" s="31"/>
      <c r="D67" s="31"/>
      <c r="E67" s="56" t="str">
        <f aca="false">IFERROR(IF(COUNT(B67,C67,D67,F67,G67,H67)=0,"",ROUND((IF(B67="",70,MIN(B67/SleepGoal,1)*100))*0.25+(IF(C67="",70,MIN(C67/HRVGoal,1)*100))*0.2+(IF(D67="",70,MAX(0,MIN(1,(RHRPoor-D67)/(RHRPoor-RHRExcellent)))*100))*0.2+(IF(F67="",70,(5-F67)/4*100))*0.15+(IF(G67="",70,(5-G67)/4*100))*0.1+(IF(H67="",70,(5-H67)/4*100))*0.1,0)),"")</f>
        <v/>
      </c>
      <c r="F67" s="31"/>
      <c r="G67" s="31"/>
      <c r="H67" s="31"/>
      <c r="I67" s="32"/>
    </row>
    <row r="68" customFormat="false" ht="15" hidden="false" customHeight="false" outlineLevel="0" collapsed="false">
      <c r="A68" s="35" t="n">
        <f aca="false">'Daily Tracker'!A68</f>
        <v>46086</v>
      </c>
      <c r="B68" s="48" t="str">
        <f aca="false">IF('Daily Tracker'!F68="","",'Daily Tracker'!F68)</f>
        <v/>
      </c>
      <c r="C68" s="31"/>
      <c r="D68" s="31"/>
      <c r="E68" s="56" t="str">
        <f aca="false">IFERROR(IF(COUNT(B68,C68,D68,F68,G68,H68)=0,"",ROUND((IF(B68="",70,MIN(B68/SleepGoal,1)*100))*0.25+(IF(C68="",70,MIN(C68/HRVGoal,1)*100))*0.2+(IF(D68="",70,MAX(0,MIN(1,(RHRPoor-D68)/(RHRPoor-RHRExcellent)))*100))*0.2+(IF(F68="",70,(5-F68)/4*100))*0.15+(IF(G68="",70,(5-G68)/4*100))*0.1+(IF(H68="",70,(5-H68)/4*100))*0.1,0)),"")</f>
        <v/>
      </c>
      <c r="F68" s="31"/>
      <c r="G68" s="31"/>
      <c r="H68" s="31"/>
      <c r="I68" s="32"/>
    </row>
    <row r="69" customFormat="false" ht="15" hidden="false" customHeight="false" outlineLevel="0" collapsed="false">
      <c r="A69" s="26" t="n">
        <f aca="false">'Daily Tracker'!A69</f>
        <v>46087</v>
      </c>
      <c r="B69" s="47" t="str">
        <f aca="false">IF('Daily Tracker'!F69="","",'Daily Tracker'!F69)</f>
        <v/>
      </c>
      <c r="C69" s="31"/>
      <c r="D69" s="31"/>
      <c r="E69" s="56" t="str">
        <f aca="false">IFERROR(IF(COUNT(B69,C69,D69,F69,G69,H69)=0,"",ROUND((IF(B69="",70,MIN(B69/SleepGoal,1)*100))*0.25+(IF(C69="",70,MIN(C69/HRVGoal,1)*100))*0.2+(IF(D69="",70,MAX(0,MIN(1,(RHRPoor-D69)/(RHRPoor-RHRExcellent)))*100))*0.2+(IF(F69="",70,(5-F69)/4*100))*0.15+(IF(G69="",70,(5-G69)/4*100))*0.1+(IF(H69="",70,(5-H69)/4*100))*0.1,0)),"")</f>
        <v/>
      </c>
      <c r="F69" s="31"/>
      <c r="G69" s="31"/>
      <c r="H69" s="31"/>
      <c r="I69" s="32"/>
    </row>
    <row r="70" customFormat="false" ht="15" hidden="false" customHeight="false" outlineLevel="0" collapsed="false">
      <c r="A70" s="35" t="n">
        <f aca="false">'Daily Tracker'!A70</f>
        <v>46088</v>
      </c>
      <c r="B70" s="48" t="str">
        <f aca="false">IF('Daily Tracker'!F70="","",'Daily Tracker'!F70)</f>
        <v/>
      </c>
      <c r="C70" s="31"/>
      <c r="D70" s="31"/>
      <c r="E70" s="56" t="str">
        <f aca="false">IFERROR(IF(COUNT(B70,C70,D70,F70,G70,H70)=0,"",ROUND((IF(B70="",70,MIN(B70/SleepGoal,1)*100))*0.25+(IF(C70="",70,MIN(C70/HRVGoal,1)*100))*0.2+(IF(D70="",70,MAX(0,MIN(1,(RHRPoor-D70)/(RHRPoor-RHRExcellent)))*100))*0.2+(IF(F70="",70,(5-F70)/4*100))*0.15+(IF(G70="",70,(5-G70)/4*100))*0.1+(IF(H70="",70,(5-H70)/4*100))*0.1,0)),"")</f>
        <v/>
      </c>
      <c r="F70" s="31"/>
      <c r="G70" s="31"/>
      <c r="H70" s="31"/>
      <c r="I70" s="32"/>
    </row>
    <row r="71" customFormat="false" ht="15" hidden="false" customHeight="false" outlineLevel="0" collapsed="false">
      <c r="A71" s="26" t="n">
        <f aca="false">'Daily Tracker'!A71</f>
        <v>46089</v>
      </c>
      <c r="B71" s="47" t="str">
        <f aca="false">IF('Daily Tracker'!F71="","",'Daily Tracker'!F71)</f>
        <v/>
      </c>
      <c r="C71" s="31"/>
      <c r="D71" s="31"/>
      <c r="E71" s="56" t="str">
        <f aca="false">IFERROR(IF(COUNT(B71,C71,D71,F71,G71,H71)=0,"",ROUND((IF(B71="",70,MIN(B71/SleepGoal,1)*100))*0.25+(IF(C71="",70,MIN(C71/HRVGoal,1)*100))*0.2+(IF(D71="",70,MAX(0,MIN(1,(RHRPoor-D71)/(RHRPoor-RHRExcellent)))*100))*0.2+(IF(F71="",70,(5-F71)/4*100))*0.15+(IF(G71="",70,(5-G71)/4*100))*0.1+(IF(H71="",70,(5-H71)/4*100))*0.1,0)),"")</f>
        <v/>
      </c>
      <c r="F71" s="31"/>
      <c r="G71" s="31"/>
      <c r="H71" s="31"/>
      <c r="I71" s="32"/>
    </row>
    <row r="72" customFormat="false" ht="15" hidden="false" customHeight="false" outlineLevel="0" collapsed="false">
      <c r="A72" s="35" t="n">
        <f aca="false">'Daily Tracker'!A72</f>
        <v>46090</v>
      </c>
      <c r="B72" s="48" t="str">
        <f aca="false">IF('Daily Tracker'!F72="","",'Daily Tracker'!F72)</f>
        <v/>
      </c>
      <c r="C72" s="31"/>
      <c r="D72" s="31"/>
      <c r="E72" s="56" t="str">
        <f aca="false">IFERROR(IF(COUNT(B72,C72,D72,F72,G72,H72)=0,"",ROUND((IF(B72="",70,MIN(B72/SleepGoal,1)*100))*0.25+(IF(C72="",70,MIN(C72/HRVGoal,1)*100))*0.2+(IF(D72="",70,MAX(0,MIN(1,(RHRPoor-D72)/(RHRPoor-RHRExcellent)))*100))*0.2+(IF(F72="",70,(5-F72)/4*100))*0.15+(IF(G72="",70,(5-G72)/4*100))*0.1+(IF(H72="",70,(5-H72)/4*100))*0.1,0)),"")</f>
        <v/>
      </c>
      <c r="F72" s="31"/>
      <c r="G72" s="31"/>
      <c r="H72" s="31"/>
      <c r="I72" s="32"/>
    </row>
    <row r="73" customFormat="false" ht="15" hidden="false" customHeight="false" outlineLevel="0" collapsed="false">
      <c r="A73" s="26" t="n">
        <f aca="false">'Daily Tracker'!A73</f>
        <v>46091</v>
      </c>
      <c r="B73" s="47" t="str">
        <f aca="false">IF('Daily Tracker'!F73="","",'Daily Tracker'!F73)</f>
        <v/>
      </c>
      <c r="C73" s="31"/>
      <c r="D73" s="31"/>
      <c r="E73" s="56" t="str">
        <f aca="false">IFERROR(IF(COUNT(B73,C73,D73,F73,G73,H73)=0,"",ROUND((IF(B73="",70,MIN(B73/SleepGoal,1)*100))*0.25+(IF(C73="",70,MIN(C73/HRVGoal,1)*100))*0.2+(IF(D73="",70,MAX(0,MIN(1,(RHRPoor-D73)/(RHRPoor-RHRExcellent)))*100))*0.2+(IF(F73="",70,(5-F73)/4*100))*0.15+(IF(G73="",70,(5-G73)/4*100))*0.1+(IF(H73="",70,(5-H73)/4*100))*0.1,0)),"")</f>
        <v/>
      </c>
      <c r="F73" s="31"/>
      <c r="G73" s="31"/>
      <c r="H73" s="31"/>
      <c r="I73" s="32"/>
    </row>
    <row r="74" customFormat="false" ht="15" hidden="false" customHeight="false" outlineLevel="0" collapsed="false">
      <c r="A74" s="35" t="n">
        <f aca="false">'Daily Tracker'!A74</f>
        <v>46092</v>
      </c>
      <c r="B74" s="48" t="str">
        <f aca="false">IF('Daily Tracker'!F74="","",'Daily Tracker'!F74)</f>
        <v/>
      </c>
      <c r="C74" s="31"/>
      <c r="D74" s="31"/>
      <c r="E74" s="56" t="str">
        <f aca="false">IFERROR(IF(COUNT(B74,C74,D74,F74,G74,H74)=0,"",ROUND((IF(B74="",70,MIN(B74/SleepGoal,1)*100))*0.25+(IF(C74="",70,MIN(C74/HRVGoal,1)*100))*0.2+(IF(D74="",70,MAX(0,MIN(1,(RHRPoor-D74)/(RHRPoor-RHRExcellent)))*100))*0.2+(IF(F74="",70,(5-F74)/4*100))*0.15+(IF(G74="",70,(5-G74)/4*100))*0.1+(IF(H74="",70,(5-H74)/4*100))*0.1,0)),"")</f>
        <v/>
      </c>
      <c r="F74" s="31"/>
      <c r="G74" s="31"/>
      <c r="H74" s="31"/>
      <c r="I74" s="32"/>
    </row>
    <row r="75" customFormat="false" ht="15" hidden="false" customHeight="false" outlineLevel="0" collapsed="false">
      <c r="A75" s="26" t="n">
        <f aca="false">'Daily Tracker'!A75</f>
        <v>46093</v>
      </c>
      <c r="B75" s="47" t="str">
        <f aca="false">IF('Daily Tracker'!F75="","",'Daily Tracker'!F75)</f>
        <v/>
      </c>
      <c r="C75" s="31"/>
      <c r="D75" s="31"/>
      <c r="E75" s="56" t="str">
        <f aca="false">IFERROR(IF(COUNT(B75,C75,D75,F75,G75,H75)=0,"",ROUND((IF(B75="",70,MIN(B75/SleepGoal,1)*100))*0.25+(IF(C75="",70,MIN(C75/HRVGoal,1)*100))*0.2+(IF(D75="",70,MAX(0,MIN(1,(RHRPoor-D75)/(RHRPoor-RHRExcellent)))*100))*0.2+(IF(F75="",70,(5-F75)/4*100))*0.15+(IF(G75="",70,(5-G75)/4*100))*0.1+(IF(H75="",70,(5-H75)/4*100))*0.1,0)),"")</f>
        <v/>
      </c>
      <c r="F75" s="31"/>
      <c r="G75" s="31"/>
      <c r="H75" s="31"/>
      <c r="I75" s="32"/>
    </row>
    <row r="76" customFormat="false" ht="15" hidden="false" customHeight="false" outlineLevel="0" collapsed="false">
      <c r="A76" s="35" t="n">
        <f aca="false">'Daily Tracker'!A76</f>
        <v>46094</v>
      </c>
      <c r="B76" s="48" t="str">
        <f aca="false">IF('Daily Tracker'!F76="","",'Daily Tracker'!F76)</f>
        <v/>
      </c>
      <c r="C76" s="31"/>
      <c r="D76" s="31"/>
      <c r="E76" s="56" t="str">
        <f aca="false">IFERROR(IF(COUNT(B76,C76,D76,F76,G76,H76)=0,"",ROUND((IF(B76="",70,MIN(B76/SleepGoal,1)*100))*0.25+(IF(C76="",70,MIN(C76/HRVGoal,1)*100))*0.2+(IF(D76="",70,MAX(0,MIN(1,(RHRPoor-D76)/(RHRPoor-RHRExcellent)))*100))*0.2+(IF(F76="",70,(5-F76)/4*100))*0.15+(IF(G76="",70,(5-G76)/4*100))*0.1+(IF(H76="",70,(5-H76)/4*100))*0.1,0)),"")</f>
        <v/>
      </c>
      <c r="F76" s="31"/>
      <c r="G76" s="31"/>
      <c r="H76" s="31"/>
      <c r="I76" s="32"/>
    </row>
    <row r="77" customFormat="false" ht="15" hidden="false" customHeight="false" outlineLevel="0" collapsed="false">
      <c r="A77" s="26" t="n">
        <f aca="false">'Daily Tracker'!A77</f>
        <v>46095</v>
      </c>
      <c r="B77" s="47" t="str">
        <f aca="false">IF('Daily Tracker'!F77="","",'Daily Tracker'!F77)</f>
        <v/>
      </c>
      <c r="C77" s="31"/>
      <c r="D77" s="31"/>
      <c r="E77" s="56" t="str">
        <f aca="false">IFERROR(IF(COUNT(B77,C77,D77,F77,G77,H77)=0,"",ROUND((IF(B77="",70,MIN(B77/SleepGoal,1)*100))*0.25+(IF(C77="",70,MIN(C77/HRVGoal,1)*100))*0.2+(IF(D77="",70,MAX(0,MIN(1,(RHRPoor-D77)/(RHRPoor-RHRExcellent)))*100))*0.2+(IF(F77="",70,(5-F77)/4*100))*0.15+(IF(G77="",70,(5-G77)/4*100))*0.1+(IF(H77="",70,(5-H77)/4*100))*0.1,0)),"")</f>
        <v/>
      </c>
      <c r="F77" s="31"/>
      <c r="G77" s="31"/>
      <c r="H77" s="31"/>
      <c r="I77" s="32"/>
    </row>
    <row r="78" customFormat="false" ht="15" hidden="false" customHeight="false" outlineLevel="0" collapsed="false">
      <c r="A78" s="35" t="n">
        <f aca="false">'Daily Tracker'!A78</f>
        <v>46096</v>
      </c>
      <c r="B78" s="48" t="str">
        <f aca="false">IF('Daily Tracker'!F78="","",'Daily Tracker'!F78)</f>
        <v/>
      </c>
      <c r="C78" s="31"/>
      <c r="D78" s="31"/>
      <c r="E78" s="56" t="str">
        <f aca="false">IFERROR(IF(COUNT(B78,C78,D78,F78,G78,H78)=0,"",ROUND((IF(B78="",70,MIN(B78/SleepGoal,1)*100))*0.25+(IF(C78="",70,MIN(C78/HRVGoal,1)*100))*0.2+(IF(D78="",70,MAX(0,MIN(1,(RHRPoor-D78)/(RHRPoor-RHRExcellent)))*100))*0.2+(IF(F78="",70,(5-F78)/4*100))*0.15+(IF(G78="",70,(5-G78)/4*100))*0.1+(IF(H78="",70,(5-H78)/4*100))*0.1,0)),"")</f>
        <v/>
      </c>
      <c r="F78" s="31"/>
      <c r="G78" s="31"/>
      <c r="H78" s="31"/>
      <c r="I78" s="32"/>
    </row>
    <row r="79" customFormat="false" ht="15" hidden="false" customHeight="false" outlineLevel="0" collapsed="false">
      <c r="A79" s="26" t="n">
        <f aca="false">'Daily Tracker'!A79</f>
        <v>46097</v>
      </c>
      <c r="B79" s="47" t="str">
        <f aca="false">IF('Daily Tracker'!F79="","",'Daily Tracker'!F79)</f>
        <v/>
      </c>
      <c r="C79" s="31"/>
      <c r="D79" s="31"/>
      <c r="E79" s="56" t="str">
        <f aca="false">IFERROR(IF(COUNT(B79,C79,D79,F79,G79,H79)=0,"",ROUND((IF(B79="",70,MIN(B79/SleepGoal,1)*100))*0.25+(IF(C79="",70,MIN(C79/HRVGoal,1)*100))*0.2+(IF(D79="",70,MAX(0,MIN(1,(RHRPoor-D79)/(RHRPoor-RHRExcellent)))*100))*0.2+(IF(F79="",70,(5-F79)/4*100))*0.15+(IF(G79="",70,(5-G79)/4*100))*0.1+(IF(H79="",70,(5-H79)/4*100))*0.1,0)),"")</f>
        <v/>
      </c>
      <c r="F79" s="31"/>
      <c r="G79" s="31"/>
      <c r="H79" s="31"/>
      <c r="I79" s="32"/>
    </row>
    <row r="80" customFormat="false" ht="15" hidden="false" customHeight="false" outlineLevel="0" collapsed="false">
      <c r="A80" s="35" t="n">
        <f aca="false">'Daily Tracker'!A80</f>
        <v>46098</v>
      </c>
      <c r="B80" s="48" t="str">
        <f aca="false">IF('Daily Tracker'!F80="","",'Daily Tracker'!F80)</f>
        <v/>
      </c>
      <c r="C80" s="31"/>
      <c r="D80" s="31"/>
      <c r="E80" s="56" t="str">
        <f aca="false">IFERROR(IF(COUNT(B80,C80,D80,F80,G80,H80)=0,"",ROUND((IF(B80="",70,MIN(B80/SleepGoal,1)*100))*0.25+(IF(C80="",70,MIN(C80/HRVGoal,1)*100))*0.2+(IF(D80="",70,MAX(0,MIN(1,(RHRPoor-D80)/(RHRPoor-RHRExcellent)))*100))*0.2+(IF(F80="",70,(5-F80)/4*100))*0.15+(IF(G80="",70,(5-G80)/4*100))*0.1+(IF(H80="",70,(5-H80)/4*100))*0.1,0)),"")</f>
        <v/>
      </c>
      <c r="F80" s="31"/>
      <c r="G80" s="31"/>
      <c r="H80" s="31"/>
      <c r="I80" s="32"/>
    </row>
    <row r="81" customFormat="false" ht="15" hidden="false" customHeight="false" outlineLevel="0" collapsed="false">
      <c r="A81" s="26" t="n">
        <f aca="false">'Daily Tracker'!A81</f>
        <v>46099</v>
      </c>
      <c r="B81" s="47" t="str">
        <f aca="false">IF('Daily Tracker'!F81="","",'Daily Tracker'!F81)</f>
        <v/>
      </c>
      <c r="C81" s="31"/>
      <c r="D81" s="31"/>
      <c r="E81" s="56" t="str">
        <f aca="false">IFERROR(IF(COUNT(B81,C81,D81,F81,G81,H81)=0,"",ROUND((IF(B81="",70,MIN(B81/SleepGoal,1)*100))*0.25+(IF(C81="",70,MIN(C81/HRVGoal,1)*100))*0.2+(IF(D81="",70,MAX(0,MIN(1,(RHRPoor-D81)/(RHRPoor-RHRExcellent)))*100))*0.2+(IF(F81="",70,(5-F81)/4*100))*0.15+(IF(G81="",70,(5-G81)/4*100))*0.1+(IF(H81="",70,(5-H81)/4*100))*0.1,0)),"")</f>
        <v/>
      </c>
      <c r="F81" s="31"/>
      <c r="G81" s="31"/>
      <c r="H81" s="31"/>
      <c r="I81" s="32"/>
    </row>
    <row r="82" customFormat="false" ht="15" hidden="false" customHeight="false" outlineLevel="0" collapsed="false">
      <c r="A82" s="35" t="n">
        <f aca="false">'Daily Tracker'!A82</f>
        <v>46100</v>
      </c>
      <c r="B82" s="48" t="str">
        <f aca="false">IF('Daily Tracker'!F82="","",'Daily Tracker'!F82)</f>
        <v/>
      </c>
      <c r="C82" s="31"/>
      <c r="D82" s="31"/>
      <c r="E82" s="56" t="str">
        <f aca="false">IFERROR(IF(COUNT(B82,C82,D82,F82,G82,H82)=0,"",ROUND((IF(B82="",70,MIN(B82/SleepGoal,1)*100))*0.25+(IF(C82="",70,MIN(C82/HRVGoal,1)*100))*0.2+(IF(D82="",70,MAX(0,MIN(1,(RHRPoor-D82)/(RHRPoor-RHRExcellent)))*100))*0.2+(IF(F82="",70,(5-F82)/4*100))*0.15+(IF(G82="",70,(5-G82)/4*100))*0.1+(IF(H82="",70,(5-H82)/4*100))*0.1,0)),"")</f>
        <v/>
      </c>
      <c r="F82" s="31"/>
      <c r="G82" s="31"/>
      <c r="H82" s="31"/>
      <c r="I82" s="32"/>
    </row>
    <row r="83" customFormat="false" ht="15" hidden="false" customHeight="false" outlineLevel="0" collapsed="false">
      <c r="A83" s="26" t="n">
        <f aca="false">'Daily Tracker'!A83</f>
        <v>46101</v>
      </c>
      <c r="B83" s="47" t="str">
        <f aca="false">IF('Daily Tracker'!F83="","",'Daily Tracker'!F83)</f>
        <v/>
      </c>
      <c r="C83" s="31"/>
      <c r="D83" s="31"/>
      <c r="E83" s="56" t="str">
        <f aca="false">IFERROR(IF(COUNT(B83,C83,D83,F83,G83,H83)=0,"",ROUND((IF(B83="",70,MIN(B83/SleepGoal,1)*100))*0.25+(IF(C83="",70,MIN(C83/HRVGoal,1)*100))*0.2+(IF(D83="",70,MAX(0,MIN(1,(RHRPoor-D83)/(RHRPoor-RHRExcellent)))*100))*0.2+(IF(F83="",70,(5-F83)/4*100))*0.15+(IF(G83="",70,(5-G83)/4*100))*0.1+(IF(H83="",70,(5-H83)/4*100))*0.1,0)),"")</f>
        <v/>
      </c>
      <c r="F83" s="31"/>
      <c r="G83" s="31"/>
      <c r="H83" s="31"/>
      <c r="I83" s="32"/>
    </row>
    <row r="84" customFormat="false" ht="15" hidden="false" customHeight="false" outlineLevel="0" collapsed="false">
      <c r="A84" s="35" t="n">
        <f aca="false">'Daily Tracker'!A84</f>
        <v>46102</v>
      </c>
      <c r="B84" s="48" t="str">
        <f aca="false">IF('Daily Tracker'!F84="","",'Daily Tracker'!F84)</f>
        <v/>
      </c>
      <c r="C84" s="31"/>
      <c r="D84" s="31"/>
      <c r="E84" s="56" t="str">
        <f aca="false">IFERROR(IF(COUNT(B84,C84,D84,F84,G84,H84)=0,"",ROUND((IF(B84="",70,MIN(B84/SleepGoal,1)*100))*0.25+(IF(C84="",70,MIN(C84/HRVGoal,1)*100))*0.2+(IF(D84="",70,MAX(0,MIN(1,(RHRPoor-D84)/(RHRPoor-RHRExcellent)))*100))*0.2+(IF(F84="",70,(5-F84)/4*100))*0.15+(IF(G84="",70,(5-G84)/4*100))*0.1+(IF(H84="",70,(5-H84)/4*100))*0.1,0)),"")</f>
        <v/>
      </c>
      <c r="F84" s="31"/>
      <c r="G84" s="31"/>
      <c r="H84" s="31"/>
      <c r="I84" s="32"/>
    </row>
    <row r="85" customFormat="false" ht="15" hidden="false" customHeight="false" outlineLevel="0" collapsed="false">
      <c r="A85" s="26" t="n">
        <f aca="false">'Daily Tracker'!A85</f>
        <v>46103</v>
      </c>
      <c r="B85" s="47" t="str">
        <f aca="false">IF('Daily Tracker'!F85="","",'Daily Tracker'!F85)</f>
        <v/>
      </c>
      <c r="C85" s="31"/>
      <c r="D85" s="31"/>
      <c r="E85" s="56" t="str">
        <f aca="false">IFERROR(IF(COUNT(B85,C85,D85,F85,G85,H85)=0,"",ROUND((IF(B85="",70,MIN(B85/SleepGoal,1)*100))*0.25+(IF(C85="",70,MIN(C85/HRVGoal,1)*100))*0.2+(IF(D85="",70,MAX(0,MIN(1,(RHRPoor-D85)/(RHRPoor-RHRExcellent)))*100))*0.2+(IF(F85="",70,(5-F85)/4*100))*0.15+(IF(G85="",70,(5-G85)/4*100))*0.1+(IF(H85="",70,(5-H85)/4*100))*0.1,0)),"")</f>
        <v/>
      </c>
      <c r="F85" s="31"/>
      <c r="G85" s="31"/>
      <c r="H85" s="31"/>
      <c r="I85" s="32"/>
    </row>
    <row r="86" customFormat="false" ht="15" hidden="false" customHeight="false" outlineLevel="0" collapsed="false">
      <c r="A86" s="35" t="n">
        <f aca="false">'Daily Tracker'!A86</f>
        <v>46104</v>
      </c>
      <c r="B86" s="48" t="str">
        <f aca="false">IF('Daily Tracker'!F86="","",'Daily Tracker'!F86)</f>
        <v/>
      </c>
      <c r="C86" s="31"/>
      <c r="D86" s="31"/>
      <c r="E86" s="56" t="str">
        <f aca="false">IFERROR(IF(COUNT(B86,C86,D86,F86,G86,H86)=0,"",ROUND((IF(B86="",70,MIN(B86/SleepGoal,1)*100))*0.25+(IF(C86="",70,MIN(C86/HRVGoal,1)*100))*0.2+(IF(D86="",70,MAX(0,MIN(1,(RHRPoor-D86)/(RHRPoor-RHRExcellent)))*100))*0.2+(IF(F86="",70,(5-F86)/4*100))*0.15+(IF(G86="",70,(5-G86)/4*100))*0.1+(IF(H86="",70,(5-H86)/4*100))*0.1,0)),"")</f>
        <v/>
      </c>
      <c r="F86" s="31"/>
      <c r="G86" s="31"/>
      <c r="H86" s="31"/>
      <c r="I86" s="32"/>
    </row>
    <row r="87" customFormat="false" ht="15" hidden="false" customHeight="false" outlineLevel="0" collapsed="false">
      <c r="A87" s="26" t="n">
        <f aca="false">'Daily Tracker'!A87</f>
        <v>46105</v>
      </c>
      <c r="B87" s="47" t="str">
        <f aca="false">IF('Daily Tracker'!F87="","",'Daily Tracker'!F87)</f>
        <v/>
      </c>
      <c r="C87" s="31"/>
      <c r="D87" s="31"/>
      <c r="E87" s="56" t="str">
        <f aca="false">IFERROR(IF(COUNT(B87,C87,D87,F87,G87,H87)=0,"",ROUND((IF(B87="",70,MIN(B87/SleepGoal,1)*100))*0.25+(IF(C87="",70,MIN(C87/HRVGoal,1)*100))*0.2+(IF(D87="",70,MAX(0,MIN(1,(RHRPoor-D87)/(RHRPoor-RHRExcellent)))*100))*0.2+(IF(F87="",70,(5-F87)/4*100))*0.15+(IF(G87="",70,(5-G87)/4*100))*0.1+(IF(H87="",70,(5-H87)/4*100))*0.1,0)),"")</f>
        <v/>
      </c>
      <c r="F87" s="31"/>
      <c r="G87" s="31"/>
      <c r="H87" s="31"/>
      <c r="I87" s="32"/>
    </row>
    <row r="88" customFormat="false" ht="15" hidden="false" customHeight="false" outlineLevel="0" collapsed="false">
      <c r="A88" s="35" t="n">
        <f aca="false">'Daily Tracker'!A88</f>
        <v>46106</v>
      </c>
      <c r="B88" s="48" t="str">
        <f aca="false">IF('Daily Tracker'!F88="","",'Daily Tracker'!F88)</f>
        <v/>
      </c>
      <c r="C88" s="31"/>
      <c r="D88" s="31"/>
      <c r="E88" s="56" t="str">
        <f aca="false">IFERROR(IF(COUNT(B88,C88,D88,F88,G88,H88)=0,"",ROUND((IF(B88="",70,MIN(B88/SleepGoal,1)*100))*0.25+(IF(C88="",70,MIN(C88/HRVGoal,1)*100))*0.2+(IF(D88="",70,MAX(0,MIN(1,(RHRPoor-D88)/(RHRPoor-RHRExcellent)))*100))*0.2+(IF(F88="",70,(5-F88)/4*100))*0.15+(IF(G88="",70,(5-G88)/4*100))*0.1+(IF(H88="",70,(5-H88)/4*100))*0.1,0)),"")</f>
        <v/>
      </c>
      <c r="F88" s="31"/>
      <c r="G88" s="31"/>
      <c r="H88" s="31"/>
      <c r="I88" s="32"/>
    </row>
    <row r="89" customFormat="false" ht="15" hidden="false" customHeight="false" outlineLevel="0" collapsed="false">
      <c r="A89" s="26" t="n">
        <f aca="false">'Daily Tracker'!A89</f>
        <v>46107</v>
      </c>
      <c r="B89" s="47" t="str">
        <f aca="false">IF('Daily Tracker'!F89="","",'Daily Tracker'!F89)</f>
        <v/>
      </c>
      <c r="C89" s="31"/>
      <c r="D89" s="31"/>
      <c r="E89" s="56" t="str">
        <f aca="false">IFERROR(IF(COUNT(B89,C89,D89,F89,G89,H89)=0,"",ROUND((IF(B89="",70,MIN(B89/SleepGoal,1)*100))*0.25+(IF(C89="",70,MIN(C89/HRVGoal,1)*100))*0.2+(IF(D89="",70,MAX(0,MIN(1,(RHRPoor-D89)/(RHRPoor-RHRExcellent)))*100))*0.2+(IF(F89="",70,(5-F89)/4*100))*0.15+(IF(G89="",70,(5-G89)/4*100))*0.1+(IF(H89="",70,(5-H89)/4*100))*0.1,0)),"")</f>
        <v/>
      </c>
      <c r="F89" s="31"/>
      <c r="G89" s="31"/>
      <c r="H89" s="31"/>
      <c r="I89" s="32"/>
    </row>
    <row r="90" customFormat="false" ht="15" hidden="false" customHeight="false" outlineLevel="0" collapsed="false">
      <c r="A90" s="35" t="n">
        <f aca="false">'Daily Tracker'!A90</f>
        <v>46108</v>
      </c>
      <c r="B90" s="48" t="str">
        <f aca="false">IF('Daily Tracker'!F90="","",'Daily Tracker'!F90)</f>
        <v/>
      </c>
      <c r="C90" s="31"/>
      <c r="D90" s="31"/>
      <c r="E90" s="56" t="str">
        <f aca="false">IFERROR(IF(COUNT(B90,C90,D90,F90,G90,H90)=0,"",ROUND((IF(B90="",70,MIN(B90/SleepGoal,1)*100))*0.25+(IF(C90="",70,MIN(C90/HRVGoal,1)*100))*0.2+(IF(D90="",70,MAX(0,MIN(1,(RHRPoor-D90)/(RHRPoor-RHRExcellent)))*100))*0.2+(IF(F90="",70,(5-F90)/4*100))*0.15+(IF(G90="",70,(5-G90)/4*100))*0.1+(IF(H90="",70,(5-H90)/4*100))*0.1,0)),"")</f>
        <v/>
      </c>
      <c r="F90" s="31"/>
      <c r="G90" s="31"/>
      <c r="H90" s="31"/>
      <c r="I90" s="32"/>
    </row>
    <row r="91" customFormat="false" ht="15" hidden="false" customHeight="false" outlineLevel="0" collapsed="false">
      <c r="A91" s="26" t="n">
        <f aca="false">'Daily Tracker'!A91</f>
        <v>46109</v>
      </c>
      <c r="B91" s="47" t="str">
        <f aca="false">IF('Daily Tracker'!F91="","",'Daily Tracker'!F91)</f>
        <v/>
      </c>
      <c r="C91" s="31"/>
      <c r="D91" s="31"/>
      <c r="E91" s="56" t="str">
        <f aca="false">IFERROR(IF(COUNT(B91,C91,D91,F91,G91,H91)=0,"",ROUND((IF(B91="",70,MIN(B91/SleepGoal,1)*100))*0.25+(IF(C91="",70,MIN(C91/HRVGoal,1)*100))*0.2+(IF(D91="",70,MAX(0,MIN(1,(RHRPoor-D91)/(RHRPoor-RHRExcellent)))*100))*0.2+(IF(F91="",70,(5-F91)/4*100))*0.15+(IF(G91="",70,(5-G91)/4*100))*0.1+(IF(H91="",70,(5-H91)/4*100))*0.1,0)),"")</f>
        <v/>
      </c>
      <c r="F91" s="31"/>
      <c r="G91" s="31"/>
      <c r="H91" s="31"/>
      <c r="I91" s="32"/>
    </row>
    <row r="92" customFormat="false" ht="15" hidden="false" customHeight="false" outlineLevel="0" collapsed="false">
      <c r="A92" s="35" t="n">
        <f aca="false">'Daily Tracker'!A92</f>
        <v>46110</v>
      </c>
      <c r="B92" s="48" t="str">
        <f aca="false">IF('Daily Tracker'!F92="","",'Daily Tracker'!F92)</f>
        <v/>
      </c>
      <c r="C92" s="31"/>
      <c r="D92" s="31"/>
      <c r="E92" s="56" t="str">
        <f aca="false">IFERROR(IF(COUNT(B92,C92,D92,F92,G92,H92)=0,"",ROUND((IF(B92="",70,MIN(B92/SleepGoal,1)*100))*0.25+(IF(C92="",70,MIN(C92/HRVGoal,1)*100))*0.2+(IF(D92="",70,MAX(0,MIN(1,(RHRPoor-D92)/(RHRPoor-RHRExcellent)))*100))*0.2+(IF(F92="",70,(5-F92)/4*100))*0.15+(IF(G92="",70,(5-G92)/4*100))*0.1+(IF(H92="",70,(5-H92)/4*100))*0.1,0)),"")</f>
        <v/>
      </c>
      <c r="F92" s="31"/>
      <c r="G92" s="31"/>
      <c r="H92" s="31"/>
      <c r="I92" s="32"/>
    </row>
    <row r="93" customFormat="false" ht="15" hidden="false" customHeight="false" outlineLevel="0" collapsed="false">
      <c r="A93" s="26" t="n">
        <f aca="false">'Daily Tracker'!A93</f>
        <v>46111</v>
      </c>
      <c r="B93" s="47" t="str">
        <f aca="false">IF('Daily Tracker'!F93="","",'Daily Tracker'!F93)</f>
        <v/>
      </c>
      <c r="C93" s="31"/>
      <c r="D93" s="31"/>
      <c r="E93" s="56" t="str">
        <f aca="false">IFERROR(IF(COUNT(B93,C93,D93,F93,G93,H93)=0,"",ROUND((IF(B93="",70,MIN(B93/SleepGoal,1)*100))*0.25+(IF(C93="",70,MIN(C93/HRVGoal,1)*100))*0.2+(IF(D93="",70,MAX(0,MIN(1,(RHRPoor-D93)/(RHRPoor-RHRExcellent)))*100))*0.2+(IF(F93="",70,(5-F93)/4*100))*0.15+(IF(G93="",70,(5-G93)/4*100))*0.1+(IF(H93="",70,(5-H93)/4*100))*0.1,0)),"")</f>
        <v/>
      </c>
      <c r="F93" s="31"/>
      <c r="G93" s="31"/>
      <c r="H93" s="31"/>
      <c r="I93" s="32"/>
    </row>
    <row r="94" customFormat="false" ht="15" hidden="false" customHeight="false" outlineLevel="0" collapsed="false">
      <c r="A94" s="35" t="n">
        <f aca="false">'Daily Tracker'!A94</f>
        <v>46112</v>
      </c>
      <c r="B94" s="48" t="str">
        <f aca="false">IF('Daily Tracker'!F94="","",'Daily Tracker'!F94)</f>
        <v/>
      </c>
      <c r="C94" s="31"/>
      <c r="D94" s="31"/>
      <c r="E94" s="56" t="str">
        <f aca="false">IFERROR(IF(COUNT(B94,C94,D94,F94,G94,H94)=0,"",ROUND((IF(B94="",70,MIN(B94/SleepGoal,1)*100))*0.25+(IF(C94="",70,MIN(C94/HRVGoal,1)*100))*0.2+(IF(D94="",70,MAX(0,MIN(1,(RHRPoor-D94)/(RHRPoor-RHRExcellent)))*100))*0.2+(IF(F94="",70,(5-F94)/4*100))*0.15+(IF(G94="",70,(5-G94)/4*100))*0.1+(IF(H94="",70,(5-H94)/4*100))*0.1,0)),"")</f>
        <v/>
      </c>
      <c r="F94" s="31"/>
      <c r="G94" s="31"/>
      <c r="H94" s="31"/>
      <c r="I94" s="32"/>
    </row>
    <row r="95" customFormat="false" ht="15" hidden="false" customHeight="false" outlineLevel="0" collapsed="false">
      <c r="A95" s="26" t="n">
        <f aca="false">'Daily Tracker'!A95</f>
        <v>46113</v>
      </c>
      <c r="B95" s="47" t="str">
        <f aca="false">IF('Daily Tracker'!F95="","",'Daily Tracker'!F95)</f>
        <v/>
      </c>
      <c r="C95" s="31"/>
      <c r="D95" s="31"/>
      <c r="E95" s="56" t="str">
        <f aca="false">IFERROR(IF(COUNT(B95,C95,D95,F95,G95,H95)=0,"",ROUND((IF(B95="",70,MIN(B95/SleepGoal,1)*100))*0.25+(IF(C95="",70,MIN(C95/HRVGoal,1)*100))*0.2+(IF(D95="",70,MAX(0,MIN(1,(RHRPoor-D95)/(RHRPoor-RHRExcellent)))*100))*0.2+(IF(F95="",70,(5-F95)/4*100))*0.15+(IF(G95="",70,(5-G95)/4*100))*0.1+(IF(H95="",70,(5-H95)/4*100))*0.1,0)),"")</f>
        <v/>
      </c>
      <c r="F95" s="31"/>
      <c r="G95" s="31"/>
      <c r="H95" s="31"/>
      <c r="I95" s="32"/>
    </row>
    <row r="96" customFormat="false" ht="15" hidden="false" customHeight="false" outlineLevel="0" collapsed="false">
      <c r="A96" s="35" t="n">
        <f aca="false">'Daily Tracker'!A96</f>
        <v>46114</v>
      </c>
      <c r="B96" s="48" t="str">
        <f aca="false">IF('Daily Tracker'!F96="","",'Daily Tracker'!F96)</f>
        <v/>
      </c>
      <c r="C96" s="31"/>
      <c r="D96" s="31"/>
      <c r="E96" s="56" t="str">
        <f aca="false">IFERROR(IF(COUNT(B96,C96,D96,F96,G96,H96)=0,"",ROUND((IF(B96="",70,MIN(B96/SleepGoal,1)*100))*0.25+(IF(C96="",70,MIN(C96/HRVGoal,1)*100))*0.2+(IF(D96="",70,MAX(0,MIN(1,(RHRPoor-D96)/(RHRPoor-RHRExcellent)))*100))*0.2+(IF(F96="",70,(5-F96)/4*100))*0.15+(IF(G96="",70,(5-G96)/4*100))*0.1+(IF(H96="",70,(5-H96)/4*100))*0.1,0)),"")</f>
        <v/>
      </c>
      <c r="F96" s="31"/>
      <c r="G96" s="31"/>
      <c r="H96" s="31"/>
      <c r="I96" s="32"/>
    </row>
    <row r="97" customFormat="false" ht="15" hidden="false" customHeight="false" outlineLevel="0" collapsed="false">
      <c r="A97" s="26" t="n">
        <f aca="false">'Daily Tracker'!A97</f>
        <v>46115</v>
      </c>
      <c r="B97" s="47" t="str">
        <f aca="false">IF('Daily Tracker'!F97="","",'Daily Tracker'!F97)</f>
        <v/>
      </c>
      <c r="C97" s="31"/>
      <c r="D97" s="31"/>
      <c r="E97" s="56" t="str">
        <f aca="false">IFERROR(IF(COUNT(B97,C97,D97,F97,G97,H97)=0,"",ROUND((IF(B97="",70,MIN(B97/SleepGoal,1)*100))*0.25+(IF(C97="",70,MIN(C97/HRVGoal,1)*100))*0.2+(IF(D97="",70,MAX(0,MIN(1,(RHRPoor-D97)/(RHRPoor-RHRExcellent)))*100))*0.2+(IF(F97="",70,(5-F97)/4*100))*0.15+(IF(G97="",70,(5-G97)/4*100))*0.1+(IF(H97="",70,(5-H97)/4*100))*0.1,0)),"")</f>
        <v/>
      </c>
      <c r="F97" s="31"/>
      <c r="G97" s="31"/>
      <c r="H97" s="31"/>
      <c r="I97" s="32"/>
    </row>
    <row r="98" customFormat="false" ht="15" hidden="false" customHeight="false" outlineLevel="0" collapsed="false">
      <c r="A98" s="35" t="n">
        <f aca="false">'Daily Tracker'!A98</f>
        <v>46116</v>
      </c>
      <c r="B98" s="48" t="str">
        <f aca="false">IF('Daily Tracker'!F98="","",'Daily Tracker'!F98)</f>
        <v/>
      </c>
      <c r="C98" s="31"/>
      <c r="D98" s="31"/>
      <c r="E98" s="56" t="str">
        <f aca="false">IFERROR(IF(COUNT(B98,C98,D98,F98,G98,H98)=0,"",ROUND((IF(B98="",70,MIN(B98/SleepGoal,1)*100))*0.25+(IF(C98="",70,MIN(C98/HRVGoal,1)*100))*0.2+(IF(D98="",70,MAX(0,MIN(1,(RHRPoor-D98)/(RHRPoor-RHRExcellent)))*100))*0.2+(IF(F98="",70,(5-F98)/4*100))*0.15+(IF(G98="",70,(5-G98)/4*100))*0.1+(IF(H98="",70,(5-H98)/4*100))*0.1,0)),"")</f>
        <v/>
      </c>
      <c r="F98" s="31"/>
      <c r="G98" s="31"/>
      <c r="H98" s="31"/>
      <c r="I98" s="32"/>
    </row>
    <row r="99" customFormat="false" ht="15" hidden="false" customHeight="false" outlineLevel="0" collapsed="false">
      <c r="A99" s="26" t="n">
        <f aca="false">'Daily Tracker'!A99</f>
        <v>46117</v>
      </c>
      <c r="B99" s="47" t="str">
        <f aca="false">IF('Daily Tracker'!F99="","",'Daily Tracker'!F99)</f>
        <v/>
      </c>
      <c r="C99" s="31"/>
      <c r="D99" s="31"/>
      <c r="E99" s="56" t="str">
        <f aca="false">IFERROR(IF(COUNT(B99,C99,D99,F99,G99,H99)=0,"",ROUND((IF(B99="",70,MIN(B99/SleepGoal,1)*100))*0.25+(IF(C99="",70,MIN(C99/HRVGoal,1)*100))*0.2+(IF(D99="",70,MAX(0,MIN(1,(RHRPoor-D99)/(RHRPoor-RHRExcellent)))*100))*0.2+(IF(F99="",70,(5-F99)/4*100))*0.15+(IF(G99="",70,(5-G99)/4*100))*0.1+(IF(H99="",70,(5-H99)/4*100))*0.1,0)),"")</f>
        <v/>
      </c>
      <c r="F99" s="31"/>
      <c r="G99" s="31"/>
      <c r="H99" s="31"/>
      <c r="I99" s="32"/>
    </row>
    <row r="100" customFormat="false" ht="15" hidden="false" customHeight="false" outlineLevel="0" collapsed="false">
      <c r="A100" s="35" t="n">
        <f aca="false">'Daily Tracker'!A100</f>
        <v>46118</v>
      </c>
      <c r="B100" s="48" t="str">
        <f aca="false">IF('Daily Tracker'!F100="","",'Daily Tracker'!F100)</f>
        <v/>
      </c>
      <c r="C100" s="31"/>
      <c r="D100" s="31"/>
      <c r="E100" s="56" t="str">
        <f aca="false">IFERROR(IF(COUNT(B100,C100,D100,F100,G100,H100)=0,"",ROUND((IF(B100="",70,MIN(B100/SleepGoal,1)*100))*0.25+(IF(C100="",70,MIN(C100/HRVGoal,1)*100))*0.2+(IF(D100="",70,MAX(0,MIN(1,(RHRPoor-D100)/(RHRPoor-RHRExcellent)))*100))*0.2+(IF(F100="",70,(5-F100)/4*100))*0.15+(IF(G100="",70,(5-G100)/4*100))*0.1+(IF(H100="",70,(5-H100)/4*100))*0.1,0)),"")</f>
        <v/>
      </c>
      <c r="F100" s="31"/>
      <c r="G100" s="31"/>
      <c r="H100" s="31"/>
      <c r="I100" s="32"/>
    </row>
    <row r="101" customFormat="false" ht="15" hidden="false" customHeight="false" outlineLevel="0" collapsed="false">
      <c r="A101" s="26" t="n">
        <f aca="false">'Daily Tracker'!A101</f>
        <v>46119</v>
      </c>
      <c r="B101" s="47" t="str">
        <f aca="false">IF('Daily Tracker'!F101="","",'Daily Tracker'!F101)</f>
        <v/>
      </c>
      <c r="C101" s="31"/>
      <c r="D101" s="31"/>
      <c r="E101" s="56" t="str">
        <f aca="false">IFERROR(IF(COUNT(B101,C101,D101,F101,G101,H101)=0,"",ROUND((IF(B101="",70,MIN(B101/SleepGoal,1)*100))*0.25+(IF(C101="",70,MIN(C101/HRVGoal,1)*100))*0.2+(IF(D101="",70,MAX(0,MIN(1,(RHRPoor-D101)/(RHRPoor-RHRExcellent)))*100))*0.2+(IF(F101="",70,(5-F101)/4*100))*0.15+(IF(G101="",70,(5-G101)/4*100))*0.1+(IF(H101="",70,(5-H101)/4*100))*0.1,0)),"")</f>
        <v/>
      </c>
      <c r="F101" s="31"/>
      <c r="G101" s="31"/>
      <c r="H101" s="31"/>
      <c r="I101" s="32"/>
    </row>
    <row r="102" customFormat="false" ht="15" hidden="false" customHeight="false" outlineLevel="0" collapsed="false">
      <c r="A102" s="35" t="n">
        <f aca="false">'Daily Tracker'!A102</f>
        <v>46120</v>
      </c>
      <c r="B102" s="48" t="str">
        <f aca="false">IF('Daily Tracker'!F102="","",'Daily Tracker'!F102)</f>
        <v/>
      </c>
      <c r="C102" s="31"/>
      <c r="D102" s="31"/>
      <c r="E102" s="56" t="str">
        <f aca="false">IFERROR(IF(COUNT(B102,C102,D102,F102,G102,H102)=0,"",ROUND((IF(B102="",70,MIN(B102/SleepGoal,1)*100))*0.25+(IF(C102="",70,MIN(C102/HRVGoal,1)*100))*0.2+(IF(D102="",70,MAX(0,MIN(1,(RHRPoor-D102)/(RHRPoor-RHRExcellent)))*100))*0.2+(IF(F102="",70,(5-F102)/4*100))*0.15+(IF(G102="",70,(5-G102)/4*100))*0.1+(IF(H102="",70,(5-H102)/4*100))*0.1,0)),"")</f>
        <v/>
      </c>
      <c r="F102" s="31"/>
      <c r="G102" s="31"/>
      <c r="H102" s="31"/>
      <c r="I102" s="32"/>
    </row>
    <row r="103" customFormat="false" ht="15" hidden="false" customHeight="false" outlineLevel="0" collapsed="false">
      <c r="A103" s="26" t="n">
        <f aca="false">'Daily Tracker'!A103</f>
        <v>46121</v>
      </c>
      <c r="B103" s="47" t="str">
        <f aca="false">IF('Daily Tracker'!F103="","",'Daily Tracker'!F103)</f>
        <v/>
      </c>
      <c r="C103" s="31"/>
      <c r="D103" s="31"/>
      <c r="E103" s="56" t="str">
        <f aca="false">IFERROR(IF(COUNT(B103,C103,D103,F103,G103,H103)=0,"",ROUND((IF(B103="",70,MIN(B103/SleepGoal,1)*100))*0.25+(IF(C103="",70,MIN(C103/HRVGoal,1)*100))*0.2+(IF(D103="",70,MAX(0,MIN(1,(RHRPoor-D103)/(RHRPoor-RHRExcellent)))*100))*0.2+(IF(F103="",70,(5-F103)/4*100))*0.15+(IF(G103="",70,(5-G103)/4*100))*0.1+(IF(H103="",70,(5-H103)/4*100))*0.1,0)),"")</f>
        <v/>
      </c>
      <c r="F103" s="31"/>
      <c r="G103" s="31"/>
      <c r="H103" s="31"/>
      <c r="I103" s="32"/>
    </row>
    <row r="104" customFormat="false" ht="15" hidden="false" customHeight="false" outlineLevel="0" collapsed="false">
      <c r="A104" s="35" t="n">
        <f aca="false">'Daily Tracker'!A104</f>
        <v>46122</v>
      </c>
      <c r="B104" s="48" t="str">
        <f aca="false">IF('Daily Tracker'!F104="","",'Daily Tracker'!F104)</f>
        <v/>
      </c>
      <c r="C104" s="31"/>
      <c r="D104" s="31"/>
      <c r="E104" s="56" t="str">
        <f aca="false">IFERROR(IF(COUNT(B104,C104,D104,F104,G104,H104)=0,"",ROUND((IF(B104="",70,MIN(B104/SleepGoal,1)*100))*0.25+(IF(C104="",70,MIN(C104/HRVGoal,1)*100))*0.2+(IF(D104="",70,MAX(0,MIN(1,(RHRPoor-D104)/(RHRPoor-RHRExcellent)))*100))*0.2+(IF(F104="",70,(5-F104)/4*100))*0.15+(IF(G104="",70,(5-G104)/4*100))*0.1+(IF(H104="",70,(5-H104)/4*100))*0.1,0)),"")</f>
        <v/>
      </c>
      <c r="F104" s="31"/>
      <c r="G104" s="31"/>
      <c r="H104" s="31"/>
      <c r="I104" s="32"/>
    </row>
    <row r="105" customFormat="false" ht="15" hidden="false" customHeight="false" outlineLevel="0" collapsed="false">
      <c r="A105" s="26" t="n">
        <f aca="false">'Daily Tracker'!A105</f>
        <v>46123</v>
      </c>
      <c r="B105" s="47" t="str">
        <f aca="false">IF('Daily Tracker'!F105="","",'Daily Tracker'!F105)</f>
        <v/>
      </c>
      <c r="C105" s="31"/>
      <c r="D105" s="31"/>
      <c r="E105" s="56" t="str">
        <f aca="false">IFERROR(IF(COUNT(B105,C105,D105,F105,G105,H105)=0,"",ROUND((IF(B105="",70,MIN(B105/SleepGoal,1)*100))*0.25+(IF(C105="",70,MIN(C105/HRVGoal,1)*100))*0.2+(IF(D105="",70,MAX(0,MIN(1,(RHRPoor-D105)/(RHRPoor-RHRExcellent)))*100))*0.2+(IF(F105="",70,(5-F105)/4*100))*0.15+(IF(G105="",70,(5-G105)/4*100))*0.1+(IF(H105="",70,(5-H105)/4*100))*0.1,0)),"")</f>
        <v/>
      </c>
      <c r="F105" s="31"/>
      <c r="G105" s="31"/>
      <c r="H105" s="31"/>
      <c r="I105" s="32"/>
    </row>
    <row r="106" customFormat="false" ht="15" hidden="false" customHeight="false" outlineLevel="0" collapsed="false">
      <c r="A106" s="35" t="n">
        <f aca="false">'Daily Tracker'!A106</f>
        <v>46124</v>
      </c>
      <c r="B106" s="48" t="str">
        <f aca="false">IF('Daily Tracker'!F106="","",'Daily Tracker'!F106)</f>
        <v/>
      </c>
      <c r="C106" s="31"/>
      <c r="D106" s="31"/>
      <c r="E106" s="56" t="str">
        <f aca="false">IFERROR(IF(COUNT(B106,C106,D106,F106,G106,H106)=0,"",ROUND((IF(B106="",70,MIN(B106/SleepGoal,1)*100))*0.25+(IF(C106="",70,MIN(C106/HRVGoal,1)*100))*0.2+(IF(D106="",70,MAX(0,MIN(1,(RHRPoor-D106)/(RHRPoor-RHRExcellent)))*100))*0.2+(IF(F106="",70,(5-F106)/4*100))*0.15+(IF(G106="",70,(5-G106)/4*100))*0.1+(IF(H106="",70,(5-H106)/4*100))*0.1,0)),"")</f>
        <v/>
      </c>
      <c r="F106" s="31"/>
      <c r="G106" s="31"/>
      <c r="H106" s="31"/>
      <c r="I106" s="32"/>
    </row>
    <row r="107" customFormat="false" ht="15" hidden="false" customHeight="false" outlineLevel="0" collapsed="false">
      <c r="A107" s="26" t="n">
        <f aca="false">'Daily Tracker'!A107</f>
        <v>46125</v>
      </c>
      <c r="B107" s="47" t="str">
        <f aca="false">IF('Daily Tracker'!F107="","",'Daily Tracker'!F107)</f>
        <v/>
      </c>
      <c r="C107" s="31"/>
      <c r="D107" s="31"/>
      <c r="E107" s="56" t="str">
        <f aca="false">IFERROR(IF(COUNT(B107,C107,D107,F107,G107,H107)=0,"",ROUND((IF(B107="",70,MIN(B107/SleepGoal,1)*100))*0.25+(IF(C107="",70,MIN(C107/HRVGoal,1)*100))*0.2+(IF(D107="",70,MAX(0,MIN(1,(RHRPoor-D107)/(RHRPoor-RHRExcellent)))*100))*0.2+(IF(F107="",70,(5-F107)/4*100))*0.15+(IF(G107="",70,(5-G107)/4*100))*0.1+(IF(H107="",70,(5-H107)/4*100))*0.1,0)),"")</f>
        <v/>
      </c>
      <c r="F107" s="31"/>
      <c r="G107" s="31"/>
      <c r="H107" s="31"/>
      <c r="I107" s="32"/>
    </row>
    <row r="108" customFormat="false" ht="15" hidden="false" customHeight="false" outlineLevel="0" collapsed="false">
      <c r="A108" s="35" t="n">
        <f aca="false">'Daily Tracker'!A108</f>
        <v>46126</v>
      </c>
      <c r="B108" s="48" t="str">
        <f aca="false">IF('Daily Tracker'!F108="","",'Daily Tracker'!F108)</f>
        <v/>
      </c>
      <c r="C108" s="31"/>
      <c r="D108" s="31"/>
      <c r="E108" s="56" t="str">
        <f aca="false">IFERROR(IF(COUNT(B108,C108,D108,F108,G108,H108)=0,"",ROUND((IF(B108="",70,MIN(B108/SleepGoal,1)*100))*0.25+(IF(C108="",70,MIN(C108/HRVGoal,1)*100))*0.2+(IF(D108="",70,MAX(0,MIN(1,(RHRPoor-D108)/(RHRPoor-RHRExcellent)))*100))*0.2+(IF(F108="",70,(5-F108)/4*100))*0.15+(IF(G108="",70,(5-G108)/4*100))*0.1+(IF(H108="",70,(5-H108)/4*100))*0.1,0)),"")</f>
        <v/>
      </c>
      <c r="F108" s="31"/>
      <c r="G108" s="31"/>
      <c r="H108" s="31"/>
      <c r="I108" s="32"/>
    </row>
    <row r="109" customFormat="false" ht="15" hidden="false" customHeight="false" outlineLevel="0" collapsed="false">
      <c r="A109" s="26" t="n">
        <f aca="false">'Daily Tracker'!A109</f>
        <v>46127</v>
      </c>
      <c r="B109" s="47" t="str">
        <f aca="false">IF('Daily Tracker'!F109="","",'Daily Tracker'!F109)</f>
        <v/>
      </c>
      <c r="C109" s="31"/>
      <c r="D109" s="31"/>
      <c r="E109" s="56" t="str">
        <f aca="false">IFERROR(IF(COUNT(B109,C109,D109,F109,G109,H109)=0,"",ROUND((IF(B109="",70,MIN(B109/SleepGoal,1)*100))*0.25+(IF(C109="",70,MIN(C109/HRVGoal,1)*100))*0.2+(IF(D109="",70,MAX(0,MIN(1,(RHRPoor-D109)/(RHRPoor-RHRExcellent)))*100))*0.2+(IF(F109="",70,(5-F109)/4*100))*0.15+(IF(G109="",70,(5-G109)/4*100))*0.1+(IF(H109="",70,(5-H109)/4*100))*0.1,0)),"")</f>
        <v/>
      </c>
      <c r="F109" s="31"/>
      <c r="G109" s="31"/>
      <c r="H109" s="31"/>
      <c r="I109" s="32"/>
    </row>
    <row r="110" customFormat="false" ht="15" hidden="false" customHeight="false" outlineLevel="0" collapsed="false">
      <c r="A110" s="35" t="n">
        <f aca="false">'Daily Tracker'!A110</f>
        <v>46128</v>
      </c>
      <c r="B110" s="48" t="str">
        <f aca="false">IF('Daily Tracker'!F110="","",'Daily Tracker'!F110)</f>
        <v/>
      </c>
      <c r="C110" s="31"/>
      <c r="D110" s="31"/>
      <c r="E110" s="56" t="str">
        <f aca="false">IFERROR(IF(COUNT(B110,C110,D110,F110,G110,H110)=0,"",ROUND((IF(B110="",70,MIN(B110/SleepGoal,1)*100))*0.25+(IF(C110="",70,MIN(C110/HRVGoal,1)*100))*0.2+(IF(D110="",70,MAX(0,MIN(1,(RHRPoor-D110)/(RHRPoor-RHRExcellent)))*100))*0.2+(IF(F110="",70,(5-F110)/4*100))*0.15+(IF(G110="",70,(5-G110)/4*100))*0.1+(IF(H110="",70,(5-H110)/4*100))*0.1,0)),"")</f>
        <v/>
      </c>
      <c r="F110" s="31"/>
      <c r="G110" s="31"/>
      <c r="H110" s="31"/>
      <c r="I110" s="32"/>
    </row>
    <row r="111" customFormat="false" ht="15" hidden="false" customHeight="false" outlineLevel="0" collapsed="false">
      <c r="A111" s="26" t="n">
        <f aca="false">'Daily Tracker'!A111</f>
        <v>46129</v>
      </c>
      <c r="B111" s="47" t="str">
        <f aca="false">IF('Daily Tracker'!F111="","",'Daily Tracker'!F111)</f>
        <v/>
      </c>
      <c r="C111" s="31"/>
      <c r="D111" s="31"/>
      <c r="E111" s="56" t="str">
        <f aca="false">IFERROR(IF(COUNT(B111,C111,D111,F111,G111,H111)=0,"",ROUND((IF(B111="",70,MIN(B111/SleepGoal,1)*100))*0.25+(IF(C111="",70,MIN(C111/HRVGoal,1)*100))*0.2+(IF(D111="",70,MAX(0,MIN(1,(RHRPoor-D111)/(RHRPoor-RHRExcellent)))*100))*0.2+(IF(F111="",70,(5-F111)/4*100))*0.15+(IF(G111="",70,(5-G111)/4*100))*0.1+(IF(H111="",70,(5-H111)/4*100))*0.1,0)),"")</f>
        <v/>
      </c>
      <c r="F111" s="31"/>
      <c r="G111" s="31"/>
      <c r="H111" s="31"/>
      <c r="I111" s="32"/>
    </row>
    <row r="112" customFormat="false" ht="15" hidden="false" customHeight="false" outlineLevel="0" collapsed="false">
      <c r="A112" s="35" t="n">
        <f aca="false">'Daily Tracker'!A112</f>
        <v>46130</v>
      </c>
      <c r="B112" s="48" t="str">
        <f aca="false">IF('Daily Tracker'!F112="","",'Daily Tracker'!F112)</f>
        <v/>
      </c>
      <c r="C112" s="31"/>
      <c r="D112" s="31"/>
      <c r="E112" s="56" t="str">
        <f aca="false">IFERROR(IF(COUNT(B112,C112,D112,F112,G112,H112)=0,"",ROUND((IF(B112="",70,MIN(B112/SleepGoal,1)*100))*0.25+(IF(C112="",70,MIN(C112/HRVGoal,1)*100))*0.2+(IF(D112="",70,MAX(0,MIN(1,(RHRPoor-D112)/(RHRPoor-RHRExcellent)))*100))*0.2+(IF(F112="",70,(5-F112)/4*100))*0.15+(IF(G112="",70,(5-G112)/4*100))*0.1+(IF(H112="",70,(5-H112)/4*100))*0.1,0)),"")</f>
        <v/>
      </c>
      <c r="F112" s="31"/>
      <c r="G112" s="31"/>
      <c r="H112" s="31"/>
      <c r="I112" s="32"/>
    </row>
    <row r="113" customFormat="false" ht="15" hidden="false" customHeight="false" outlineLevel="0" collapsed="false">
      <c r="A113" s="26" t="n">
        <f aca="false">'Daily Tracker'!A113</f>
        <v>46131</v>
      </c>
      <c r="B113" s="47" t="str">
        <f aca="false">IF('Daily Tracker'!F113="","",'Daily Tracker'!F113)</f>
        <v/>
      </c>
      <c r="C113" s="31"/>
      <c r="D113" s="31"/>
      <c r="E113" s="56" t="str">
        <f aca="false">IFERROR(IF(COUNT(B113,C113,D113,F113,G113,H113)=0,"",ROUND((IF(B113="",70,MIN(B113/SleepGoal,1)*100))*0.25+(IF(C113="",70,MIN(C113/HRVGoal,1)*100))*0.2+(IF(D113="",70,MAX(0,MIN(1,(RHRPoor-D113)/(RHRPoor-RHRExcellent)))*100))*0.2+(IF(F113="",70,(5-F113)/4*100))*0.15+(IF(G113="",70,(5-G113)/4*100))*0.1+(IF(H113="",70,(5-H113)/4*100))*0.1,0)),"")</f>
        <v/>
      </c>
      <c r="F113" s="31"/>
      <c r="G113" s="31"/>
      <c r="H113" s="31"/>
      <c r="I113" s="32"/>
    </row>
    <row r="114" customFormat="false" ht="15" hidden="false" customHeight="false" outlineLevel="0" collapsed="false">
      <c r="A114" s="35" t="n">
        <f aca="false">'Daily Tracker'!A114</f>
        <v>46132</v>
      </c>
      <c r="B114" s="48" t="str">
        <f aca="false">IF('Daily Tracker'!F114="","",'Daily Tracker'!F114)</f>
        <v/>
      </c>
      <c r="C114" s="31"/>
      <c r="D114" s="31"/>
      <c r="E114" s="56" t="str">
        <f aca="false">IFERROR(IF(COUNT(B114,C114,D114,F114,G114,H114)=0,"",ROUND((IF(B114="",70,MIN(B114/SleepGoal,1)*100))*0.25+(IF(C114="",70,MIN(C114/HRVGoal,1)*100))*0.2+(IF(D114="",70,MAX(0,MIN(1,(RHRPoor-D114)/(RHRPoor-RHRExcellent)))*100))*0.2+(IF(F114="",70,(5-F114)/4*100))*0.15+(IF(G114="",70,(5-G114)/4*100))*0.1+(IF(H114="",70,(5-H114)/4*100))*0.1,0)),"")</f>
        <v/>
      </c>
      <c r="F114" s="31"/>
      <c r="G114" s="31"/>
      <c r="H114" s="31"/>
      <c r="I114" s="32"/>
    </row>
    <row r="115" customFormat="false" ht="15" hidden="false" customHeight="false" outlineLevel="0" collapsed="false">
      <c r="A115" s="26" t="n">
        <f aca="false">'Daily Tracker'!A115</f>
        <v>46133</v>
      </c>
      <c r="B115" s="47" t="str">
        <f aca="false">IF('Daily Tracker'!F115="","",'Daily Tracker'!F115)</f>
        <v/>
      </c>
      <c r="C115" s="31"/>
      <c r="D115" s="31"/>
      <c r="E115" s="56" t="str">
        <f aca="false">IFERROR(IF(COUNT(B115,C115,D115,F115,G115,H115)=0,"",ROUND((IF(B115="",70,MIN(B115/SleepGoal,1)*100))*0.25+(IF(C115="",70,MIN(C115/HRVGoal,1)*100))*0.2+(IF(D115="",70,MAX(0,MIN(1,(RHRPoor-D115)/(RHRPoor-RHRExcellent)))*100))*0.2+(IF(F115="",70,(5-F115)/4*100))*0.15+(IF(G115="",70,(5-G115)/4*100))*0.1+(IF(H115="",70,(5-H115)/4*100))*0.1,0)),"")</f>
        <v/>
      </c>
      <c r="F115" s="31"/>
      <c r="G115" s="31"/>
      <c r="H115" s="31"/>
      <c r="I115" s="32"/>
    </row>
    <row r="116" customFormat="false" ht="15" hidden="false" customHeight="false" outlineLevel="0" collapsed="false">
      <c r="A116" s="35" t="n">
        <f aca="false">'Daily Tracker'!A116</f>
        <v>46134</v>
      </c>
      <c r="B116" s="48" t="str">
        <f aca="false">IF('Daily Tracker'!F116="","",'Daily Tracker'!F116)</f>
        <v/>
      </c>
      <c r="C116" s="31"/>
      <c r="D116" s="31"/>
      <c r="E116" s="56" t="str">
        <f aca="false">IFERROR(IF(COUNT(B116,C116,D116,F116,G116,H116)=0,"",ROUND((IF(B116="",70,MIN(B116/SleepGoal,1)*100))*0.25+(IF(C116="",70,MIN(C116/HRVGoal,1)*100))*0.2+(IF(D116="",70,MAX(0,MIN(1,(RHRPoor-D116)/(RHRPoor-RHRExcellent)))*100))*0.2+(IF(F116="",70,(5-F116)/4*100))*0.15+(IF(G116="",70,(5-G116)/4*100))*0.1+(IF(H116="",70,(5-H116)/4*100))*0.1,0)),"")</f>
        <v/>
      </c>
      <c r="F116" s="31"/>
      <c r="G116" s="31"/>
      <c r="H116" s="31"/>
      <c r="I116" s="32"/>
    </row>
    <row r="117" customFormat="false" ht="15" hidden="false" customHeight="false" outlineLevel="0" collapsed="false">
      <c r="A117" s="26" t="n">
        <f aca="false">'Daily Tracker'!A117</f>
        <v>46135</v>
      </c>
      <c r="B117" s="47" t="str">
        <f aca="false">IF('Daily Tracker'!F117="","",'Daily Tracker'!F117)</f>
        <v/>
      </c>
      <c r="C117" s="31"/>
      <c r="D117" s="31"/>
      <c r="E117" s="56" t="str">
        <f aca="false">IFERROR(IF(COUNT(B117,C117,D117,F117,G117,H117)=0,"",ROUND((IF(B117="",70,MIN(B117/SleepGoal,1)*100))*0.25+(IF(C117="",70,MIN(C117/HRVGoal,1)*100))*0.2+(IF(D117="",70,MAX(0,MIN(1,(RHRPoor-D117)/(RHRPoor-RHRExcellent)))*100))*0.2+(IF(F117="",70,(5-F117)/4*100))*0.15+(IF(G117="",70,(5-G117)/4*100))*0.1+(IF(H117="",70,(5-H117)/4*100))*0.1,0)),"")</f>
        <v/>
      </c>
      <c r="F117" s="31"/>
      <c r="G117" s="31"/>
      <c r="H117" s="31"/>
      <c r="I117" s="32"/>
    </row>
    <row r="118" customFormat="false" ht="15" hidden="false" customHeight="false" outlineLevel="0" collapsed="false">
      <c r="A118" s="35" t="n">
        <f aca="false">'Daily Tracker'!A118</f>
        <v>46136</v>
      </c>
      <c r="B118" s="48" t="str">
        <f aca="false">IF('Daily Tracker'!F118="","",'Daily Tracker'!F118)</f>
        <v/>
      </c>
      <c r="C118" s="31"/>
      <c r="D118" s="31"/>
      <c r="E118" s="56" t="str">
        <f aca="false">IFERROR(IF(COUNT(B118,C118,D118,F118,G118,H118)=0,"",ROUND((IF(B118="",70,MIN(B118/SleepGoal,1)*100))*0.25+(IF(C118="",70,MIN(C118/HRVGoal,1)*100))*0.2+(IF(D118="",70,MAX(0,MIN(1,(RHRPoor-D118)/(RHRPoor-RHRExcellent)))*100))*0.2+(IF(F118="",70,(5-F118)/4*100))*0.15+(IF(G118="",70,(5-G118)/4*100))*0.1+(IF(H118="",70,(5-H118)/4*100))*0.1,0)),"")</f>
        <v/>
      </c>
      <c r="F118" s="31"/>
      <c r="G118" s="31"/>
      <c r="H118" s="31"/>
      <c r="I118" s="32"/>
    </row>
    <row r="119" customFormat="false" ht="15" hidden="false" customHeight="false" outlineLevel="0" collapsed="false">
      <c r="A119" s="26" t="n">
        <f aca="false">'Daily Tracker'!A119</f>
        <v>46137</v>
      </c>
      <c r="B119" s="47" t="str">
        <f aca="false">IF('Daily Tracker'!F119="","",'Daily Tracker'!F119)</f>
        <v/>
      </c>
      <c r="C119" s="31"/>
      <c r="D119" s="31"/>
      <c r="E119" s="56" t="str">
        <f aca="false">IFERROR(IF(COUNT(B119,C119,D119,F119,G119,H119)=0,"",ROUND((IF(B119="",70,MIN(B119/SleepGoal,1)*100))*0.25+(IF(C119="",70,MIN(C119/HRVGoal,1)*100))*0.2+(IF(D119="",70,MAX(0,MIN(1,(RHRPoor-D119)/(RHRPoor-RHRExcellent)))*100))*0.2+(IF(F119="",70,(5-F119)/4*100))*0.15+(IF(G119="",70,(5-G119)/4*100))*0.1+(IF(H119="",70,(5-H119)/4*100))*0.1,0)),"")</f>
        <v/>
      </c>
      <c r="F119" s="31"/>
      <c r="G119" s="31"/>
      <c r="H119" s="31"/>
      <c r="I119" s="32"/>
    </row>
    <row r="120" customFormat="false" ht="15" hidden="false" customHeight="false" outlineLevel="0" collapsed="false">
      <c r="A120" s="35" t="n">
        <f aca="false">'Daily Tracker'!A120</f>
        <v>46138</v>
      </c>
      <c r="B120" s="48" t="str">
        <f aca="false">IF('Daily Tracker'!F120="","",'Daily Tracker'!F120)</f>
        <v/>
      </c>
      <c r="C120" s="31"/>
      <c r="D120" s="31"/>
      <c r="E120" s="56" t="str">
        <f aca="false">IFERROR(IF(COUNT(B120,C120,D120,F120,G120,H120)=0,"",ROUND((IF(B120="",70,MIN(B120/SleepGoal,1)*100))*0.25+(IF(C120="",70,MIN(C120/HRVGoal,1)*100))*0.2+(IF(D120="",70,MAX(0,MIN(1,(RHRPoor-D120)/(RHRPoor-RHRExcellent)))*100))*0.2+(IF(F120="",70,(5-F120)/4*100))*0.15+(IF(G120="",70,(5-G120)/4*100))*0.1+(IF(H120="",70,(5-H120)/4*100))*0.1,0)),"")</f>
        <v/>
      </c>
      <c r="F120" s="31"/>
      <c r="G120" s="31"/>
      <c r="H120" s="31"/>
      <c r="I120" s="32"/>
    </row>
    <row r="121" customFormat="false" ht="15" hidden="false" customHeight="false" outlineLevel="0" collapsed="false">
      <c r="A121" s="26" t="n">
        <f aca="false">'Daily Tracker'!A121</f>
        <v>46139</v>
      </c>
      <c r="B121" s="47" t="str">
        <f aca="false">IF('Daily Tracker'!F121="","",'Daily Tracker'!F121)</f>
        <v/>
      </c>
      <c r="C121" s="31"/>
      <c r="D121" s="31"/>
      <c r="E121" s="56" t="str">
        <f aca="false">IFERROR(IF(COUNT(B121,C121,D121,F121,G121,H121)=0,"",ROUND((IF(B121="",70,MIN(B121/SleepGoal,1)*100))*0.25+(IF(C121="",70,MIN(C121/HRVGoal,1)*100))*0.2+(IF(D121="",70,MAX(0,MIN(1,(RHRPoor-D121)/(RHRPoor-RHRExcellent)))*100))*0.2+(IF(F121="",70,(5-F121)/4*100))*0.15+(IF(G121="",70,(5-G121)/4*100))*0.1+(IF(H121="",70,(5-H121)/4*100))*0.1,0)),"")</f>
        <v/>
      </c>
      <c r="F121" s="31"/>
      <c r="G121" s="31"/>
      <c r="H121" s="31"/>
      <c r="I121" s="32"/>
    </row>
    <row r="122" customFormat="false" ht="15" hidden="false" customHeight="false" outlineLevel="0" collapsed="false">
      <c r="A122" s="35" t="n">
        <f aca="false">'Daily Tracker'!A122</f>
        <v>46140</v>
      </c>
      <c r="B122" s="48" t="str">
        <f aca="false">IF('Daily Tracker'!F122="","",'Daily Tracker'!F122)</f>
        <v/>
      </c>
      <c r="C122" s="31"/>
      <c r="D122" s="31"/>
      <c r="E122" s="56" t="str">
        <f aca="false">IFERROR(IF(COUNT(B122,C122,D122,F122,G122,H122)=0,"",ROUND((IF(B122="",70,MIN(B122/SleepGoal,1)*100))*0.25+(IF(C122="",70,MIN(C122/HRVGoal,1)*100))*0.2+(IF(D122="",70,MAX(0,MIN(1,(RHRPoor-D122)/(RHRPoor-RHRExcellent)))*100))*0.2+(IF(F122="",70,(5-F122)/4*100))*0.15+(IF(G122="",70,(5-G122)/4*100))*0.1+(IF(H122="",70,(5-H122)/4*100))*0.1,0)),"")</f>
        <v/>
      </c>
      <c r="F122" s="31"/>
      <c r="G122" s="31"/>
      <c r="H122" s="31"/>
      <c r="I122" s="32"/>
    </row>
    <row r="123" customFormat="false" ht="15" hidden="false" customHeight="false" outlineLevel="0" collapsed="false">
      <c r="A123" s="26" t="n">
        <f aca="false">'Daily Tracker'!A123</f>
        <v>46141</v>
      </c>
      <c r="B123" s="47" t="str">
        <f aca="false">IF('Daily Tracker'!F123="","",'Daily Tracker'!F123)</f>
        <v/>
      </c>
      <c r="C123" s="31"/>
      <c r="D123" s="31"/>
      <c r="E123" s="56" t="str">
        <f aca="false">IFERROR(IF(COUNT(B123,C123,D123,F123,G123,H123)=0,"",ROUND((IF(B123="",70,MIN(B123/SleepGoal,1)*100))*0.25+(IF(C123="",70,MIN(C123/HRVGoal,1)*100))*0.2+(IF(D123="",70,MAX(0,MIN(1,(RHRPoor-D123)/(RHRPoor-RHRExcellent)))*100))*0.2+(IF(F123="",70,(5-F123)/4*100))*0.15+(IF(G123="",70,(5-G123)/4*100))*0.1+(IF(H123="",70,(5-H123)/4*100))*0.1,0)),"")</f>
        <v/>
      </c>
      <c r="F123" s="31"/>
      <c r="G123" s="31"/>
      <c r="H123" s="31"/>
      <c r="I123" s="32"/>
    </row>
    <row r="124" customFormat="false" ht="15" hidden="false" customHeight="false" outlineLevel="0" collapsed="false">
      <c r="A124" s="35" t="n">
        <f aca="false">'Daily Tracker'!A124</f>
        <v>46142</v>
      </c>
      <c r="B124" s="48" t="str">
        <f aca="false">IF('Daily Tracker'!F124="","",'Daily Tracker'!F124)</f>
        <v/>
      </c>
      <c r="C124" s="31"/>
      <c r="D124" s="31"/>
      <c r="E124" s="56" t="str">
        <f aca="false">IFERROR(IF(COUNT(B124,C124,D124,F124,G124,H124)=0,"",ROUND((IF(B124="",70,MIN(B124/SleepGoal,1)*100))*0.25+(IF(C124="",70,MIN(C124/HRVGoal,1)*100))*0.2+(IF(D124="",70,MAX(0,MIN(1,(RHRPoor-D124)/(RHRPoor-RHRExcellent)))*100))*0.2+(IF(F124="",70,(5-F124)/4*100))*0.15+(IF(G124="",70,(5-G124)/4*100))*0.1+(IF(H124="",70,(5-H124)/4*100))*0.1,0)),"")</f>
        <v/>
      </c>
      <c r="F124" s="31"/>
      <c r="G124" s="31"/>
      <c r="H124" s="31"/>
      <c r="I124" s="32"/>
    </row>
    <row r="125" customFormat="false" ht="15" hidden="false" customHeight="false" outlineLevel="0" collapsed="false">
      <c r="A125" s="26" t="n">
        <f aca="false">'Daily Tracker'!A125</f>
        <v>46143</v>
      </c>
      <c r="B125" s="47" t="str">
        <f aca="false">IF('Daily Tracker'!F125="","",'Daily Tracker'!F125)</f>
        <v/>
      </c>
      <c r="C125" s="31"/>
      <c r="D125" s="31"/>
      <c r="E125" s="56" t="str">
        <f aca="false">IFERROR(IF(COUNT(B125,C125,D125,F125,G125,H125)=0,"",ROUND((IF(B125="",70,MIN(B125/SleepGoal,1)*100))*0.25+(IF(C125="",70,MIN(C125/HRVGoal,1)*100))*0.2+(IF(D125="",70,MAX(0,MIN(1,(RHRPoor-D125)/(RHRPoor-RHRExcellent)))*100))*0.2+(IF(F125="",70,(5-F125)/4*100))*0.15+(IF(G125="",70,(5-G125)/4*100))*0.1+(IF(H125="",70,(5-H125)/4*100))*0.1,0)),"")</f>
        <v/>
      </c>
      <c r="F125" s="31"/>
      <c r="G125" s="31"/>
      <c r="H125" s="31"/>
      <c r="I125" s="32"/>
    </row>
    <row r="126" customFormat="false" ht="15" hidden="false" customHeight="false" outlineLevel="0" collapsed="false">
      <c r="A126" s="35" t="n">
        <f aca="false">'Daily Tracker'!A126</f>
        <v>46144</v>
      </c>
      <c r="B126" s="48" t="str">
        <f aca="false">IF('Daily Tracker'!F126="","",'Daily Tracker'!F126)</f>
        <v/>
      </c>
      <c r="C126" s="31"/>
      <c r="D126" s="31"/>
      <c r="E126" s="56" t="str">
        <f aca="false">IFERROR(IF(COUNT(B126,C126,D126,F126,G126,H126)=0,"",ROUND((IF(B126="",70,MIN(B126/SleepGoal,1)*100))*0.25+(IF(C126="",70,MIN(C126/HRVGoal,1)*100))*0.2+(IF(D126="",70,MAX(0,MIN(1,(RHRPoor-D126)/(RHRPoor-RHRExcellent)))*100))*0.2+(IF(F126="",70,(5-F126)/4*100))*0.15+(IF(G126="",70,(5-G126)/4*100))*0.1+(IF(H126="",70,(5-H126)/4*100))*0.1,0)),"")</f>
        <v/>
      </c>
      <c r="F126" s="31"/>
      <c r="G126" s="31"/>
      <c r="H126" s="31"/>
      <c r="I126" s="32"/>
    </row>
    <row r="127" customFormat="false" ht="15" hidden="false" customHeight="false" outlineLevel="0" collapsed="false">
      <c r="A127" s="26" t="n">
        <f aca="false">'Daily Tracker'!A127</f>
        <v>46145</v>
      </c>
      <c r="B127" s="47" t="str">
        <f aca="false">IF('Daily Tracker'!F127="","",'Daily Tracker'!F127)</f>
        <v/>
      </c>
      <c r="C127" s="31"/>
      <c r="D127" s="31"/>
      <c r="E127" s="56" t="str">
        <f aca="false">IFERROR(IF(COUNT(B127,C127,D127,F127,G127,H127)=0,"",ROUND((IF(B127="",70,MIN(B127/SleepGoal,1)*100))*0.25+(IF(C127="",70,MIN(C127/HRVGoal,1)*100))*0.2+(IF(D127="",70,MAX(0,MIN(1,(RHRPoor-D127)/(RHRPoor-RHRExcellent)))*100))*0.2+(IF(F127="",70,(5-F127)/4*100))*0.15+(IF(G127="",70,(5-G127)/4*100))*0.1+(IF(H127="",70,(5-H127)/4*100))*0.1,0)),"")</f>
        <v/>
      </c>
      <c r="F127" s="31"/>
      <c r="G127" s="31"/>
      <c r="H127" s="31"/>
      <c r="I127" s="32"/>
    </row>
    <row r="128" customFormat="false" ht="15" hidden="false" customHeight="false" outlineLevel="0" collapsed="false">
      <c r="A128" s="35" t="n">
        <f aca="false">'Daily Tracker'!A128</f>
        <v>46146</v>
      </c>
      <c r="B128" s="48" t="str">
        <f aca="false">IF('Daily Tracker'!F128="","",'Daily Tracker'!F128)</f>
        <v/>
      </c>
      <c r="C128" s="31"/>
      <c r="D128" s="31"/>
      <c r="E128" s="56" t="str">
        <f aca="false">IFERROR(IF(COUNT(B128,C128,D128,F128,G128,H128)=0,"",ROUND((IF(B128="",70,MIN(B128/SleepGoal,1)*100))*0.25+(IF(C128="",70,MIN(C128/HRVGoal,1)*100))*0.2+(IF(D128="",70,MAX(0,MIN(1,(RHRPoor-D128)/(RHRPoor-RHRExcellent)))*100))*0.2+(IF(F128="",70,(5-F128)/4*100))*0.15+(IF(G128="",70,(5-G128)/4*100))*0.1+(IF(H128="",70,(5-H128)/4*100))*0.1,0)),"")</f>
        <v/>
      </c>
      <c r="F128" s="31"/>
      <c r="G128" s="31"/>
      <c r="H128" s="31"/>
      <c r="I128" s="32"/>
    </row>
    <row r="129" customFormat="false" ht="15" hidden="false" customHeight="false" outlineLevel="0" collapsed="false">
      <c r="A129" s="26" t="n">
        <f aca="false">'Daily Tracker'!A129</f>
        <v>46147</v>
      </c>
      <c r="B129" s="47" t="str">
        <f aca="false">IF('Daily Tracker'!F129="","",'Daily Tracker'!F129)</f>
        <v/>
      </c>
      <c r="C129" s="31"/>
      <c r="D129" s="31"/>
      <c r="E129" s="56" t="str">
        <f aca="false">IFERROR(IF(COUNT(B129,C129,D129,F129,G129,H129)=0,"",ROUND((IF(B129="",70,MIN(B129/SleepGoal,1)*100))*0.25+(IF(C129="",70,MIN(C129/HRVGoal,1)*100))*0.2+(IF(D129="",70,MAX(0,MIN(1,(RHRPoor-D129)/(RHRPoor-RHRExcellent)))*100))*0.2+(IF(F129="",70,(5-F129)/4*100))*0.15+(IF(G129="",70,(5-G129)/4*100))*0.1+(IF(H129="",70,(5-H129)/4*100))*0.1,0)),"")</f>
        <v/>
      </c>
      <c r="F129" s="31"/>
      <c r="G129" s="31"/>
      <c r="H129" s="31"/>
      <c r="I129" s="32"/>
    </row>
    <row r="130" customFormat="false" ht="15" hidden="false" customHeight="false" outlineLevel="0" collapsed="false">
      <c r="A130" s="35" t="n">
        <f aca="false">'Daily Tracker'!A130</f>
        <v>46148</v>
      </c>
      <c r="B130" s="48" t="str">
        <f aca="false">IF('Daily Tracker'!F130="","",'Daily Tracker'!F130)</f>
        <v/>
      </c>
      <c r="C130" s="31"/>
      <c r="D130" s="31"/>
      <c r="E130" s="56" t="str">
        <f aca="false">IFERROR(IF(COUNT(B130,C130,D130,F130,G130,H130)=0,"",ROUND((IF(B130="",70,MIN(B130/SleepGoal,1)*100))*0.25+(IF(C130="",70,MIN(C130/HRVGoal,1)*100))*0.2+(IF(D130="",70,MAX(0,MIN(1,(RHRPoor-D130)/(RHRPoor-RHRExcellent)))*100))*0.2+(IF(F130="",70,(5-F130)/4*100))*0.15+(IF(G130="",70,(5-G130)/4*100))*0.1+(IF(H130="",70,(5-H130)/4*100))*0.1,0)),"")</f>
        <v/>
      </c>
      <c r="F130" s="31"/>
      <c r="G130" s="31"/>
      <c r="H130" s="31"/>
      <c r="I130" s="32"/>
    </row>
    <row r="131" customFormat="false" ht="15" hidden="false" customHeight="false" outlineLevel="0" collapsed="false">
      <c r="A131" s="26" t="n">
        <f aca="false">'Daily Tracker'!A131</f>
        <v>46149</v>
      </c>
      <c r="B131" s="47" t="str">
        <f aca="false">IF('Daily Tracker'!F131="","",'Daily Tracker'!F131)</f>
        <v/>
      </c>
      <c r="C131" s="31"/>
      <c r="D131" s="31"/>
      <c r="E131" s="56" t="str">
        <f aca="false">IFERROR(IF(COUNT(B131,C131,D131,F131,G131,H131)=0,"",ROUND((IF(B131="",70,MIN(B131/SleepGoal,1)*100))*0.25+(IF(C131="",70,MIN(C131/HRVGoal,1)*100))*0.2+(IF(D131="",70,MAX(0,MIN(1,(RHRPoor-D131)/(RHRPoor-RHRExcellent)))*100))*0.2+(IF(F131="",70,(5-F131)/4*100))*0.15+(IF(G131="",70,(5-G131)/4*100))*0.1+(IF(H131="",70,(5-H131)/4*100))*0.1,0)),"")</f>
        <v/>
      </c>
      <c r="F131" s="31"/>
      <c r="G131" s="31"/>
      <c r="H131" s="31"/>
      <c r="I131" s="32"/>
    </row>
    <row r="132" customFormat="false" ht="15" hidden="false" customHeight="false" outlineLevel="0" collapsed="false">
      <c r="A132" s="35" t="n">
        <f aca="false">'Daily Tracker'!A132</f>
        <v>46150</v>
      </c>
      <c r="B132" s="48" t="str">
        <f aca="false">IF('Daily Tracker'!F132="","",'Daily Tracker'!F132)</f>
        <v/>
      </c>
      <c r="C132" s="31"/>
      <c r="D132" s="31"/>
      <c r="E132" s="56" t="str">
        <f aca="false">IFERROR(IF(COUNT(B132,C132,D132,F132,G132,H132)=0,"",ROUND((IF(B132="",70,MIN(B132/SleepGoal,1)*100))*0.25+(IF(C132="",70,MIN(C132/HRVGoal,1)*100))*0.2+(IF(D132="",70,MAX(0,MIN(1,(RHRPoor-D132)/(RHRPoor-RHRExcellent)))*100))*0.2+(IF(F132="",70,(5-F132)/4*100))*0.15+(IF(G132="",70,(5-G132)/4*100))*0.1+(IF(H132="",70,(5-H132)/4*100))*0.1,0)),"")</f>
        <v/>
      </c>
      <c r="F132" s="31"/>
      <c r="G132" s="31"/>
      <c r="H132" s="31"/>
      <c r="I132" s="32"/>
    </row>
    <row r="133" customFormat="false" ht="15" hidden="false" customHeight="false" outlineLevel="0" collapsed="false">
      <c r="A133" s="26" t="n">
        <f aca="false">'Daily Tracker'!A133</f>
        <v>46151</v>
      </c>
      <c r="B133" s="47" t="str">
        <f aca="false">IF('Daily Tracker'!F133="","",'Daily Tracker'!F133)</f>
        <v/>
      </c>
      <c r="C133" s="31"/>
      <c r="D133" s="31"/>
      <c r="E133" s="56" t="str">
        <f aca="false">IFERROR(IF(COUNT(B133,C133,D133,F133,G133,H133)=0,"",ROUND((IF(B133="",70,MIN(B133/SleepGoal,1)*100))*0.25+(IF(C133="",70,MIN(C133/HRVGoal,1)*100))*0.2+(IF(D133="",70,MAX(0,MIN(1,(RHRPoor-D133)/(RHRPoor-RHRExcellent)))*100))*0.2+(IF(F133="",70,(5-F133)/4*100))*0.15+(IF(G133="",70,(5-G133)/4*100))*0.1+(IF(H133="",70,(5-H133)/4*100))*0.1,0)),"")</f>
        <v/>
      </c>
      <c r="F133" s="31"/>
      <c r="G133" s="31"/>
      <c r="H133" s="31"/>
      <c r="I133" s="32"/>
    </row>
    <row r="134" customFormat="false" ht="15" hidden="false" customHeight="false" outlineLevel="0" collapsed="false">
      <c r="A134" s="35" t="n">
        <f aca="false">'Daily Tracker'!A134</f>
        <v>46152</v>
      </c>
      <c r="B134" s="48" t="str">
        <f aca="false">IF('Daily Tracker'!F134="","",'Daily Tracker'!F134)</f>
        <v/>
      </c>
      <c r="C134" s="31"/>
      <c r="D134" s="31"/>
      <c r="E134" s="56" t="str">
        <f aca="false">IFERROR(IF(COUNT(B134,C134,D134,F134,G134,H134)=0,"",ROUND((IF(B134="",70,MIN(B134/SleepGoal,1)*100))*0.25+(IF(C134="",70,MIN(C134/HRVGoal,1)*100))*0.2+(IF(D134="",70,MAX(0,MIN(1,(RHRPoor-D134)/(RHRPoor-RHRExcellent)))*100))*0.2+(IF(F134="",70,(5-F134)/4*100))*0.15+(IF(G134="",70,(5-G134)/4*100))*0.1+(IF(H134="",70,(5-H134)/4*100))*0.1,0)),"")</f>
        <v/>
      </c>
      <c r="F134" s="31"/>
      <c r="G134" s="31"/>
      <c r="H134" s="31"/>
      <c r="I134" s="32"/>
    </row>
    <row r="135" customFormat="false" ht="15" hidden="false" customHeight="false" outlineLevel="0" collapsed="false">
      <c r="A135" s="26" t="n">
        <f aca="false">'Daily Tracker'!A135</f>
        <v>46153</v>
      </c>
      <c r="B135" s="47" t="str">
        <f aca="false">IF('Daily Tracker'!F135="","",'Daily Tracker'!F135)</f>
        <v/>
      </c>
      <c r="C135" s="31"/>
      <c r="D135" s="31"/>
      <c r="E135" s="56" t="str">
        <f aca="false">IFERROR(IF(COUNT(B135,C135,D135,F135,G135,H135)=0,"",ROUND((IF(B135="",70,MIN(B135/SleepGoal,1)*100))*0.25+(IF(C135="",70,MIN(C135/HRVGoal,1)*100))*0.2+(IF(D135="",70,MAX(0,MIN(1,(RHRPoor-D135)/(RHRPoor-RHRExcellent)))*100))*0.2+(IF(F135="",70,(5-F135)/4*100))*0.15+(IF(G135="",70,(5-G135)/4*100))*0.1+(IF(H135="",70,(5-H135)/4*100))*0.1,0)),"")</f>
        <v/>
      </c>
      <c r="F135" s="31"/>
      <c r="G135" s="31"/>
      <c r="H135" s="31"/>
      <c r="I135" s="32"/>
    </row>
    <row r="136" customFormat="false" ht="15" hidden="false" customHeight="false" outlineLevel="0" collapsed="false">
      <c r="A136" s="35" t="n">
        <f aca="false">'Daily Tracker'!A136</f>
        <v>46154</v>
      </c>
      <c r="B136" s="48" t="str">
        <f aca="false">IF('Daily Tracker'!F136="","",'Daily Tracker'!F136)</f>
        <v/>
      </c>
      <c r="C136" s="31"/>
      <c r="D136" s="31"/>
      <c r="E136" s="56" t="str">
        <f aca="false">IFERROR(IF(COUNT(B136,C136,D136,F136,G136,H136)=0,"",ROUND((IF(B136="",70,MIN(B136/SleepGoal,1)*100))*0.25+(IF(C136="",70,MIN(C136/HRVGoal,1)*100))*0.2+(IF(D136="",70,MAX(0,MIN(1,(RHRPoor-D136)/(RHRPoor-RHRExcellent)))*100))*0.2+(IF(F136="",70,(5-F136)/4*100))*0.15+(IF(G136="",70,(5-G136)/4*100))*0.1+(IF(H136="",70,(5-H136)/4*100))*0.1,0)),"")</f>
        <v/>
      </c>
      <c r="F136" s="31"/>
      <c r="G136" s="31"/>
      <c r="H136" s="31"/>
      <c r="I136" s="32"/>
    </row>
    <row r="137" customFormat="false" ht="15" hidden="false" customHeight="false" outlineLevel="0" collapsed="false">
      <c r="A137" s="26" t="n">
        <f aca="false">'Daily Tracker'!A137</f>
        <v>46155</v>
      </c>
      <c r="B137" s="47" t="str">
        <f aca="false">IF('Daily Tracker'!F137="","",'Daily Tracker'!F137)</f>
        <v/>
      </c>
      <c r="C137" s="31"/>
      <c r="D137" s="31"/>
      <c r="E137" s="56" t="str">
        <f aca="false">IFERROR(IF(COUNT(B137,C137,D137,F137,G137,H137)=0,"",ROUND((IF(B137="",70,MIN(B137/SleepGoal,1)*100))*0.25+(IF(C137="",70,MIN(C137/HRVGoal,1)*100))*0.2+(IF(D137="",70,MAX(0,MIN(1,(RHRPoor-D137)/(RHRPoor-RHRExcellent)))*100))*0.2+(IF(F137="",70,(5-F137)/4*100))*0.15+(IF(G137="",70,(5-G137)/4*100))*0.1+(IF(H137="",70,(5-H137)/4*100))*0.1,0)),"")</f>
        <v/>
      </c>
      <c r="F137" s="31"/>
      <c r="G137" s="31"/>
      <c r="H137" s="31"/>
      <c r="I137" s="32"/>
    </row>
    <row r="138" customFormat="false" ht="15" hidden="false" customHeight="false" outlineLevel="0" collapsed="false">
      <c r="A138" s="35" t="n">
        <f aca="false">'Daily Tracker'!A138</f>
        <v>46156</v>
      </c>
      <c r="B138" s="48" t="str">
        <f aca="false">IF('Daily Tracker'!F138="","",'Daily Tracker'!F138)</f>
        <v/>
      </c>
      <c r="C138" s="31"/>
      <c r="D138" s="31"/>
      <c r="E138" s="56" t="str">
        <f aca="false">IFERROR(IF(COUNT(B138,C138,D138,F138,G138,H138)=0,"",ROUND((IF(B138="",70,MIN(B138/SleepGoal,1)*100))*0.25+(IF(C138="",70,MIN(C138/HRVGoal,1)*100))*0.2+(IF(D138="",70,MAX(0,MIN(1,(RHRPoor-D138)/(RHRPoor-RHRExcellent)))*100))*0.2+(IF(F138="",70,(5-F138)/4*100))*0.15+(IF(G138="",70,(5-G138)/4*100))*0.1+(IF(H138="",70,(5-H138)/4*100))*0.1,0)),"")</f>
        <v/>
      </c>
      <c r="F138" s="31"/>
      <c r="G138" s="31"/>
      <c r="H138" s="31"/>
      <c r="I138" s="32"/>
    </row>
    <row r="139" customFormat="false" ht="15" hidden="false" customHeight="false" outlineLevel="0" collapsed="false">
      <c r="A139" s="26" t="n">
        <f aca="false">'Daily Tracker'!A139</f>
        <v>46157</v>
      </c>
      <c r="B139" s="47" t="str">
        <f aca="false">IF('Daily Tracker'!F139="","",'Daily Tracker'!F139)</f>
        <v/>
      </c>
      <c r="C139" s="31"/>
      <c r="D139" s="31"/>
      <c r="E139" s="56" t="str">
        <f aca="false">IFERROR(IF(COUNT(B139,C139,D139,F139,G139,H139)=0,"",ROUND((IF(B139="",70,MIN(B139/SleepGoal,1)*100))*0.25+(IF(C139="",70,MIN(C139/HRVGoal,1)*100))*0.2+(IF(D139="",70,MAX(0,MIN(1,(RHRPoor-D139)/(RHRPoor-RHRExcellent)))*100))*0.2+(IF(F139="",70,(5-F139)/4*100))*0.15+(IF(G139="",70,(5-G139)/4*100))*0.1+(IF(H139="",70,(5-H139)/4*100))*0.1,0)),"")</f>
        <v/>
      </c>
      <c r="F139" s="31"/>
      <c r="G139" s="31"/>
      <c r="H139" s="31"/>
      <c r="I139" s="32"/>
    </row>
    <row r="140" customFormat="false" ht="15" hidden="false" customHeight="false" outlineLevel="0" collapsed="false">
      <c r="A140" s="35" t="n">
        <f aca="false">'Daily Tracker'!A140</f>
        <v>46158</v>
      </c>
      <c r="B140" s="48" t="str">
        <f aca="false">IF('Daily Tracker'!F140="","",'Daily Tracker'!F140)</f>
        <v/>
      </c>
      <c r="C140" s="31"/>
      <c r="D140" s="31"/>
      <c r="E140" s="56" t="str">
        <f aca="false">IFERROR(IF(COUNT(B140,C140,D140,F140,G140,H140)=0,"",ROUND((IF(B140="",70,MIN(B140/SleepGoal,1)*100))*0.25+(IF(C140="",70,MIN(C140/HRVGoal,1)*100))*0.2+(IF(D140="",70,MAX(0,MIN(1,(RHRPoor-D140)/(RHRPoor-RHRExcellent)))*100))*0.2+(IF(F140="",70,(5-F140)/4*100))*0.15+(IF(G140="",70,(5-G140)/4*100))*0.1+(IF(H140="",70,(5-H140)/4*100))*0.1,0)),"")</f>
        <v/>
      </c>
      <c r="F140" s="31"/>
      <c r="G140" s="31"/>
      <c r="H140" s="31"/>
      <c r="I140" s="32"/>
    </row>
    <row r="141" customFormat="false" ht="15" hidden="false" customHeight="false" outlineLevel="0" collapsed="false">
      <c r="A141" s="26" t="n">
        <f aca="false">'Daily Tracker'!A141</f>
        <v>46159</v>
      </c>
      <c r="B141" s="47" t="str">
        <f aca="false">IF('Daily Tracker'!F141="","",'Daily Tracker'!F141)</f>
        <v/>
      </c>
      <c r="C141" s="31"/>
      <c r="D141" s="31"/>
      <c r="E141" s="56" t="str">
        <f aca="false">IFERROR(IF(COUNT(B141,C141,D141,F141,G141,H141)=0,"",ROUND((IF(B141="",70,MIN(B141/SleepGoal,1)*100))*0.25+(IF(C141="",70,MIN(C141/HRVGoal,1)*100))*0.2+(IF(D141="",70,MAX(0,MIN(1,(RHRPoor-D141)/(RHRPoor-RHRExcellent)))*100))*0.2+(IF(F141="",70,(5-F141)/4*100))*0.15+(IF(G141="",70,(5-G141)/4*100))*0.1+(IF(H141="",70,(5-H141)/4*100))*0.1,0)),"")</f>
        <v/>
      </c>
      <c r="F141" s="31"/>
      <c r="G141" s="31"/>
      <c r="H141" s="31"/>
      <c r="I141" s="32"/>
    </row>
    <row r="142" customFormat="false" ht="15" hidden="false" customHeight="false" outlineLevel="0" collapsed="false">
      <c r="A142" s="35" t="n">
        <f aca="false">'Daily Tracker'!A142</f>
        <v>46160</v>
      </c>
      <c r="B142" s="48" t="str">
        <f aca="false">IF('Daily Tracker'!F142="","",'Daily Tracker'!F142)</f>
        <v/>
      </c>
      <c r="C142" s="31"/>
      <c r="D142" s="31"/>
      <c r="E142" s="56" t="str">
        <f aca="false">IFERROR(IF(COUNT(B142,C142,D142,F142,G142,H142)=0,"",ROUND((IF(B142="",70,MIN(B142/SleepGoal,1)*100))*0.25+(IF(C142="",70,MIN(C142/HRVGoal,1)*100))*0.2+(IF(D142="",70,MAX(0,MIN(1,(RHRPoor-D142)/(RHRPoor-RHRExcellent)))*100))*0.2+(IF(F142="",70,(5-F142)/4*100))*0.15+(IF(G142="",70,(5-G142)/4*100))*0.1+(IF(H142="",70,(5-H142)/4*100))*0.1,0)),"")</f>
        <v/>
      </c>
      <c r="F142" s="31"/>
      <c r="G142" s="31"/>
      <c r="H142" s="31"/>
      <c r="I142" s="32"/>
    </row>
    <row r="143" customFormat="false" ht="15" hidden="false" customHeight="false" outlineLevel="0" collapsed="false">
      <c r="A143" s="26" t="n">
        <f aca="false">'Daily Tracker'!A143</f>
        <v>46161</v>
      </c>
      <c r="B143" s="47" t="str">
        <f aca="false">IF('Daily Tracker'!F143="","",'Daily Tracker'!F143)</f>
        <v/>
      </c>
      <c r="C143" s="31"/>
      <c r="D143" s="31"/>
      <c r="E143" s="56" t="str">
        <f aca="false">IFERROR(IF(COUNT(B143,C143,D143,F143,G143,H143)=0,"",ROUND((IF(B143="",70,MIN(B143/SleepGoal,1)*100))*0.25+(IF(C143="",70,MIN(C143/HRVGoal,1)*100))*0.2+(IF(D143="",70,MAX(0,MIN(1,(RHRPoor-D143)/(RHRPoor-RHRExcellent)))*100))*0.2+(IF(F143="",70,(5-F143)/4*100))*0.15+(IF(G143="",70,(5-G143)/4*100))*0.1+(IF(H143="",70,(5-H143)/4*100))*0.1,0)),"")</f>
        <v/>
      </c>
      <c r="F143" s="31"/>
      <c r="G143" s="31"/>
      <c r="H143" s="31"/>
      <c r="I143" s="32"/>
    </row>
    <row r="144" customFormat="false" ht="15" hidden="false" customHeight="false" outlineLevel="0" collapsed="false">
      <c r="A144" s="35" t="n">
        <f aca="false">'Daily Tracker'!A144</f>
        <v>46162</v>
      </c>
      <c r="B144" s="48" t="str">
        <f aca="false">IF('Daily Tracker'!F144="","",'Daily Tracker'!F144)</f>
        <v/>
      </c>
      <c r="C144" s="31"/>
      <c r="D144" s="31"/>
      <c r="E144" s="56" t="str">
        <f aca="false">IFERROR(IF(COUNT(B144,C144,D144,F144,G144,H144)=0,"",ROUND((IF(B144="",70,MIN(B144/SleepGoal,1)*100))*0.25+(IF(C144="",70,MIN(C144/HRVGoal,1)*100))*0.2+(IF(D144="",70,MAX(0,MIN(1,(RHRPoor-D144)/(RHRPoor-RHRExcellent)))*100))*0.2+(IF(F144="",70,(5-F144)/4*100))*0.15+(IF(G144="",70,(5-G144)/4*100))*0.1+(IF(H144="",70,(5-H144)/4*100))*0.1,0)),"")</f>
        <v/>
      </c>
      <c r="F144" s="31"/>
      <c r="G144" s="31"/>
      <c r="H144" s="31"/>
      <c r="I144" s="32"/>
    </row>
    <row r="145" customFormat="false" ht="15" hidden="false" customHeight="false" outlineLevel="0" collapsed="false">
      <c r="A145" s="26" t="n">
        <f aca="false">'Daily Tracker'!A145</f>
        <v>46163</v>
      </c>
      <c r="B145" s="47" t="str">
        <f aca="false">IF('Daily Tracker'!F145="","",'Daily Tracker'!F145)</f>
        <v/>
      </c>
      <c r="C145" s="31"/>
      <c r="D145" s="31"/>
      <c r="E145" s="56" t="str">
        <f aca="false">IFERROR(IF(COUNT(B145,C145,D145,F145,G145,H145)=0,"",ROUND((IF(B145="",70,MIN(B145/SleepGoal,1)*100))*0.25+(IF(C145="",70,MIN(C145/HRVGoal,1)*100))*0.2+(IF(D145="",70,MAX(0,MIN(1,(RHRPoor-D145)/(RHRPoor-RHRExcellent)))*100))*0.2+(IF(F145="",70,(5-F145)/4*100))*0.15+(IF(G145="",70,(5-G145)/4*100))*0.1+(IF(H145="",70,(5-H145)/4*100))*0.1,0)),"")</f>
        <v/>
      </c>
      <c r="F145" s="31"/>
      <c r="G145" s="31"/>
      <c r="H145" s="31"/>
      <c r="I145" s="32"/>
    </row>
    <row r="146" customFormat="false" ht="15" hidden="false" customHeight="false" outlineLevel="0" collapsed="false">
      <c r="A146" s="35" t="n">
        <f aca="false">'Daily Tracker'!A146</f>
        <v>46164</v>
      </c>
      <c r="B146" s="48" t="str">
        <f aca="false">IF('Daily Tracker'!F146="","",'Daily Tracker'!F146)</f>
        <v/>
      </c>
      <c r="C146" s="31"/>
      <c r="D146" s="31"/>
      <c r="E146" s="56" t="str">
        <f aca="false">IFERROR(IF(COUNT(B146,C146,D146,F146,G146,H146)=0,"",ROUND((IF(B146="",70,MIN(B146/SleepGoal,1)*100))*0.25+(IF(C146="",70,MIN(C146/HRVGoal,1)*100))*0.2+(IF(D146="",70,MAX(0,MIN(1,(RHRPoor-D146)/(RHRPoor-RHRExcellent)))*100))*0.2+(IF(F146="",70,(5-F146)/4*100))*0.15+(IF(G146="",70,(5-G146)/4*100))*0.1+(IF(H146="",70,(5-H146)/4*100))*0.1,0)),"")</f>
        <v/>
      </c>
      <c r="F146" s="31"/>
      <c r="G146" s="31"/>
      <c r="H146" s="31"/>
      <c r="I146" s="32"/>
    </row>
    <row r="147" customFormat="false" ht="15" hidden="false" customHeight="false" outlineLevel="0" collapsed="false">
      <c r="A147" s="26" t="n">
        <f aca="false">'Daily Tracker'!A147</f>
        <v>46165</v>
      </c>
      <c r="B147" s="47" t="str">
        <f aca="false">IF('Daily Tracker'!F147="","",'Daily Tracker'!F147)</f>
        <v/>
      </c>
      <c r="C147" s="31"/>
      <c r="D147" s="31"/>
      <c r="E147" s="56" t="str">
        <f aca="false">IFERROR(IF(COUNT(B147,C147,D147,F147,G147,H147)=0,"",ROUND((IF(B147="",70,MIN(B147/SleepGoal,1)*100))*0.25+(IF(C147="",70,MIN(C147/HRVGoal,1)*100))*0.2+(IF(D147="",70,MAX(0,MIN(1,(RHRPoor-D147)/(RHRPoor-RHRExcellent)))*100))*0.2+(IF(F147="",70,(5-F147)/4*100))*0.15+(IF(G147="",70,(5-G147)/4*100))*0.1+(IF(H147="",70,(5-H147)/4*100))*0.1,0)),"")</f>
        <v/>
      </c>
      <c r="F147" s="31"/>
      <c r="G147" s="31"/>
      <c r="H147" s="31"/>
      <c r="I147" s="32"/>
    </row>
    <row r="148" customFormat="false" ht="15" hidden="false" customHeight="false" outlineLevel="0" collapsed="false">
      <c r="A148" s="35" t="n">
        <f aca="false">'Daily Tracker'!A148</f>
        <v>46166</v>
      </c>
      <c r="B148" s="48" t="str">
        <f aca="false">IF('Daily Tracker'!F148="","",'Daily Tracker'!F148)</f>
        <v/>
      </c>
      <c r="C148" s="31"/>
      <c r="D148" s="31"/>
      <c r="E148" s="56" t="str">
        <f aca="false">IFERROR(IF(COUNT(B148,C148,D148,F148,G148,H148)=0,"",ROUND((IF(B148="",70,MIN(B148/SleepGoal,1)*100))*0.25+(IF(C148="",70,MIN(C148/HRVGoal,1)*100))*0.2+(IF(D148="",70,MAX(0,MIN(1,(RHRPoor-D148)/(RHRPoor-RHRExcellent)))*100))*0.2+(IF(F148="",70,(5-F148)/4*100))*0.15+(IF(G148="",70,(5-G148)/4*100))*0.1+(IF(H148="",70,(5-H148)/4*100))*0.1,0)),"")</f>
        <v/>
      </c>
      <c r="F148" s="31"/>
      <c r="G148" s="31"/>
      <c r="H148" s="31"/>
      <c r="I148" s="32"/>
    </row>
    <row r="149" customFormat="false" ht="15" hidden="false" customHeight="false" outlineLevel="0" collapsed="false">
      <c r="A149" s="26" t="n">
        <f aca="false">'Daily Tracker'!A149</f>
        <v>46167</v>
      </c>
      <c r="B149" s="47" t="str">
        <f aca="false">IF('Daily Tracker'!F149="","",'Daily Tracker'!F149)</f>
        <v/>
      </c>
      <c r="C149" s="31"/>
      <c r="D149" s="31"/>
      <c r="E149" s="56" t="str">
        <f aca="false">IFERROR(IF(COUNT(B149,C149,D149,F149,G149,H149)=0,"",ROUND((IF(B149="",70,MIN(B149/SleepGoal,1)*100))*0.25+(IF(C149="",70,MIN(C149/HRVGoal,1)*100))*0.2+(IF(D149="",70,MAX(0,MIN(1,(RHRPoor-D149)/(RHRPoor-RHRExcellent)))*100))*0.2+(IF(F149="",70,(5-F149)/4*100))*0.15+(IF(G149="",70,(5-G149)/4*100))*0.1+(IF(H149="",70,(5-H149)/4*100))*0.1,0)),"")</f>
        <v/>
      </c>
      <c r="F149" s="31"/>
      <c r="G149" s="31"/>
      <c r="H149" s="31"/>
      <c r="I149" s="32"/>
    </row>
    <row r="150" customFormat="false" ht="15" hidden="false" customHeight="false" outlineLevel="0" collapsed="false">
      <c r="A150" s="35" t="n">
        <f aca="false">'Daily Tracker'!A150</f>
        <v>46168</v>
      </c>
      <c r="B150" s="48" t="str">
        <f aca="false">IF('Daily Tracker'!F150="","",'Daily Tracker'!F150)</f>
        <v/>
      </c>
      <c r="C150" s="31"/>
      <c r="D150" s="31"/>
      <c r="E150" s="56" t="str">
        <f aca="false">IFERROR(IF(COUNT(B150,C150,D150,F150,G150,H150)=0,"",ROUND((IF(B150="",70,MIN(B150/SleepGoal,1)*100))*0.25+(IF(C150="",70,MIN(C150/HRVGoal,1)*100))*0.2+(IF(D150="",70,MAX(0,MIN(1,(RHRPoor-D150)/(RHRPoor-RHRExcellent)))*100))*0.2+(IF(F150="",70,(5-F150)/4*100))*0.15+(IF(G150="",70,(5-G150)/4*100))*0.1+(IF(H150="",70,(5-H150)/4*100))*0.1,0)),"")</f>
        <v/>
      </c>
      <c r="F150" s="31"/>
      <c r="G150" s="31"/>
      <c r="H150" s="31"/>
      <c r="I150" s="32"/>
    </row>
    <row r="151" customFormat="false" ht="15" hidden="false" customHeight="false" outlineLevel="0" collapsed="false">
      <c r="A151" s="26" t="n">
        <f aca="false">'Daily Tracker'!A151</f>
        <v>46169</v>
      </c>
      <c r="B151" s="47" t="str">
        <f aca="false">IF('Daily Tracker'!F151="","",'Daily Tracker'!F151)</f>
        <v/>
      </c>
      <c r="C151" s="31"/>
      <c r="D151" s="31"/>
      <c r="E151" s="56" t="str">
        <f aca="false">IFERROR(IF(COUNT(B151,C151,D151,F151,G151,H151)=0,"",ROUND((IF(B151="",70,MIN(B151/SleepGoal,1)*100))*0.25+(IF(C151="",70,MIN(C151/HRVGoal,1)*100))*0.2+(IF(D151="",70,MAX(0,MIN(1,(RHRPoor-D151)/(RHRPoor-RHRExcellent)))*100))*0.2+(IF(F151="",70,(5-F151)/4*100))*0.15+(IF(G151="",70,(5-G151)/4*100))*0.1+(IF(H151="",70,(5-H151)/4*100))*0.1,0)),"")</f>
        <v/>
      </c>
      <c r="F151" s="31"/>
      <c r="G151" s="31"/>
      <c r="H151" s="31"/>
      <c r="I151" s="32"/>
    </row>
    <row r="152" customFormat="false" ht="15" hidden="false" customHeight="false" outlineLevel="0" collapsed="false">
      <c r="A152" s="35" t="n">
        <f aca="false">'Daily Tracker'!A152</f>
        <v>46170</v>
      </c>
      <c r="B152" s="48" t="str">
        <f aca="false">IF('Daily Tracker'!F152="","",'Daily Tracker'!F152)</f>
        <v/>
      </c>
      <c r="C152" s="31"/>
      <c r="D152" s="31"/>
      <c r="E152" s="56" t="str">
        <f aca="false">IFERROR(IF(COUNT(B152,C152,D152,F152,G152,H152)=0,"",ROUND((IF(B152="",70,MIN(B152/SleepGoal,1)*100))*0.25+(IF(C152="",70,MIN(C152/HRVGoal,1)*100))*0.2+(IF(D152="",70,MAX(0,MIN(1,(RHRPoor-D152)/(RHRPoor-RHRExcellent)))*100))*0.2+(IF(F152="",70,(5-F152)/4*100))*0.15+(IF(G152="",70,(5-G152)/4*100))*0.1+(IF(H152="",70,(5-H152)/4*100))*0.1,0)),"")</f>
        <v/>
      </c>
      <c r="F152" s="31"/>
      <c r="G152" s="31"/>
      <c r="H152" s="31"/>
      <c r="I152" s="32"/>
    </row>
    <row r="153" customFormat="false" ht="15" hidden="false" customHeight="false" outlineLevel="0" collapsed="false">
      <c r="A153" s="26" t="n">
        <f aca="false">'Daily Tracker'!A153</f>
        <v>46171</v>
      </c>
      <c r="B153" s="47" t="str">
        <f aca="false">IF('Daily Tracker'!F153="","",'Daily Tracker'!F153)</f>
        <v/>
      </c>
      <c r="C153" s="31"/>
      <c r="D153" s="31"/>
      <c r="E153" s="56" t="str">
        <f aca="false">IFERROR(IF(COUNT(B153,C153,D153,F153,G153,H153)=0,"",ROUND((IF(B153="",70,MIN(B153/SleepGoal,1)*100))*0.25+(IF(C153="",70,MIN(C153/HRVGoal,1)*100))*0.2+(IF(D153="",70,MAX(0,MIN(1,(RHRPoor-D153)/(RHRPoor-RHRExcellent)))*100))*0.2+(IF(F153="",70,(5-F153)/4*100))*0.15+(IF(G153="",70,(5-G153)/4*100))*0.1+(IF(H153="",70,(5-H153)/4*100))*0.1,0)),"")</f>
        <v/>
      </c>
      <c r="F153" s="31"/>
      <c r="G153" s="31"/>
      <c r="H153" s="31"/>
      <c r="I153" s="32"/>
    </row>
    <row r="154" customFormat="false" ht="15" hidden="false" customHeight="false" outlineLevel="0" collapsed="false">
      <c r="A154" s="35" t="n">
        <f aca="false">'Daily Tracker'!A154</f>
        <v>46172</v>
      </c>
      <c r="B154" s="48" t="str">
        <f aca="false">IF('Daily Tracker'!F154="","",'Daily Tracker'!F154)</f>
        <v/>
      </c>
      <c r="C154" s="31"/>
      <c r="D154" s="31"/>
      <c r="E154" s="56" t="str">
        <f aca="false">IFERROR(IF(COUNT(B154,C154,D154,F154,G154,H154)=0,"",ROUND((IF(B154="",70,MIN(B154/SleepGoal,1)*100))*0.25+(IF(C154="",70,MIN(C154/HRVGoal,1)*100))*0.2+(IF(D154="",70,MAX(0,MIN(1,(RHRPoor-D154)/(RHRPoor-RHRExcellent)))*100))*0.2+(IF(F154="",70,(5-F154)/4*100))*0.15+(IF(G154="",70,(5-G154)/4*100))*0.1+(IF(H154="",70,(5-H154)/4*100))*0.1,0)),"")</f>
        <v/>
      </c>
      <c r="F154" s="31"/>
      <c r="G154" s="31"/>
      <c r="H154" s="31"/>
      <c r="I154" s="32"/>
    </row>
    <row r="155" customFormat="false" ht="15" hidden="false" customHeight="false" outlineLevel="0" collapsed="false">
      <c r="A155" s="26" t="n">
        <f aca="false">'Daily Tracker'!A155</f>
        <v>46173</v>
      </c>
      <c r="B155" s="47" t="str">
        <f aca="false">IF('Daily Tracker'!F155="","",'Daily Tracker'!F155)</f>
        <v/>
      </c>
      <c r="C155" s="31"/>
      <c r="D155" s="31"/>
      <c r="E155" s="56" t="str">
        <f aca="false">IFERROR(IF(COUNT(B155,C155,D155,F155,G155,H155)=0,"",ROUND((IF(B155="",70,MIN(B155/SleepGoal,1)*100))*0.25+(IF(C155="",70,MIN(C155/HRVGoal,1)*100))*0.2+(IF(D155="",70,MAX(0,MIN(1,(RHRPoor-D155)/(RHRPoor-RHRExcellent)))*100))*0.2+(IF(F155="",70,(5-F155)/4*100))*0.15+(IF(G155="",70,(5-G155)/4*100))*0.1+(IF(H155="",70,(5-H155)/4*100))*0.1,0)),"")</f>
        <v/>
      </c>
      <c r="F155" s="31"/>
      <c r="G155" s="31"/>
      <c r="H155" s="31"/>
      <c r="I155" s="32"/>
    </row>
    <row r="156" customFormat="false" ht="15" hidden="false" customHeight="false" outlineLevel="0" collapsed="false">
      <c r="A156" s="35" t="n">
        <f aca="false">'Daily Tracker'!A156</f>
        <v>46174</v>
      </c>
      <c r="B156" s="48" t="str">
        <f aca="false">IF('Daily Tracker'!F156="","",'Daily Tracker'!F156)</f>
        <v/>
      </c>
      <c r="C156" s="31"/>
      <c r="D156" s="31"/>
      <c r="E156" s="56" t="str">
        <f aca="false">IFERROR(IF(COUNT(B156,C156,D156,F156,G156,H156)=0,"",ROUND((IF(B156="",70,MIN(B156/SleepGoal,1)*100))*0.25+(IF(C156="",70,MIN(C156/HRVGoal,1)*100))*0.2+(IF(D156="",70,MAX(0,MIN(1,(RHRPoor-D156)/(RHRPoor-RHRExcellent)))*100))*0.2+(IF(F156="",70,(5-F156)/4*100))*0.15+(IF(G156="",70,(5-G156)/4*100))*0.1+(IF(H156="",70,(5-H156)/4*100))*0.1,0)),"")</f>
        <v/>
      </c>
      <c r="F156" s="31"/>
      <c r="G156" s="31"/>
      <c r="H156" s="31"/>
      <c r="I156" s="32"/>
    </row>
    <row r="157" customFormat="false" ht="15" hidden="false" customHeight="false" outlineLevel="0" collapsed="false">
      <c r="A157" s="26" t="n">
        <f aca="false">'Daily Tracker'!A157</f>
        <v>46175</v>
      </c>
      <c r="B157" s="47" t="str">
        <f aca="false">IF('Daily Tracker'!F157="","",'Daily Tracker'!F157)</f>
        <v/>
      </c>
      <c r="C157" s="31"/>
      <c r="D157" s="31"/>
      <c r="E157" s="56" t="str">
        <f aca="false">IFERROR(IF(COUNT(B157,C157,D157,F157,G157,H157)=0,"",ROUND((IF(B157="",70,MIN(B157/SleepGoal,1)*100))*0.25+(IF(C157="",70,MIN(C157/HRVGoal,1)*100))*0.2+(IF(D157="",70,MAX(0,MIN(1,(RHRPoor-D157)/(RHRPoor-RHRExcellent)))*100))*0.2+(IF(F157="",70,(5-F157)/4*100))*0.15+(IF(G157="",70,(5-G157)/4*100))*0.1+(IF(H157="",70,(5-H157)/4*100))*0.1,0)),"")</f>
        <v/>
      </c>
      <c r="F157" s="31"/>
      <c r="G157" s="31"/>
      <c r="H157" s="31"/>
      <c r="I157" s="32"/>
    </row>
    <row r="158" customFormat="false" ht="15" hidden="false" customHeight="false" outlineLevel="0" collapsed="false">
      <c r="A158" s="35" t="n">
        <f aca="false">'Daily Tracker'!A158</f>
        <v>46176</v>
      </c>
      <c r="B158" s="48" t="str">
        <f aca="false">IF('Daily Tracker'!F158="","",'Daily Tracker'!F158)</f>
        <v/>
      </c>
      <c r="C158" s="31"/>
      <c r="D158" s="31"/>
      <c r="E158" s="56" t="str">
        <f aca="false">IFERROR(IF(COUNT(B158,C158,D158,F158,G158,H158)=0,"",ROUND((IF(B158="",70,MIN(B158/SleepGoal,1)*100))*0.25+(IF(C158="",70,MIN(C158/HRVGoal,1)*100))*0.2+(IF(D158="",70,MAX(0,MIN(1,(RHRPoor-D158)/(RHRPoor-RHRExcellent)))*100))*0.2+(IF(F158="",70,(5-F158)/4*100))*0.15+(IF(G158="",70,(5-G158)/4*100))*0.1+(IF(H158="",70,(5-H158)/4*100))*0.1,0)),"")</f>
        <v/>
      </c>
      <c r="F158" s="31"/>
      <c r="G158" s="31"/>
      <c r="H158" s="31"/>
      <c r="I158" s="32"/>
    </row>
    <row r="159" customFormat="false" ht="15" hidden="false" customHeight="false" outlineLevel="0" collapsed="false">
      <c r="A159" s="26" t="n">
        <f aca="false">'Daily Tracker'!A159</f>
        <v>46177</v>
      </c>
      <c r="B159" s="47" t="str">
        <f aca="false">IF('Daily Tracker'!F159="","",'Daily Tracker'!F159)</f>
        <v/>
      </c>
      <c r="C159" s="31"/>
      <c r="D159" s="31"/>
      <c r="E159" s="56" t="str">
        <f aca="false">IFERROR(IF(COUNT(B159,C159,D159,F159,G159,H159)=0,"",ROUND((IF(B159="",70,MIN(B159/SleepGoal,1)*100))*0.25+(IF(C159="",70,MIN(C159/HRVGoal,1)*100))*0.2+(IF(D159="",70,MAX(0,MIN(1,(RHRPoor-D159)/(RHRPoor-RHRExcellent)))*100))*0.2+(IF(F159="",70,(5-F159)/4*100))*0.15+(IF(G159="",70,(5-G159)/4*100))*0.1+(IF(H159="",70,(5-H159)/4*100))*0.1,0)),"")</f>
        <v/>
      </c>
      <c r="F159" s="31"/>
      <c r="G159" s="31"/>
      <c r="H159" s="31"/>
      <c r="I159" s="32"/>
    </row>
    <row r="160" customFormat="false" ht="15" hidden="false" customHeight="false" outlineLevel="0" collapsed="false">
      <c r="A160" s="35" t="n">
        <f aca="false">'Daily Tracker'!A160</f>
        <v>46178</v>
      </c>
      <c r="B160" s="48" t="str">
        <f aca="false">IF('Daily Tracker'!F160="","",'Daily Tracker'!F160)</f>
        <v/>
      </c>
      <c r="C160" s="31"/>
      <c r="D160" s="31"/>
      <c r="E160" s="56" t="str">
        <f aca="false">IFERROR(IF(COUNT(B160,C160,D160,F160,G160,H160)=0,"",ROUND((IF(B160="",70,MIN(B160/SleepGoal,1)*100))*0.25+(IF(C160="",70,MIN(C160/HRVGoal,1)*100))*0.2+(IF(D160="",70,MAX(0,MIN(1,(RHRPoor-D160)/(RHRPoor-RHRExcellent)))*100))*0.2+(IF(F160="",70,(5-F160)/4*100))*0.15+(IF(G160="",70,(5-G160)/4*100))*0.1+(IF(H160="",70,(5-H160)/4*100))*0.1,0)),"")</f>
        <v/>
      </c>
      <c r="F160" s="31"/>
      <c r="G160" s="31"/>
      <c r="H160" s="31"/>
      <c r="I160" s="32"/>
    </row>
    <row r="161" customFormat="false" ht="15" hidden="false" customHeight="false" outlineLevel="0" collapsed="false">
      <c r="A161" s="26" t="n">
        <f aca="false">'Daily Tracker'!A161</f>
        <v>46179</v>
      </c>
      <c r="B161" s="47" t="str">
        <f aca="false">IF('Daily Tracker'!F161="","",'Daily Tracker'!F161)</f>
        <v/>
      </c>
      <c r="C161" s="31"/>
      <c r="D161" s="31"/>
      <c r="E161" s="56" t="str">
        <f aca="false">IFERROR(IF(COUNT(B161,C161,D161,F161,G161,H161)=0,"",ROUND((IF(B161="",70,MIN(B161/SleepGoal,1)*100))*0.25+(IF(C161="",70,MIN(C161/HRVGoal,1)*100))*0.2+(IF(D161="",70,MAX(0,MIN(1,(RHRPoor-D161)/(RHRPoor-RHRExcellent)))*100))*0.2+(IF(F161="",70,(5-F161)/4*100))*0.15+(IF(G161="",70,(5-G161)/4*100))*0.1+(IF(H161="",70,(5-H161)/4*100))*0.1,0)),"")</f>
        <v/>
      </c>
      <c r="F161" s="31"/>
      <c r="G161" s="31"/>
      <c r="H161" s="31"/>
      <c r="I161" s="32"/>
    </row>
    <row r="162" customFormat="false" ht="15" hidden="false" customHeight="false" outlineLevel="0" collapsed="false">
      <c r="A162" s="35" t="n">
        <f aca="false">'Daily Tracker'!A162</f>
        <v>46180</v>
      </c>
      <c r="B162" s="48" t="str">
        <f aca="false">IF('Daily Tracker'!F162="","",'Daily Tracker'!F162)</f>
        <v/>
      </c>
      <c r="C162" s="31"/>
      <c r="D162" s="31"/>
      <c r="E162" s="56" t="str">
        <f aca="false">IFERROR(IF(COUNT(B162,C162,D162,F162,G162,H162)=0,"",ROUND((IF(B162="",70,MIN(B162/SleepGoal,1)*100))*0.25+(IF(C162="",70,MIN(C162/HRVGoal,1)*100))*0.2+(IF(D162="",70,MAX(0,MIN(1,(RHRPoor-D162)/(RHRPoor-RHRExcellent)))*100))*0.2+(IF(F162="",70,(5-F162)/4*100))*0.15+(IF(G162="",70,(5-G162)/4*100))*0.1+(IF(H162="",70,(5-H162)/4*100))*0.1,0)),"")</f>
        <v/>
      </c>
      <c r="F162" s="31"/>
      <c r="G162" s="31"/>
      <c r="H162" s="31"/>
      <c r="I162" s="32"/>
    </row>
    <row r="163" customFormat="false" ht="15" hidden="false" customHeight="false" outlineLevel="0" collapsed="false">
      <c r="A163" s="26" t="n">
        <f aca="false">'Daily Tracker'!A163</f>
        <v>46181</v>
      </c>
      <c r="B163" s="47" t="str">
        <f aca="false">IF('Daily Tracker'!F163="","",'Daily Tracker'!F163)</f>
        <v/>
      </c>
      <c r="C163" s="31"/>
      <c r="D163" s="31"/>
      <c r="E163" s="56" t="str">
        <f aca="false">IFERROR(IF(COUNT(B163,C163,D163,F163,G163,H163)=0,"",ROUND((IF(B163="",70,MIN(B163/SleepGoal,1)*100))*0.25+(IF(C163="",70,MIN(C163/HRVGoal,1)*100))*0.2+(IF(D163="",70,MAX(0,MIN(1,(RHRPoor-D163)/(RHRPoor-RHRExcellent)))*100))*0.2+(IF(F163="",70,(5-F163)/4*100))*0.15+(IF(G163="",70,(5-G163)/4*100))*0.1+(IF(H163="",70,(5-H163)/4*100))*0.1,0)),"")</f>
        <v/>
      </c>
      <c r="F163" s="31"/>
      <c r="G163" s="31"/>
      <c r="H163" s="31"/>
      <c r="I163" s="32"/>
    </row>
    <row r="164" customFormat="false" ht="15" hidden="false" customHeight="false" outlineLevel="0" collapsed="false">
      <c r="A164" s="35" t="n">
        <f aca="false">'Daily Tracker'!A164</f>
        <v>46182</v>
      </c>
      <c r="B164" s="48" t="str">
        <f aca="false">IF('Daily Tracker'!F164="","",'Daily Tracker'!F164)</f>
        <v/>
      </c>
      <c r="C164" s="31"/>
      <c r="D164" s="31"/>
      <c r="E164" s="56" t="str">
        <f aca="false">IFERROR(IF(COUNT(B164,C164,D164,F164,G164,H164)=0,"",ROUND((IF(B164="",70,MIN(B164/SleepGoal,1)*100))*0.25+(IF(C164="",70,MIN(C164/HRVGoal,1)*100))*0.2+(IF(D164="",70,MAX(0,MIN(1,(RHRPoor-D164)/(RHRPoor-RHRExcellent)))*100))*0.2+(IF(F164="",70,(5-F164)/4*100))*0.15+(IF(G164="",70,(5-G164)/4*100))*0.1+(IF(H164="",70,(5-H164)/4*100))*0.1,0)),"")</f>
        <v/>
      </c>
      <c r="F164" s="31"/>
      <c r="G164" s="31"/>
      <c r="H164" s="31"/>
      <c r="I164" s="32"/>
    </row>
    <row r="165" customFormat="false" ht="15" hidden="false" customHeight="false" outlineLevel="0" collapsed="false">
      <c r="A165" s="26" t="n">
        <f aca="false">'Daily Tracker'!A165</f>
        <v>46183</v>
      </c>
      <c r="B165" s="47" t="str">
        <f aca="false">IF('Daily Tracker'!F165="","",'Daily Tracker'!F165)</f>
        <v/>
      </c>
      <c r="C165" s="31"/>
      <c r="D165" s="31"/>
      <c r="E165" s="56" t="str">
        <f aca="false">IFERROR(IF(COUNT(B165,C165,D165,F165,G165,H165)=0,"",ROUND((IF(B165="",70,MIN(B165/SleepGoal,1)*100))*0.25+(IF(C165="",70,MIN(C165/HRVGoal,1)*100))*0.2+(IF(D165="",70,MAX(0,MIN(1,(RHRPoor-D165)/(RHRPoor-RHRExcellent)))*100))*0.2+(IF(F165="",70,(5-F165)/4*100))*0.15+(IF(G165="",70,(5-G165)/4*100))*0.1+(IF(H165="",70,(5-H165)/4*100))*0.1,0)),"")</f>
        <v/>
      </c>
      <c r="F165" s="31"/>
      <c r="G165" s="31"/>
      <c r="H165" s="31"/>
      <c r="I165" s="32"/>
    </row>
    <row r="166" customFormat="false" ht="15" hidden="false" customHeight="false" outlineLevel="0" collapsed="false">
      <c r="A166" s="35" t="n">
        <f aca="false">'Daily Tracker'!A166</f>
        <v>46184</v>
      </c>
      <c r="B166" s="48" t="str">
        <f aca="false">IF('Daily Tracker'!F166="","",'Daily Tracker'!F166)</f>
        <v/>
      </c>
      <c r="C166" s="31"/>
      <c r="D166" s="31"/>
      <c r="E166" s="56" t="str">
        <f aca="false">IFERROR(IF(COUNT(B166,C166,D166,F166,G166,H166)=0,"",ROUND((IF(B166="",70,MIN(B166/SleepGoal,1)*100))*0.25+(IF(C166="",70,MIN(C166/HRVGoal,1)*100))*0.2+(IF(D166="",70,MAX(0,MIN(1,(RHRPoor-D166)/(RHRPoor-RHRExcellent)))*100))*0.2+(IF(F166="",70,(5-F166)/4*100))*0.15+(IF(G166="",70,(5-G166)/4*100))*0.1+(IF(H166="",70,(5-H166)/4*100))*0.1,0)),"")</f>
        <v/>
      </c>
      <c r="F166" s="31"/>
      <c r="G166" s="31"/>
      <c r="H166" s="31"/>
      <c r="I166" s="32"/>
    </row>
    <row r="167" customFormat="false" ht="15" hidden="false" customHeight="false" outlineLevel="0" collapsed="false">
      <c r="A167" s="26" t="n">
        <f aca="false">'Daily Tracker'!A167</f>
        <v>46185</v>
      </c>
      <c r="B167" s="47" t="str">
        <f aca="false">IF('Daily Tracker'!F167="","",'Daily Tracker'!F167)</f>
        <v/>
      </c>
      <c r="C167" s="31"/>
      <c r="D167" s="31"/>
      <c r="E167" s="56" t="str">
        <f aca="false">IFERROR(IF(COUNT(B167,C167,D167,F167,G167,H167)=0,"",ROUND((IF(B167="",70,MIN(B167/SleepGoal,1)*100))*0.25+(IF(C167="",70,MIN(C167/HRVGoal,1)*100))*0.2+(IF(D167="",70,MAX(0,MIN(1,(RHRPoor-D167)/(RHRPoor-RHRExcellent)))*100))*0.2+(IF(F167="",70,(5-F167)/4*100))*0.15+(IF(G167="",70,(5-G167)/4*100))*0.1+(IF(H167="",70,(5-H167)/4*100))*0.1,0)),"")</f>
        <v/>
      </c>
      <c r="F167" s="31"/>
      <c r="G167" s="31"/>
      <c r="H167" s="31"/>
      <c r="I167" s="32"/>
    </row>
    <row r="168" customFormat="false" ht="15" hidden="false" customHeight="false" outlineLevel="0" collapsed="false">
      <c r="A168" s="35" t="n">
        <f aca="false">'Daily Tracker'!A168</f>
        <v>46186</v>
      </c>
      <c r="B168" s="48" t="str">
        <f aca="false">IF('Daily Tracker'!F168="","",'Daily Tracker'!F168)</f>
        <v/>
      </c>
      <c r="C168" s="31"/>
      <c r="D168" s="31"/>
      <c r="E168" s="56" t="str">
        <f aca="false">IFERROR(IF(COUNT(B168,C168,D168,F168,G168,H168)=0,"",ROUND((IF(B168="",70,MIN(B168/SleepGoal,1)*100))*0.25+(IF(C168="",70,MIN(C168/HRVGoal,1)*100))*0.2+(IF(D168="",70,MAX(0,MIN(1,(RHRPoor-D168)/(RHRPoor-RHRExcellent)))*100))*0.2+(IF(F168="",70,(5-F168)/4*100))*0.15+(IF(G168="",70,(5-G168)/4*100))*0.1+(IF(H168="",70,(5-H168)/4*100))*0.1,0)),"")</f>
        <v/>
      </c>
      <c r="F168" s="31"/>
      <c r="G168" s="31"/>
      <c r="H168" s="31"/>
      <c r="I168" s="32"/>
    </row>
    <row r="169" customFormat="false" ht="15" hidden="false" customHeight="false" outlineLevel="0" collapsed="false">
      <c r="A169" s="26" t="n">
        <f aca="false">'Daily Tracker'!A169</f>
        <v>46187</v>
      </c>
      <c r="B169" s="47" t="str">
        <f aca="false">IF('Daily Tracker'!F169="","",'Daily Tracker'!F169)</f>
        <v/>
      </c>
      <c r="C169" s="31"/>
      <c r="D169" s="31"/>
      <c r="E169" s="56" t="str">
        <f aca="false">IFERROR(IF(COUNT(B169,C169,D169,F169,G169,H169)=0,"",ROUND((IF(B169="",70,MIN(B169/SleepGoal,1)*100))*0.25+(IF(C169="",70,MIN(C169/HRVGoal,1)*100))*0.2+(IF(D169="",70,MAX(0,MIN(1,(RHRPoor-D169)/(RHRPoor-RHRExcellent)))*100))*0.2+(IF(F169="",70,(5-F169)/4*100))*0.15+(IF(G169="",70,(5-G169)/4*100))*0.1+(IF(H169="",70,(5-H169)/4*100))*0.1,0)),"")</f>
        <v/>
      </c>
      <c r="F169" s="31"/>
      <c r="G169" s="31"/>
      <c r="H169" s="31"/>
      <c r="I169" s="32"/>
    </row>
    <row r="170" customFormat="false" ht="15" hidden="false" customHeight="false" outlineLevel="0" collapsed="false">
      <c r="A170" s="35" t="n">
        <f aca="false">'Daily Tracker'!A170</f>
        <v>46188</v>
      </c>
      <c r="B170" s="48" t="str">
        <f aca="false">IF('Daily Tracker'!F170="","",'Daily Tracker'!F170)</f>
        <v/>
      </c>
      <c r="C170" s="31"/>
      <c r="D170" s="31"/>
      <c r="E170" s="56" t="str">
        <f aca="false">IFERROR(IF(COUNT(B170,C170,D170,F170,G170,H170)=0,"",ROUND((IF(B170="",70,MIN(B170/SleepGoal,1)*100))*0.25+(IF(C170="",70,MIN(C170/HRVGoal,1)*100))*0.2+(IF(D170="",70,MAX(0,MIN(1,(RHRPoor-D170)/(RHRPoor-RHRExcellent)))*100))*0.2+(IF(F170="",70,(5-F170)/4*100))*0.15+(IF(G170="",70,(5-G170)/4*100))*0.1+(IF(H170="",70,(5-H170)/4*100))*0.1,0)),"")</f>
        <v/>
      </c>
      <c r="F170" s="31"/>
      <c r="G170" s="31"/>
      <c r="H170" s="31"/>
      <c r="I170" s="32"/>
    </row>
    <row r="171" customFormat="false" ht="15" hidden="false" customHeight="false" outlineLevel="0" collapsed="false">
      <c r="A171" s="26" t="n">
        <f aca="false">'Daily Tracker'!A171</f>
        <v>46189</v>
      </c>
      <c r="B171" s="47" t="str">
        <f aca="false">IF('Daily Tracker'!F171="","",'Daily Tracker'!F171)</f>
        <v/>
      </c>
      <c r="C171" s="31"/>
      <c r="D171" s="31"/>
      <c r="E171" s="56" t="str">
        <f aca="false">IFERROR(IF(COUNT(B171,C171,D171,F171,G171,H171)=0,"",ROUND((IF(B171="",70,MIN(B171/SleepGoal,1)*100))*0.25+(IF(C171="",70,MIN(C171/HRVGoal,1)*100))*0.2+(IF(D171="",70,MAX(0,MIN(1,(RHRPoor-D171)/(RHRPoor-RHRExcellent)))*100))*0.2+(IF(F171="",70,(5-F171)/4*100))*0.15+(IF(G171="",70,(5-G171)/4*100))*0.1+(IF(H171="",70,(5-H171)/4*100))*0.1,0)),"")</f>
        <v/>
      </c>
      <c r="F171" s="31"/>
      <c r="G171" s="31"/>
      <c r="H171" s="31"/>
      <c r="I171" s="32"/>
    </row>
    <row r="172" customFormat="false" ht="15" hidden="false" customHeight="false" outlineLevel="0" collapsed="false">
      <c r="A172" s="35" t="n">
        <f aca="false">'Daily Tracker'!A172</f>
        <v>46190</v>
      </c>
      <c r="B172" s="48" t="str">
        <f aca="false">IF('Daily Tracker'!F172="","",'Daily Tracker'!F172)</f>
        <v/>
      </c>
      <c r="C172" s="31"/>
      <c r="D172" s="31"/>
      <c r="E172" s="56" t="str">
        <f aca="false">IFERROR(IF(COUNT(B172,C172,D172,F172,G172,H172)=0,"",ROUND((IF(B172="",70,MIN(B172/SleepGoal,1)*100))*0.25+(IF(C172="",70,MIN(C172/HRVGoal,1)*100))*0.2+(IF(D172="",70,MAX(0,MIN(1,(RHRPoor-D172)/(RHRPoor-RHRExcellent)))*100))*0.2+(IF(F172="",70,(5-F172)/4*100))*0.15+(IF(G172="",70,(5-G172)/4*100))*0.1+(IF(H172="",70,(5-H172)/4*100))*0.1,0)),"")</f>
        <v/>
      </c>
      <c r="F172" s="31"/>
      <c r="G172" s="31"/>
      <c r="H172" s="31"/>
      <c r="I172" s="32"/>
    </row>
    <row r="173" customFormat="false" ht="15" hidden="false" customHeight="false" outlineLevel="0" collapsed="false">
      <c r="A173" s="26" t="n">
        <f aca="false">'Daily Tracker'!A173</f>
        <v>46191</v>
      </c>
      <c r="B173" s="47" t="str">
        <f aca="false">IF('Daily Tracker'!F173="","",'Daily Tracker'!F173)</f>
        <v/>
      </c>
      <c r="C173" s="31"/>
      <c r="D173" s="31"/>
      <c r="E173" s="56" t="str">
        <f aca="false">IFERROR(IF(COUNT(B173,C173,D173,F173,G173,H173)=0,"",ROUND((IF(B173="",70,MIN(B173/SleepGoal,1)*100))*0.25+(IF(C173="",70,MIN(C173/HRVGoal,1)*100))*0.2+(IF(D173="",70,MAX(0,MIN(1,(RHRPoor-D173)/(RHRPoor-RHRExcellent)))*100))*0.2+(IF(F173="",70,(5-F173)/4*100))*0.15+(IF(G173="",70,(5-G173)/4*100))*0.1+(IF(H173="",70,(5-H173)/4*100))*0.1,0)),"")</f>
        <v/>
      </c>
      <c r="F173" s="31"/>
      <c r="G173" s="31"/>
      <c r="H173" s="31"/>
      <c r="I173" s="32"/>
    </row>
    <row r="174" customFormat="false" ht="15" hidden="false" customHeight="false" outlineLevel="0" collapsed="false">
      <c r="A174" s="35" t="n">
        <f aca="false">'Daily Tracker'!A174</f>
        <v>46192</v>
      </c>
      <c r="B174" s="48" t="str">
        <f aca="false">IF('Daily Tracker'!F174="","",'Daily Tracker'!F174)</f>
        <v/>
      </c>
      <c r="C174" s="31"/>
      <c r="D174" s="31"/>
      <c r="E174" s="56" t="str">
        <f aca="false">IFERROR(IF(COUNT(B174,C174,D174,F174,G174,H174)=0,"",ROUND((IF(B174="",70,MIN(B174/SleepGoal,1)*100))*0.25+(IF(C174="",70,MIN(C174/HRVGoal,1)*100))*0.2+(IF(D174="",70,MAX(0,MIN(1,(RHRPoor-D174)/(RHRPoor-RHRExcellent)))*100))*0.2+(IF(F174="",70,(5-F174)/4*100))*0.15+(IF(G174="",70,(5-G174)/4*100))*0.1+(IF(H174="",70,(5-H174)/4*100))*0.1,0)),"")</f>
        <v/>
      </c>
      <c r="F174" s="31"/>
      <c r="G174" s="31"/>
      <c r="H174" s="31"/>
      <c r="I174" s="32"/>
    </row>
    <row r="175" customFormat="false" ht="15" hidden="false" customHeight="false" outlineLevel="0" collapsed="false">
      <c r="A175" s="26" t="n">
        <f aca="false">'Daily Tracker'!A175</f>
        <v>46193</v>
      </c>
      <c r="B175" s="47" t="str">
        <f aca="false">IF('Daily Tracker'!F175="","",'Daily Tracker'!F175)</f>
        <v/>
      </c>
      <c r="C175" s="31"/>
      <c r="D175" s="31"/>
      <c r="E175" s="56" t="str">
        <f aca="false">IFERROR(IF(COUNT(B175,C175,D175,F175,G175,H175)=0,"",ROUND((IF(B175="",70,MIN(B175/SleepGoal,1)*100))*0.25+(IF(C175="",70,MIN(C175/HRVGoal,1)*100))*0.2+(IF(D175="",70,MAX(0,MIN(1,(RHRPoor-D175)/(RHRPoor-RHRExcellent)))*100))*0.2+(IF(F175="",70,(5-F175)/4*100))*0.15+(IF(G175="",70,(5-G175)/4*100))*0.1+(IF(H175="",70,(5-H175)/4*100))*0.1,0)),"")</f>
        <v/>
      </c>
      <c r="F175" s="31"/>
      <c r="G175" s="31"/>
      <c r="H175" s="31"/>
      <c r="I175" s="32"/>
    </row>
    <row r="176" customFormat="false" ht="15" hidden="false" customHeight="false" outlineLevel="0" collapsed="false">
      <c r="A176" s="35" t="n">
        <f aca="false">'Daily Tracker'!A176</f>
        <v>46194</v>
      </c>
      <c r="B176" s="48" t="str">
        <f aca="false">IF('Daily Tracker'!F176="","",'Daily Tracker'!F176)</f>
        <v/>
      </c>
      <c r="C176" s="31"/>
      <c r="D176" s="31"/>
      <c r="E176" s="56" t="str">
        <f aca="false">IFERROR(IF(COUNT(B176,C176,D176,F176,G176,H176)=0,"",ROUND((IF(B176="",70,MIN(B176/SleepGoal,1)*100))*0.25+(IF(C176="",70,MIN(C176/HRVGoal,1)*100))*0.2+(IF(D176="",70,MAX(0,MIN(1,(RHRPoor-D176)/(RHRPoor-RHRExcellent)))*100))*0.2+(IF(F176="",70,(5-F176)/4*100))*0.15+(IF(G176="",70,(5-G176)/4*100))*0.1+(IF(H176="",70,(5-H176)/4*100))*0.1,0)),"")</f>
        <v/>
      </c>
      <c r="F176" s="31"/>
      <c r="G176" s="31"/>
      <c r="H176" s="31"/>
      <c r="I176" s="32"/>
    </row>
    <row r="177" customFormat="false" ht="15" hidden="false" customHeight="false" outlineLevel="0" collapsed="false">
      <c r="A177" s="26" t="n">
        <f aca="false">'Daily Tracker'!A177</f>
        <v>46195</v>
      </c>
      <c r="B177" s="47" t="str">
        <f aca="false">IF('Daily Tracker'!F177="","",'Daily Tracker'!F177)</f>
        <v/>
      </c>
      <c r="C177" s="31"/>
      <c r="D177" s="31"/>
      <c r="E177" s="56" t="str">
        <f aca="false">IFERROR(IF(COUNT(B177,C177,D177,F177,G177,H177)=0,"",ROUND((IF(B177="",70,MIN(B177/SleepGoal,1)*100))*0.25+(IF(C177="",70,MIN(C177/HRVGoal,1)*100))*0.2+(IF(D177="",70,MAX(0,MIN(1,(RHRPoor-D177)/(RHRPoor-RHRExcellent)))*100))*0.2+(IF(F177="",70,(5-F177)/4*100))*0.15+(IF(G177="",70,(5-G177)/4*100))*0.1+(IF(H177="",70,(5-H177)/4*100))*0.1,0)),"")</f>
        <v/>
      </c>
      <c r="F177" s="31"/>
      <c r="G177" s="31"/>
      <c r="H177" s="31"/>
      <c r="I177" s="32"/>
    </row>
    <row r="178" customFormat="false" ht="15" hidden="false" customHeight="false" outlineLevel="0" collapsed="false">
      <c r="A178" s="35" t="n">
        <f aca="false">'Daily Tracker'!A178</f>
        <v>46196</v>
      </c>
      <c r="B178" s="48" t="str">
        <f aca="false">IF('Daily Tracker'!F178="","",'Daily Tracker'!F178)</f>
        <v/>
      </c>
      <c r="C178" s="31"/>
      <c r="D178" s="31"/>
      <c r="E178" s="56" t="str">
        <f aca="false">IFERROR(IF(COUNT(B178,C178,D178,F178,G178,H178)=0,"",ROUND((IF(B178="",70,MIN(B178/SleepGoal,1)*100))*0.25+(IF(C178="",70,MIN(C178/HRVGoal,1)*100))*0.2+(IF(D178="",70,MAX(0,MIN(1,(RHRPoor-D178)/(RHRPoor-RHRExcellent)))*100))*0.2+(IF(F178="",70,(5-F178)/4*100))*0.15+(IF(G178="",70,(5-G178)/4*100))*0.1+(IF(H178="",70,(5-H178)/4*100))*0.1,0)),"")</f>
        <v/>
      </c>
      <c r="F178" s="31"/>
      <c r="G178" s="31"/>
      <c r="H178" s="31"/>
      <c r="I178" s="32"/>
    </row>
    <row r="179" customFormat="false" ht="15" hidden="false" customHeight="false" outlineLevel="0" collapsed="false">
      <c r="A179" s="26" t="n">
        <f aca="false">'Daily Tracker'!A179</f>
        <v>46197</v>
      </c>
      <c r="B179" s="47" t="str">
        <f aca="false">IF('Daily Tracker'!F179="","",'Daily Tracker'!F179)</f>
        <v/>
      </c>
      <c r="C179" s="31"/>
      <c r="D179" s="31"/>
      <c r="E179" s="56" t="str">
        <f aca="false">IFERROR(IF(COUNT(B179,C179,D179,F179,G179,H179)=0,"",ROUND((IF(B179="",70,MIN(B179/SleepGoal,1)*100))*0.25+(IF(C179="",70,MIN(C179/HRVGoal,1)*100))*0.2+(IF(D179="",70,MAX(0,MIN(1,(RHRPoor-D179)/(RHRPoor-RHRExcellent)))*100))*0.2+(IF(F179="",70,(5-F179)/4*100))*0.15+(IF(G179="",70,(5-G179)/4*100))*0.1+(IF(H179="",70,(5-H179)/4*100))*0.1,0)),"")</f>
        <v/>
      </c>
      <c r="F179" s="31"/>
      <c r="G179" s="31"/>
      <c r="H179" s="31"/>
      <c r="I179" s="32"/>
    </row>
    <row r="180" customFormat="false" ht="15" hidden="false" customHeight="false" outlineLevel="0" collapsed="false">
      <c r="A180" s="35" t="n">
        <f aca="false">'Daily Tracker'!A180</f>
        <v>46198</v>
      </c>
      <c r="B180" s="48" t="str">
        <f aca="false">IF('Daily Tracker'!F180="","",'Daily Tracker'!F180)</f>
        <v/>
      </c>
      <c r="C180" s="31"/>
      <c r="D180" s="31"/>
      <c r="E180" s="56" t="str">
        <f aca="false">IFERROR(IF(COUNT(B180,C180,D180,F180,G180,H180)=0,"",ROUND((IF(B180="",70,MIN(B180/SleepGoal,1)*100))*0.25+(IF(C180="",70,MIN(C180/HRVGoal,1)*100))*0.2+(IF(D180="",70,MAX(0,MIN(1,(RHRPoor-D180)/(RHRPoor-RHRExcellent)))*100))*0.2+(IF(F180="",70,(5-F180)/4*100))*0.15+(IF(G180="",70,(5-G180)/4*100))*0.1+(IF(H180="",70,(5-H180)/4*100))*0.1,0)),"")</f>
        <v/>
      </c>
      <c r="F180" s="31"/>
      <c r="G180" s="31"/>
      <c r="H180" s="31"/>
      <c r="I180" s="32"/>
    </row>
    <row r="181" customFormat="false" ht="15" hidden="false" customHeight="false" outlineLevel="0" collapsed="false">
      <c r="A181" s="26" t="n">
        <f aca="false">'Daily Tracker'!A181</f>
        <v>46199</v>
      </c>
      <c r="B181" s="47" t="str">
        <f aca="false">IF('Daily Tracker'!F181="","",'Daily Tracker'!F181)</f>
        <v/>
      </c>
      <c r="C181" s="31"/>
      <c r="D181" s="31"/>
      <c r="E181" s="56" t="str">
        <f aca="false">IFERROR(IF(COUNT(B181,C181,D181,F181,G181,H181)=0,"",ROUND((IF(B181="",70,MIN(B181/SleepGoal,1)*100))*0.25+(IF(C181="",70,MIN(C181/HRVGoal,1)*100))*0.2+(IF(D181="",70,MAX(0,MIN(1,(RHRPoor-D181)/(RHRPoor-RHRExcellent)))*100))*0.2+(IF(F181="",70,(5-F181)/4*100))*0.15+(IF(G181="",70,(5-G181)/4*100))*0.1+(IF(H181="",70,(5-H181)/4*100))*0.1,0)),"")</f>
        <v/>
      </c>
      <c r="F181" s="31"/>
      <c r="G181" s="31"/>
      <c r="H181" s="31"/>
      <c r="I181" s="32"/>
    </row>
    <row r="182" customFormat="false" ht="15" hidden="false" customHeight="false" outlineLevel="0" collapsed="false">
      <c r="A182" s="35" t="n">
        <f aca="false">'Daily Tracker'!A182</f>
        <v>46200</v>
      </c>
      <c r="B182" s="48" t="str">
        <f aca="false">IF('Daily Tracker'!F182="","",'Daily Tracker'!F182)</f>
        <v/>
      </c>
      <c r="C182" s="31"/>
      <c r="D182" s="31"/>
      <c r="E182" s="56" t="str">
        <f aca="false">IFERROR(IF(COUNT(B182,C182,D182,F182,G182,H182)=0,"",ROUND((IF(B182="",70,MIN(B182/SleepGoal,1)*100))*0.25+(IF(C182="",70,MIN(C182/HRVGoal,1)*100))*0.2+(IF(D182="",70,MAX(0,MIN(1,(RHRPoor-D182)/(RHRPoor-RHRExcellent)))*100))*0.2+(IF(F182="",70,(5-F182)/4*100))*0.15+(IF(G182="",70,(5-G182)/4*100))*0.1+(IF(H182="",70,(5-H182)/4*100))*0.1,0)),"")</f>
        <v/>
      </c>
      <c r="F182" s="31"/>
      <c r="G182" s="31"/>
      <c r="H182" s="31"/>
      <c r="I182" s="32"/>
    </row>
    <row r="183" customFormat="false" ht="15" hidden="false" customHeight="false" outlineLevel="0" collapsed="false">
      <c r="A183" s="26" t="n">
        <f aca="false">'Daily Tracker'!A183</f>
        <v>46201</v>
      </c>
      <c r="B183" s="47" t="str">
        <f aca="false">IF('Daily Tracker'!F183="","",'Daily Tracker'!F183)</f>
        <v/>
      </c>
      <c r="C183" s="31"/>
      <c r="D183" s="31"/>
      <c r="E183" s="56" t="str">
        <f aca="false">IFERROR(IF(COUNT(B183,C183,D183,F183,G183,H183)=0,"",ROUND((IF(B183="",70,MIN(B183/SleepGoal,1)*100))*0.25+(IF(C183="",70,MIN(C183/HRVGoal,1)*100))*0.2+(IF(D183="",70,MAX(0,MIN(1,(RHRPoor-D183)/(RHRPoor-RHRExcellent)))*100))*0.2+(IF(F183="",70,(5-F183)/4*100))*0.15+(IF(G183="",70,(5-G183)/4*100))*0.1+(IF(H183="",70,(5-H183)/4*100))*0.1,0)),"")</f>
        <v/>
      </c>
      <c r="F183" s="31"/>
      <c r="G183" s="31"/>
      <c r="H183" s="31"/>
      <c r="I183" s="32"/>
    </row>
    <row r="184" customFormat="false" ht="15" hidden="false" customHeight="false" outlineLevel="0" collapsed="false">
      <c r="A184" s="35" t="n">
        <f aca="false">'Daily Tracker'!A184</f>
        <v>46202</v>
      </c>
      <c r="B184" s="48" t="str">
        <f aca="false">IF('Daily Tracker'!F184="","",'Daily Tracker'!F184)</f>
        <v/>
      </c>
      <c r="C184" s="31"/>
      <c r="D184" s="31"/>
      <c r="E184" s="56" t="str">
        <f aca="false">IFERROR(IF(COUNT(B184,C184,D184,F184,G184,H184)=0,"",ROUND((IF(B184="",70,MIN(B184/SleepGoal,1)*100))*0.25+(IF(C184="",70,MIN(C184/HRVGoal,1)*100))*0.2+(IF(D184="",70,MAX(0,MIN(1,(RHRPoor-D184)/(RHRPoor-RHRExcellent)))*100))*0.2+(IF(F184="",70,(5-F184)/4*100))*0.15+(IF(G184="",70,(5-G184)/4*100))*0.1+(IF(H184="",70,(5-H184)/4*100))*0.1,0)),"")</f>
        <v/>
      </c>
      <c r="F184" s="31"/>
      <c r="G184" s="31"/>
      <c r="H184" s="31"/>
      <c r="I184" s="32"/>
    </row>
    <row r="185" customFormat="false" ht="15" hidden="false" customHeight="false" outlineLevel="0" collapsed="false">
      <c r="A185" s="26" t="n">
        <f aca="false">'Daily Tracker'!A185</f>
        <v>46203</v>
      </c>
      <c r="B185" s="47" t="str">
        <f aca="false">IF('Daily Tracker'!F185="","",'Daily Tracker'!F185)</f>
        <v/>
      </c>
      <c r="C185" s="31"/>
      <c r="D185" s="31"/>
      <c r="E185" s="56" t="str">
        <f aca="false">IFERROR(IF(COUNT(B185,C185,D185,F185,G185,H185)=0,"",ROUND((IF(B185="",70,MIN(B185/SleepGoal,1)*100))*0.25+(IF(C185="",70,MIN(C185/HRVGoal,1)*100))*0.2+(IF(D185="",70,MAX(0,MIN(1,(RHRPoor-D185)/(RHRPoor-RHRExcellent)))*100))*0.2+(IF(F185="",70,(5-F185)/4*100))*0.15+(IF(G185="",70,(5-G185)/4*100))*0.1+(IF(H185="",70,(5-H185)/4*100))*0.1,0)),"")</f>
        <v/>
      </c>
      <c r="F185" s="31"/>
      <c r="G185" s="31"/>
      <c r="H185" s="31"/>
      <c r="I185" s="32"/>
    </row>
    <row r="186" customFormat="false" ht="15" hidden="false" customHeight="false" outlineLevel="0" collapsed="false">
      <c r="A186" s="35" t="n">
        <f aca="false">'Daily Tracker'!A186</f>
        <v>46204</v>
      </c>
      <c r="B186" s="48" t="str">
        <f aca="false">IF('Daily Tracker'!F186="","",'Daily Tracker'!F186)</f>
        <v/>
      </c>
      <c r="C186" s="31"/>
      <c r="D186" s="31"/>
      <c r="E186" s="56" t="str">
        <f aca="false">IFERROR(IF(COUNT(B186,C186,D186,F186,G186,H186)=0,"",ROUND((IF(B186="",70,MIN(B186/SleepGoal,1)*100))*0.25+(IF(C186="",70,MIN(C186/HRVGoal,1)*100))*0.2+(IF(D186="",70,MAX(0,MIN(1,(RHRPoor-D186)/(RHRPoor-RHRExcellent)))*100))*0.2+(IF(F186="",70,(5-F186)/4*100))*0.15+(IF(G186="",70,(5-G186)/4*100))*0.1+(IF(H186="",70,(5-H186)/4*100))*0.1,0)),"")</f>
        <v/>
      </c>
      <c r="F186" s="31"/>
      <c r="G186" s="31"/>
      <c r="H186" s="31"/>
      <c r="I186" s="32"/>
    </row>
    <row r="187" customFormat="false" ht="15" hidden="false" customHeight="false" outlineLevel="0" collapsed="false">
      <c r="A187" s="26" t="n">
        <f aca="false">'Daily Tracker'!A187</f>
        <v>46205</v>
      </c>
      <c r="B187" s="47" t="str">
        <f aca="false">IF('Daily Tracker'!F187="","",'Daily Tracker'!F187)</f>
        <v/>
      </c>
      <c r="C187" s="31"/>
      <c r="D187" s="31"/>
      <c r="E187" s="56" t="str">
        <f aca="false">IFERROR(IF(COUNT(B187,C187,D187,F187,G187,H187)=0,"",ROUND((IF(B187="",70,MIN(B187/SleepGoal,1)*100))*0.25+(IF(C187="",70,MIN(C187/HRVGoal,1)*100))*0.2+(IF(D187="",70,MAX(0,MIN(1,(RHRPoor-D187)/(RHRPoor-RHRExcellent)))*100))*0.2+(IF(F187="",70,(5-F187)/4*100))*0.15+(IF(G187="",70,(5-G187)/4*100))*0.1+(IF(H187="",70,(5-H187)/4*100))*0.1,0)),"")</f>
        <v/>
      </c>
      <c r="F187" s="31"/>
      <c r="G187" s="31"/>
      <c r="H187" s="31"/>
      <c r="I187" s="32"/>
    </row>
    <row r="188" customFormat="false" ht="15" hidden="false" customHeight="false" outlineLevel="0" collapsed="false">
      <c r="A188" s="35" t="n">
        <f aca="false">'Daily Tracker'!A188</f>
        <v>46206</v>
      </c>
      <c r="B188" s="48" t="str">
        <f aca="false">IF('Daily Tracker'!F188="","",'Daily Tracker'!F188)</f>
        <v/>
      </c>
      <c r="C188" s="31"/>
      <c r="D188" s="31"/>
      <c r="E188" s="56" t="str">
        <f aca="false">IFERROR(IF(COUNT(B188,C188,D188,F188,G188,H188)=0,"",ROUND((IF(B188="",70,MIN(B188/SleepGoal,1)*100))*0.25+(IF(C188="",70,MIN(C188/HRVGoal,1)*100))*0.2+(IF(D188="",70,MAX(0,MIN(1,(RHRPoor-D188)/(RHRPoor-RHRExcellent)))*100))*0.2+(IF(F188="",70,(5-F188)/4*100))*0.15+(IF(G188="",70,(5-G188)/4*100))*0.1+(IF(H188="",70,(5-H188)/4*100))*0.1,0)),"")</f>
        <v/>
      </c>
      <c r="F188" s="31"/>
      <c r="G188" s="31"/>
      <c r="H188" s="31"/>
      <c r="I188" s="32"/>
    </row>
    <row r="189" customFormat="false" ht="15" hidden="false" customHeight="false" outlineLevel="0" collapsed="false">
      <c r="A189" s="26" t="n">
        <f aca="false">'Daily Tracker'!A189</f>
        <v>46207</v>
      </c>
      <c r="B189" s="47" t="str">
        <f aca="false">IF('Daily Tracker'!F189="","",'Daily Tracker'!F189)</f>
        <v/>
      </c>
      <c r="C189" s="31"/>
      <c r="D189" s="31"/>
      <c r="E189" s="56" t="str">
        <f aca="false">IFERROR(IF(COUNT(B189,C189,D189,F189,G189,H189)=0,"",ROUND((IF(B189="",70,MIN(B189/SleepGoal,1)*100))*0.25+(IF(C189="",70,MIN(C189/HRVGoal,1)*100))*0.2+(IF(D189="",70,MAX(0,MIN(1,(RHRPoor-D189)/(RHRPoor-RHRExcellent)))*100))*0.2+(IF(F189="",70,(5-F189)/4*100))*0.15+(IF(G189="",70,(5-G189)/4*100))*0.1+(IF(H189="",70,(5-H189)/4*100))*0.1,0)),"")</f>
        <v/>
      </c>
      <c r="F189" s="31"/>
      <c r="G189" s="31"/>
      <c r="H189" s="31"/>
      <c r="I189" s="32"/>
    </row>
    <row r="190" customFormat="false" ht="15" hidden="false" customHeight="false" outlineLevel="0" collapsed="false">
      <c r="A190" s="35" t="n">
        <f aca="false">'Daily Tracker'!A190</f>
        <v>46208</v>
      </c>
      <c r="B190" s="48" t="str">
        <f aca="false">IF('Daily Tracker'!F190="","",'Daily Tracker'!F190)</f>
        <v/>
      </c>
      <c r="C190" s="31"/>
      <c r="D190" s="31"/>
      <c r="E190" s="56" t="str">
        <f aca="false">IFERROR(IF(COUNT(B190,C190,D190,F190,G190,H190)=0,"",ROUND((IF(B190="",70,MIN(B190/SleepGoal,1)*100))*0.25+(IF(C190="",70,MIN(C190/HRVGoal,1)*100))*0.2+(IF(D190="",70,MAX(0,MIN(1,(RHRPoor-D190)/(RHRPoor-RHRExcellent)))*100))*0.2+(IF(F190="",70,(5-F190)/4*100))*0.15+(IF(G190="",70,(5-G190)/4*100))*0.1+(IF(H190="",70,(5-H190)/4*100))*0.1,0)),"")</f>
        <v/>
      </c>
      <c r="F190" s="31"/>
      <c r="G190" s="31"/>
      <c r="H190" s="31"/>
      <c r="I190" s="32"/>
    </row>
    <row r="191" customFormat="false" ht="15" hidden="false" customHeight="false" outlineLevel="0" collapsed="false">
      <c r="A191" s="26" t="n">
        <f aca="false">'Daily Tracker'!A191</f>
        <v>46209</v>
      </c>
      <c r="B191" s="47" t="str">
        <f aca="false">IF('Daily Tracker'!F191="","",'Daily Tracker'!F191)</f>
        <v/>
      </c>
      <c r="C191" s="31"/>
      <c r="D191" s="31"/>
      <c r="E191" s="56" t="str">
        <f aca="false">IFERROR(IF(COUNT(B191,C191,D191,F191,G191,H191)=0,"",ROUND((IF(B191="",70,MIN(B191/SleepGoal,1)*100))*0.25+(IF(C191="",70,MIN(C191/HRVGoal,1)*100))*0.2+(IF(D191="",70,MAX(0,MIN(1,(RHRPoor-D191)/(RHRPoor-RHRExcellent)))*100))*0.2+(IF(F191="",70,(5-F191)/4*100))*0.15+(IF(G191="",70,(5-G191)/4*100))*0.1+(IF(H191="",70,(5-H191)/4*100))*0.1,0)),"")</f>
        <v/>
      </c>
      <c r="F191" s="31"/>
      <c r="G191" s="31"/>
      <c r="H191" s="31"/>
      <c r="I191" s="32"/>
    </row>
    <row r="192" customFormat="false" ht="15" hidden="false" customHeight="false" outlineLevel="0" collapsed="false">
      <c r="A192" s="35" t="n">
        <f aca="false">'Daily Tracker'!A192</f>
        <v>46210</v>
      </c>
      <c r="B192" s="48" t="str">
        <f aca="false">IF('Daily Tracker'!F192="","",'Daily Tracker'!F192)</f>
        <v/>
      </c>
      <c r="C192" s="31"/>
      <c r="D192" s="31"/>
      <c r="E192" s="56" t="str">
        <f aca="false">IFERROR(IF(COUNT(B192,C192,D192,F192,G192,H192)=0,"",ROUND((IF(B192="",70,MIN(B192/SleepGoal,1)*100))*0.25+(IF(C192="",70,MIN(C192/HRVGoal,1)*100))*0.2+(IF(D192="",70,MAX(0,MIN(1,(RHRPoor-D192)/(RHRPoor-RHRExcellent)))*100))*0.2+(IF(F192="",70,(5-F192)/4*100))*0.15+(IF(G192="",70,(5-G192)/4*100))*0.1+(IF(H192="",70,(5-H192)/4*100))*0.1,0)),"")</f>
        <v/>
      </c>
      <c r="F192" s="31"/>
      <c r="G192" s="31"/>
      <c r="H192" s="31"/>
      <c r="I192" s="32"/>
    </row>
    <row r="193" customFormat="false" ht="15" hidden="false" customHeight="false" outlineLevel="0" collapsed="false">
      <c r="A193" s="26" t="n">
        <f aca="false">'Daily Tracker'!A193</f>
        <v>46211</v>
      </c>
      <c r="B193" s="47" t="str">
        <f aca="false">IF('Daily Tracker'!F193="","",'Daily Tracker'!F193)</f>
        <v/>
      </c>
      <c r="C193" s="31"/>
      <c r="D193" s="31"/>
      <c r="E193" s="56" t="str">
        <f aca="false">IFERROR(IF(COUNT(B193,C193,D193,F193,G193,H193)=0,"",ROUND((IF(B193="",70,MIN(B193/SleepGoal,1)*100))*0.25+(IF(C193="",70,MIN(C193/HRVGoal,1)*100))*0.2+(IF(D193="",70,MAX(0,MIN(1,(RHRPoor-D193)/(RHRPoor-RHRExcellent)))*100))*0.2+(IF(F193="",70,(5-F193)/4*100))*0.15+(IF(G193="",70,(5-G193)/4*100))*0.1+(IF(H193="",70,(5-H193)/4*100))*0.1,0)),"")</f>
        <v/>
      </c>
      <c r="F193" s="31"/>
      <c r="G193" s="31"/>
      <c r="H193" s="31"/>
      <c r="I193" s="32"/>
    </row>
    <row r="194" customFormat="false" ht="15" hidden="false" customHeight="false" outlineLevel="0" collapsed="false">
      <c r="A194" s="35" t="n">
        <f aca="false">'Daily Tracker'!A194</f>
        <v>46212</v>
      </c>
      <c r="B194" s="48" t="str">
        <f aca="false">IF('Daily Tracker'!F194="","",'Daily Tracker'!F194)</f>
        <v/>
      </c>
      <c r="C194" s="31"/>
      <c r="D194" s="31"/>
      <c r="E194" s="56" t="str">
        <f aca="false">IFERROR(IF(COUNT(B194,C194,D194,F194,G194,H194)=0,"",ROUND((IF(B194="",70,MIN(B194/SleepGoal,1)*100))*0.25+(IF(C194="",70,MIN(C194/HRVGoal,1)*100))*0.2+(IF(D194="",70,MAX(0,MIN(1,(RHRPoor-D194)/(RHRPoor-RHRExcellent)))*100))*0.2+(IF(F194="",70,(5-F194)/4*100))*0.15+(IF(G194="",70,(5-G194)/4*100))*0.1+(IF(H194="",70,(5-H194)/4*100))*0.1,0)),"")</f>
        <v/>
      </c>
      <c r="F194" s="31"/>
      <c r="G194" s="31"/>
      <c r="H194" s="31"/>
      <c r="I194" s="32"/>
    </row>
    <row r="195" customFormat="false" ht="15" hidden="false" customHeight="false" outlineLevel="0" collapsed="false">
      <c r="A195" s="26" t="n">
        <f aca="false">'Daily Tracker'!A195</f>
        <v>46213</v>
      </c>
      <c r="B195" s="47" t="str">
        <f aca="false">IF('Daily Tracker'!F195="","",'Daily Tracker'!F195)</f>
        <v/>
      </c>
      <c r="C195" s="31"/>
      <c r="D195" s="31"/>
      <c r="E195" s="56" t="str">
        <f aca="false">IFERROR(IF(COUNT(B195,C195,D195,F195,G195,H195)=0,"",ROUND((IF(B195="",70,MIN(B195/SleepGoal,1)*100))*0.25+(IF(C195="",70,MIN(C195/HRVGoal,1)*100))*0.2+(IF(D195="",70,MAX(0,MIN(1,(RHRPoor-D195)/(RHRPoor-RHRExcellent)))*100))*0.2+(IF(F195="",70,(5-F195)/4*100))*0.15+(IF(G195="",70,(5-G195)/4*100))*0.1+(IF(H195="",70,(5-H195)/4*100))*0.1,0)),"")</f>
        <v/>
      </c>
      <c r="F195" s="31"/>
      <c r="G195" s="31"/>
      <c r="H195" s="31"/>
      <c r="I195" s="32"/>
    </row>
    <row r="196" customFormat="false" ht="15" hidden="false" customHeight="false" outlineLevel="0" collapsed="false">
      <c r="A196" s="35" t="n">
        <f aca="false">'Daily Tracker'!A196</f>
        <v>46214</v>
      </c>
      <c r="B196" s="48" t="str">
        <f aca="false">IF('Daily Tracker'!F196="","",'Daily Tracker'!F196)</f>
        <v/>
      </c>
      <c r="C196" s="31"/>
      <c r="D196" s="31"/>
      <c r="E196" s="56" t="str">
        <f aca="false">IFERROR(IF(COUNT(B196,C196,D196,F196,G196,H196)=0,"",ROUND((IF(B196="",70,MIN(B196/SleepGoal,1)*100))*0.25+(IF(C196="",70,MIN(C196/HRVGoal,1)*100))*0.2+(IF(D196="",70,MAX(0,MIN(1,(RHRPoor-D196)/(RHRPoor-RHRExcellent)))*100))*0.2+(IF(F196="",70,(5-F196)/4*100))*0.15+(IF(G196="",70,(5-G196)/4*100))*0.1+(IF(H196="",70,(5-H196)/4*100))*0.1,0)),"")</f>
        <v/>
      </c>
      <c r="F196" s="31"/>
      <c r="G196" s="31"/>
      <c r="H196" s="31"/>
      <c r="I196" s="32"/>
    </row>
    <row r="197" customFormat="false" ht="15" hidden="false" customHeight="false" outlineLevel="0" collapsed="false">
      <c r="A197" s="26" t="n">
        <f aca="false">'Daily Tracker'!A197</f>
        <v>46215</v>
      </c>
      <c r="B197" s="47" t="str">
        <f aca="false">IF('Daily Tracker'!F197="","",'Daily Tracker'!F197)</f>
        <v/>
      </c>
      <c r="C197" s="31"/>
      <c r="D197" s="31"/>
      <c r="E197" s="56" t="str">
        <f aca="false">IFERROR(IF(COUNT(B197,C197,D197,F197,G197,H197)=0,"",ROUND((IF(B197="",70,MIN(B197/SleepGoal,1)*100))*0.25+(IF(C197="",70,MIN(C197/HRVGoal,1)*100))*0.2+(IF(D197="",70,MAX(0,MIN(1,(RHRPoor-D197)/(RHRPoor-RHRExcellent)))*100))*0.2+(IF(F197="",70,(5-F197)/4*100))*0.15+(IF(G197="",70,(5-G197)/4*100))*0.1+(IF(H197="",70,(5-H197)/4*100))*0.1,0)),"")</f>
        <v/>
      </c>
      <c r="F197" s="31"/>
      <c r="G197" s="31"/>
      <c r="H197" s="31"/>
      <c r="I197" s="32"/>
    </row>
    <row r="198" customFormat="false" ht="15" hidden="false" customHeight="false" outlineLevel="0" collapsed="false">
      <c r="A198" s="35" t="n">
        <f aca="false">'Daily Tracker'!A198</f>
        <v>46216</v>
      </c>
      <c r="B198" s="48" t="str">
        <f aca="false">IF('Daily Tracker'!F198="","",'Daily Tracker'!F198)</f>
        <v/>
      </c>
      <c r="C198" s="31"/>
      <c r="D198" s="31"/>
      <c r="E198" s="56" t="str">
        <f aca="false">IFERROR(IF(COUNT(B198,C198,D198,F198,G198,H198)=0,"",ROUND((IF(B198="",70,MIN(B198/SleepGoal,1)*100))*0.25+(IF(C198="",70,MIN(C198/HRVGoal,1)*100))*0.2+(IF(D198="",70,MAX(0,MIN(1,(RHRPoor-D198)/(RHRPoor-RHRExcellent)))*100))*0.2+(IF(F198="",70,(5-F198)/4*100))*0.15+(IF(G198="",70,(5-G198)/4*100))*0.1+(IF(H198="",70,(5-H198)/4*100))*0.1,0)),"")</f>
        <v/>
      </c>
      <c r="F198" s="31"/>
      <c r="G198" s="31"/>
      <c r="H198" s="31"/>
      <c r="I198" s="32"/>
    </row>
    <row r="199" customFormat="false" ht="15" hidden="false" customHeight="false" outlineLevel="0" collapsed="false">
      <c r="A199" s="26" t="n">
        <f aca="false">'Daily Tracker'!A199</f>
        <v>46217</v>
      </c>
      <c r="B199" s="47" t="str">
        <f aca="false">IF('Daily Tracker'!F199="","",'Daily Tracker'!F199)</f>
        <v/>
      </c>
      <c r="C199" s="31"/>
      <c r="D199" s="31"/>
      <c r="E199" s="56" t="str">
        <f aca="false">IFERROR(IF(COUNT(B199,C199,D199,F199,G199,H199)=0,"",ROUND((IF(B199="",70,MIN(B199/SleepGoal,1)*100))*0.25+(IF(C199="",70,MIN(C199/HRVGoal,1)*100))*0.2+(IF(D199="",70,MAX(0,MIN(1,(RHRPoor-D199)/(RHRPoor-RHRExcellent)))*100))*0.2+(IF(F199="",70,(5-F199)/4*100))*0.15+(IF(G199="",70,(5-G199)/4*100))*0.1+(IF(H199="",70,(5-H199)/4*100))*0.1,0)),"")</f>
        <v/>
      </c>
      <c r="F199" s="31"/>
      <c r="G199" s="31"/>
      <c r="H199" s="31"/>
      <c r="I199" s="32"/>
    </row>
    <row r="200" customFormat="false" ht="15" hidden="false" customHeight="false" outlineLevel="0" collapsed="false">
      <c r="A200" s="35" t="n">
        <f aca="false">'Daily Tracker'!A200</f>
        <v>46218</v>
      </c>
      <c r="B200" s="48" t="str">
        <f aca="false">IF('Daily Tracker'!F200="","",'Daily Tracker'!F200)</f>
        <v/>
      </c>
      <c r="C200" s="31"/>
      <c r="D200" s="31"/>
      <c r="E200" s="56" t="str">
        <f aca="false">IFERROR(IF(COUNT(B200,C200,D200,F200,G200,H200)=0,"",ROUND((IF(B200="",70,MIN(B200/SleepGoal,1)*100))*0.25+(IF(C200="",70,MIN(C200/HRVGoal,1)*100))*0.2+(IF(D200="",70,MAX(0,MIN(1,(RHRPoor-D200)/(RHRPoor-RHRExcellent)))*100))*0.2+(IF(F200="",70,(5-F200)/4*100))*0.15+(IF(G200="",70,(5-G200)/4*100))*0.1+(IF(H200="",70,(5-H200)/4*100))*0.1,0)),"")</f>
        <v/>
      </c>
      <c r="F200" s="31"/>
      <c r="G200" s="31"/>
      <c r="H200" s="31"/>
      <c r="I200" s="32"/>
    </row>
    <row r="201" customFormat="false" ht="15" hidden="false" customHeight="false" outlineLevel="0" collapsed="false">
      <c r="A201" s="26" t="n">
        <f aca="false">'Daily Tracker'!A201</f>
        <v>46219</v>
      </c>
      <c r="B201" s="47" t="str">
        <f aca="false">IF('Daily Tracker'!F201="","",'Daily Tracker'!F201)</f>
        <v/>
      </c>
      <c r="C201" s="31"/>
      <c r="D201" s="31"/>
      <c r="E201" s="56" t="str">
        <f aca="false">IFERROR(IF(COUNT(B201,C201,D201,F201,G201,H201)=0,"",ROUND((IF(B201="",70,MIN(B201/SleepGoal,1)*100))*0.25+(IF(C201="",70,MIN(C201/HRVGoal,1)*100))*0.2+(IF(D201="",70,MAX(0,MIN(1,(RHRPoor-D201)/(RHRPoor-RHRExcellent)))*100))*0.2+(IF(F201="",70,(5-F201)/4*100))*0.15+(IF(G201="",70,(5-G201)/4*100))*0.1+(IF(H201="",70,(5-H201)/4*100))*0.1,0)),"")</f>
        <v/>
      </c>
      <c r="F201" s="31"/>
      <c r="G201" s="31"/>
      <c r="H201" s="31"/>
      <c r="I201" s="32"/>
    </row>
    <row r="202" customFormat="false" ht="15" hidden="false" customHeight="false" outlineLevel="0" collapsed="false">
      <c r="A202" s="35" t="n">
        <f aca="false">'Daily Tracker'!A202</f>
        <v>46220</v>
      </c>
      <c r="B202" s="48" t="str">
        <f aca="false">IF('Daily Tracker'!F202="","",'Daily Tracker'!F202)</f>
        <v/>
      </c>
      <c r="C202" s="31"/>
      <c r="D202" s="31"/>
      <c r="E202" s="56" t="str">
        <f aca="false">IFERROR(IF(COUNT(B202,C202,D202,F202,G202,H202)=0,"",ROUND((IF(B202="",70,MIN(B202/SleepGoal,1)*100))*0.25+(IF(C202="",70,MIN(C202/HRVGoal,1)*100))*0.2+(IF(D202="",70,MAX(0,MIN(1,(RHRPoor-D202)/(RHRPoor-RHRExcellent)))*100))*0.2+(IF(F202="",70,(5-F202)/4*100))*0.15+(IF(G202="",70,(5-G202)/4*100))*0.1+(IF(H202="",70,(5-H202)/4*100))*0.1,0)),"")</f>
        <v/>
      </c>
      <c r="F202" s="31"/>
      <c r="G202" s="31"/>
      <c r="H202" s="31"/>
      <c r="I202" s="32"/>
    </row>
    <row r="203" customFormat="false" ht="15" hidden="false" customHeight="false" outlineLevel="0" collapsed="false">
      <c r="A203" s="26" t="n">
        <f aca="false">'Daily Tracker'!A203</f>
        <v>46221</v>
      </c>
      <c r="B203" s="47" t="str">
        <f aca="false">IF('Daily Tracker'!F203="","",'Daily Tracker'!F203)</f>
        <v/>
      </c>
      <c r="C203" s="31"/>
      <c r="D203" s="31"/>
      <c r="E203" s="56" t="str">
        <f aca="false">IFERROR(IF(COUNT(B203,C203,D203,F203,G203,H203)=0,"",ROUND((IF(B203="",70,MIN(B203/SleepGoal,1)*100))*0.25+(IF(C203="",70,MIN(C203/HRVGoal,1)*100))*0.2+(IF(D203="",70,MAX(0,MIN(1,(RHRPoor-D203)/(RHRPoor-RHRExcellent)))*100))*0.2+(IF(F203="",70,(5-F203)/4*100))*0.15+(IF(G203="",70,(5-G203)/4*100))*0.1+(IF(H203="",70,(5-H203)/4*100))*0.1,0)),"")</f>
        <v/>
      </c>
      <c r="F203" s="31"/>
      <c r="G203" s="31"/>
      <c r="H203" s="31"/>
      <c r="I203" s="32"/>
    </row>
    <row r="204" customFormat="false" ht="15" hidden="false" customHeight="false" outlineLevel="0" collapsed="false">
      <c r="A204" s="35" t="n">
        <f aca="false">'Daily Tracker'!A204</f>
        <v>46222</v>
      </c>
      <c r="B204" s="48" t="str">
        <f aca="false">IF('Daily Tracker'!F204="","",'Daily Tracker'!F204)</f>
        <v/>
      </c>
      <c r="C204" s="31"/>
      <c r="D204" s="31"/>
      <c r="E204" s="56" t="str">
        <f aca="false">IFERROR(IF(COUNT(B204,C204,D204,F204,G204,H204)=0,"",ROUND((IF(B204="",70,MIN(B204/SleepGoal,1)*100))*0.25+(IF(C204="",70,MIN(C204/HRVGoal,1)*100))*0.2+(IF(D204="",70,MAX(0,MIN(1,(RHRPoor-D204)/(RHRPoor-RHRExcellent)))*100))*0.2+(IF(F204="",70,(5-F204)/4*100))*0.15+(IF(G204="",70,(5-G204)/4*100))*0.1+(IF(H204="",70,(5-H204)/4*100))*0.1,0)),"")</f>
        <v/>
      </c>
      <c r="F204" s="31"/>
      <c r="G204" s="31"/>
      <c r="H204" s="31"/>
      <c r="I204" s="32"/>
    </row>
    <row r="205" customFormat="false" ht="15" hidden="false" customHeight="false" outlineLevel="0" collapsed="false">
      <c r="A205" s="26" t="n">
        <f aca="false">'Daily Tracker'!A205</f>
        <v>46223</v>
      </c>
      <c r="B205" s="47" t="str">
        <f aca="false">IF('Daily Tracker'!F205="","",'Daily Tracker'!F205)</f>
        <v/>
      </c>
      <c r="C205" s="31"/>
      <c r="D205" s="31"/>
      <c r="E205" s="56" t="str">
        <f aca="false">IFERROR(IF(COUNT(B205,C205,D205,F205,G205,H205)=0,"",ROUND((IF(B205="",70,MIN(B205/SleepGoal,1)*100))*0.25+(IF(C205="",70,MIN(C205/HRVGoal,1)*100))*0.2+(IF(D205="",70,MAX(0,MIN(1,(RHRPoor-D205)/(RHRPoor-RHRExcellent)))*100))*0.2+(IF(F205="",70,(5-F205)/4*100))*0.15+(IF(G205="",70,(5-G205)/4*100))*0.1+(IF(H205="",70,(5-H205)/4*100))*0.1,0)),"")</f>
        <v/>
      </c>
      <c r="F205" s="31"/>
      <c r="G205" s="31"/>
      <c r="H205" s="31"/>
      <c r="I205" s="32"/>
    </row>
    <row r="206" customFormat="false" ht="15" hidden="false" customHeight="false" outlineLevel="0" collapsed="false">
      <c r="A206" s="35" t="n">
        <f aca="false">'Daily Tracker'!A206</f>
        <v>46224</v>
      </c>
      <c r="B206" s="48" t="str">
        <f aca="false">IF('Daily Tracker'!F206="","",'Daily Tracker'!F206)</f>
        <v/>
      </c>
      <c r="C206" s="31"/>
      <c r="D206" s="31"/>
      <c r="E206" s="56" t="str">
        <f aca="false">IFERROR(IF(COUNT(B206,C206,D206,F206,G206,H206)=0,"",ROUND((IF(B206="",70,MIN(B206/SleepGoal,1)*100))*0.25+(IF(C206="",70,MIN(C206/HRVGoal,1)*100))*0.2+(IF(D206="",70,MAX(0,MIN(1,(RHRPoor-D206)/(RHRPoor-RHRExcellent)))*100))*0.2+(IF(F206="",70,(5-F206)/4*100))*0.15+(IF(G206="",70,(5-G206)/4*100))*0.1+(IF(H206="",70,(5-H206)/4*100))*0.1,0)),"")</f>
        <v/>
      </c>
      <c r="F206" s="31"/>
      <c r="G206" s="31"/>
      <c r="H206" s="31"/>
      <c r="I206" s="32"/>
    </row>
    <row r="207" customFormat="false" ht="15" hidden="false" customHeight="false" outlineLevel="0" collapsed="false">
      <c r="A207" s="26" t="n">
        <f aca="false">'Daily Tracker'!A207</f>
        <v>46225</v>
      </c>
      <c r="B207" s="47" t="str">
        <f aca="false">IF('Daily Tracker'!F207="","",'Daily Tracker'!F207)</f>
        <v/>
      </c>
      <c r="C207" s="31"/>
      <c r="D207" s="31"/>
      <c r="E207" s="56" t="str">
        <f aca="false">IFERROR(IF(COUNT(B207,C207,D207,F207,G207,H207)=0,"",ROUND((IF(B207="",70,MIN(B207/SleepGoal,1)*100))*0.25+(IF(C207="",70,MIN(C207/HRVGoal,1)*100))*0.2+(IF(D207="",70,MAX(0,MIN(1,(RHRPoor-D207)/(RHRPoor-RHRExcellent)))*100))*0.2+(IF(F207="",70,(5-F207)/4*100))*0.15+(IF(G207="",70,(5-G207)/4*100))*0.1+(IF(H207="",70,(5-H207)/4*100))*0.1,0)),"")</f>
        <v/>
      </c>
      <c r="F207" s="31"/>
      <c r="G207" s="31"/>
      <c r="H207" s="31"/>
      <c r="I207" s="32"/>
    </row>
    <row r="208" customFormat="false" ht="15" hidden="false" customHeight="false" outlineLevel="0" collapsed="false">
      <c r="A208" s="35" t="n">
        <f aca="false">'Daily Tracker'!A208</f>
        <v>46226</v>
      </c>
      <c r="B208" s="48" t="str">
        <f aca="false">IF('Daily Tracker'!F208="","",'Daily Tracker'!F208)</f>
        <v/>
      </c>
      <c r="C208" s="31"/>
      <c r="D208" s="31"/>
      <c r="E208" s="56" t="str">
        <f aca="false">IFERROR(IF(COUNT(B208,C208,D208,F208,G208,H208)=0,"",ROUND((IF(B208="",70,MIN(B208/SleepGoal,1)*100))*0.25+(IF(C208="",70,MIN(C208/HRVGoal,1)*100))*0.2+(IF(D208="",70,MAX(0,MIN(1,(RHRPoor-D208)/(RHRPoor-RHRExcellent)))*100))*0.2+(IF(F208="",70,(5-F208)/4*100))*0.15+(IF(G208="",70,(5-G208)/4*100))*0.1+(IF(H208="",70,(5-H208)/4*100))*0.1,0)),"")</f>
        <v/>
      </c>
      <c r="F208" s="31"/>
      <c r="G208" s="31"/>
      <c r="H208" s="31"/>
      <c r="I208" s="32"/>
    </row>
    <row r="209" customFormat="false" ht="15" hidden="false" customHeight="false" outlineLevel="0" collapsed="false">
      <c r="A209" s="26" t="n">
        <f aca="false">'Daily Tracker'!A209</f>
        <v>46227</v>
      </c>
      <c r="B209" s="47" t="str">
        <f aca="false">IF('Daily Tracker'!F209="","",'Daily Tracker'!F209)</f>
        <v/>
      </c>
      <c r="C209" s="31"/>
      <c r="D209" s="31"/>
      <c r="E209" s="56" t="str">
        <f aca="false">IFERROR(IF(COUNT(B209,C209,D209,F209,G209,H209)=0,"",ROUND((IF(B209="",70,MIN(B209/SleepGoal,1)*100))*0.25+(IF(C209="",70,MIN(C209/HRVGoal,1)*100))*0.2+(IF(D209="",70,MAX(0,MIN(1,(RHRPoor-D209)/(RHRPoor-RHRExcellent)))*100))*0.2+(IF(F209="",70,(5-F209)/4*100))*0.15+(IF(G209="",70,(5-G209)/4*100))*0.1+(IF(H209="",70,(5-H209)/4*100))*0.1,0)),"")</f>
        <v/>
      </c>
      <c r="F209" s="31"/>
      <c r="G209" s="31"/>
      <c r="H209" s="31"/>
      <c r="I209" s="32"/>
    </row>
    <row r="210" customFormat="false" ht="15" hidden="false" customHeight="false" outlineLevel="0" collapsed="false">
      <c r="A210" s="35" t="n">
        <f aca="false">'Daily Tracker'!A210</f>
        <v>46228</v>
      </c>
      <c r="B210" s="48" t="str">
        <f aca="false">IF('Daily Tracker'!F210="","",'Daily Tracker'!F210)</f>
        <v/>
      </c>
      <c r="C210" s="31"/>
      <c r="D210" s="31"/>
      <c r="E210" s="56" t="str">
        <f aca="false">IFERROR(IF(COUNT(B210,C210,D210,F210,G210,H210)=0,"",ROUND((IF(B210="",70,MIN(B210/SleepGoal,1)*100))*0.25+(IF(C210="",70,MIN(C210/HRVGoal,1)*100))*0.2+(IF(D210="",70,MAX(0,MIN(1,(RHRPoor-D210)/(RHRPoor-RHRExcellent)))*100))*0.2+(IF(F210="",70,(5-F210)/4*100))*0.15+(IF(G210="",70,(5-G210)/4*100))*0.1+(IF(H210="",70,(5-H210)/4*100))*0.1,0)),"")</f>
        <v/>
      </c>
      <c r="F210" s="31"/>
      <c r="G210" s="31"/>
      <c r="H210" s="31"/>
      <c r="I210" s="32"/>
    </row>
    <row r="211" customFormat="false" ht="15" hidden="false" customHeight="false" outlineLevel="0" collapsed="false">
      <c r="A211" s="26" t="n">
        <f aca="false">'Daily Tracker'!A211</f>
        <v>46229</v>
      </c>
      <c r="B211" s="47" t="str">
        <f aca="false">IF('Daily Tracker'!F211="","",'Daily Tracker'!F211)</f>
        <v/>
      </c>
      <c r="C211" s="31"/>
      <c r="D211" s="31"/>
      <c r="E211" s="56" t="str">
        <f aca="false">IFERROR(IF(COUNT(B211,C211,D211,F211,G211,H211)=0,"",ROUND((IF(B211="",70,MIN(B211/SleepGoal,1)*100))*0.25+(IF(C211="",70,MIN(C211/HRVGoal,1)*100))*0.2+(IF(D211="",70,MAX(0,MIN(1,(RHRPoor-D211)/(RHRPoor-RHRExcellent)))*100))*0.2+(IF(F211="",70,(5-F211)/4*100))*0.15+(IF(G211="",70,(5-G211)/4*100))*0.1+(IF(H211="",70,(5-H211)/4*100))*0.1,0)),"")</f>
        <v/>
      </c>
      <c r="F211" s="31"/>
      <c r="G211" s="31"/>
      <c r="H211" s="31"/>
      <c r="I211" s="32"/>
    </row>
    <row r="212" customFormat="false" ht="15" hidden="false" customHeight="false" outlineLevel="0" collapsed="false">
      <c r="A212" s="35" t="n">
        <f aca="false">'Daily Tracker'!A212</f>
        <v>46230</v>
      </c>
      <c r="B212" s="48" t="str">
        <f aca="false">IF('Daily Tracker'!F212="","",'Daily Tracker'!F212)</f>
        <v/>
      </c>
      <c r="C212" s="31"/>
      <c r="D212" s="31"/>
      <c r="E212" s="56" t="str">
        <f aca="false">IFERROR(IF(COUNT(B212,C212,D212,F212,G212,H212)=0,"",ROUND((IF(B212="",70,MIN(B212/SleepGoal,1)*100))*0.25+(IF(C212="",70,MIN(C212/HRVGoal,1)*100))*0.2+(IF(D212="",70,MAX(0,MIN(1,(RHRPoor-D212)/(RHRPoor-RHRExcellent)))*100))*0.2+(IF(F212="",70,(5-F212)/4*100))*0.15+(IF(G212="",70,(5-G212)/4*100))*0.1+(IF(H212="",70,(5-H212)/4*100))*0.1,0)),"")</f>
        <v/>
      </c>
      <c r="F212" s="31"/>
      <c r="G212" s="31"/>
      <c r="H212" s="31"/>
      <c r="I212" s="32"/>
    </row>
    <row r="213" customFormat="false" ht="15" hidden="false" customHeight="false" outlineLevel="0" collapsed="false">
      <c r="A213" s="26" t="n">
        <f aca="false">'Daily Tracker'!A213</f>
        <v>46231</v>
      </c>
      <c r="B213" s="47" t="str">
        <f aca="false">IF('Daily Tracker'!F213="","",'Daily Tracker'!F213)</f>
        <v/>
      </c>
      <c r="C213" s="31"/>
      <c r="D213" s="31"/>
      <c r="E213" s="56" t="str">
        <f aca="false">IFERROR(IF(COUNT(B213,C213,D213,F213,G213,H213)=0,"",ROUND((IF(B213="",70,MIN(B213/SleepGoal,1)*100))*0.25+(IF(C213="",70,MIN(C213/HRVGoal,1)*100))*0.2+(IF(D213="",70,MAX(0,MIN(1,(RHRPoor-D213)/(RHRPoor-RHRExcellent)))*100))*0.2+(IF(F213="",70,(5-F213)/4*100))*0.15+(IF(G213="",70,(5-G213)/4*100))*0.1+(IF(H213="",70,(5-H213)/4*100))*0.1,0)),"")</f>
        <v/>
      </c>
      <c r="F213" s="31"/>
      <c r="G213" s="31"/>
      <c r="H213" s="31"/>
      <c r="I213" s="32"/>
    </row>
    <row r="214" customFormat="false" ht="15" hidden="false" customHeight="false" outlineLevel="0" collapsed="false">
      <c r="A214" s="35" t="n">
        <f aca="false">'Daily Tracker'!A214</f>
        <v>46232</v>
      </c>
      <c r="B214" s="48" t="str">
        <f aca="false">IF('Daily Tracker'!F214="","",'Daily Tracker'!F214)</f>
        <v/>
      </c>
      <c r="C214" s="31"/>
      <c r="D214" s="31"/>
      <c r="E214" s="56" t="str">
        <f aca="false">IFERROR(IF(COUNT(B214,C214,D214,F214,G214,H214)=0,"",ROUND((IF(B214="",70,MIN(B214/SleepGoal,1)*100))*0.25+(IF(C214="",70,MIN(C214/HRVGoal,1)*100))*0.2+(IF(D214="",70,MAX(0,MIN(1,(RHRPoor-D214)/(RHRPoor-RHRExcellent)))*100))*0.2+(IF(F214="",70,(5-F214)/4*100))*0.15+(IF(G214="",70,(5-G214)/4*100))*0.1+(IF(H214="",70,(5-H214)/4*100))*0.1,0)),"")</f>
        <v/>
      </c>
      <c r="F214" s="31"/>
      <c r="G214" s="31"/>
      <c r="H214" s="31"/>
      <c r="I214" s="32"/>
    </row>
    <row r="215" customFormat="false" ht="15" hidden="false" customHeight="false" outlineLevel="0" collapsed="false">
      <c r="A215" s="26" t="n">
        <f aca="false">'Daily Tracker'!A215</f>
        <v>46233</v>
      </c>
      <c r="B215" s="47" t="str">
        <f aca="false">IF('Daily Tracker'!F215="","",'Daily Tracker'!F215)</f>
        <v/>
      </c>
      <c r="C215" s="31"/>
      <c r="D215" s="31"/>
      <c r="E215" s="56" t="str">
        <f aca="false">IFERROR(IF(COUNT(B215,C215,D215,F215,G215,H215)=0,"",ROUND((IF(B215="",70,MIN(B215/SleepGoal,1)*100))*0.25+(IF(C215="",70,MIN(C215/HRVGoal,1)*100))*0.2+(IF(D215="",70,MAX(0,MIN(1,(RHRPoor-D215)/(RHRPoor-RHRExcellent)))*100))*0.2+(IF(F215="",70,(5-F215)/4*100))*0.15+(IF(G215="",70,(5-G215)/4*100))*0.1+(IF(H215="",70,(5-H215)/4*100))*0.1,0)),"")</f>
        <v/>
      </c>
      <c r="F215" s="31"/>
      <c r="G215" s="31"/>
      <c r="H215" s="31"/>
      <c r="I215" s="32"/>
    </row>
    <row r="216" customFormat="false" ht="15" hidden="false" customHeight="false" outlineLevel="0" collapsed="false">
      <c r="A216" s="35" t="n">
        <f aca="false">'Daily Tracker'!A216</f>
        <v>46234</v>
      </c>
      <c r="B216" s="48" t="str">
        <f aca="false">IF('Daily Tracker'!F216="","",'Daily Tracker'!F216)</f>
        <v/>
      </c>
      <c r="C216" s="31"/>
      <c r="D216" s="31"/>
      <c r="E216" s="56" t="str">
        <f aca="false">IFERROR(IF(COUNT(B216,C216,D216,F216,G216,H216)=0,"",ROUND((IF(B216="",70,MIN(B216/SleepGoal,1)*100))*0.25+(IF(C216="",70,MIN(C216/HRVGoal,1)*100))*0.2+(IF(D216="",70,MAX(0,MIN(1,(RHRPoor-D216)/(RHRPoor-RHRExcellent)))*100))*0.2+(IF(F216="",70,(5-F216)/4*100))*0.15+(IF(G216="",70,(5-G216)/4*100))*0.1+(IF(H216="",70,(5-H216)/4*100))*0.1,0)),"")</f>
        <v/>
      </c>
      <c r="F216" s="31"/>
      <c r="G216" s="31"/>
      <c r="H216" s="31"/>
      <c r="I216" s="32"/>
    </row>
    <row r="217" customFormat="false" ht="15" hidden="false" customHeight="false" outlineLevel="0" collapsed="false">
      <c r="A217" s="26" t="n">
        <f aca="false">'Daily Tracker'!A217</f>
        <v>46235</v>
      </c>
      <c r="B217" s="47" t="str">
        <f aca="false">IF('Daily Tracker'!F217="","",'Daily Tracker'!F217)</f>
        <v/>
      </c>
      <c r="C217" s="31"/>
      <c r="D217" s="31"/>
      <c r="E217" s="56" t="str">
        <f aca="false">IFERROR(IF(COUNT(B217,C217,D217,F217,G217,H217)=0,"",ROUND((IF(B217="",70,MIN(B217/SleepGoal,1)*100))*0.25+(IF(C217="",70,MIN(C217/HRVGoal,1)*100))*0.2+(IF(D217="",70,MAX(0,MIN(1,(RHRPoor-D217)/(RHRPoor-RHRExcellent)))*100))*0.2+(IF(F217="",70,(5-F217)/4*100))*0.15+(IF(G217="",70,(5-G217)/4*100))*0.1+(IF(H217="",70,(5-H217)/4*100))*0.1,0)),"")</f>
        <v/>
      </c>
      <c r="F217" s="31"/>
      <c r="G217" s="31"/>
      <c r="H217" s="31"/>
      <c r="I217" s="32"/>
    </row>
    <row r="218" customFormat="false" ht="15" hidden="false" customHeight="false" outlineLevel="0" collapsed="false">
      <c r="A218" s="35" t="n">
        <f aca="false">'Daily Tracker'!A218</f>
        <v>46236</v>
      </c>
      <c r="B218" s="48" t="str">
        <f aca="false">IF('Daily Tracker'!F218="","",'Daily Tracker'!F218)</f>
        <v/>
      </c>
      <c r="C218" s="31"/>
      <c r="D218" s="31"/>
      <c r="E218" s="56" t="str">
        <f aca="false">IFERROR(IF(COUNT(B218,C218,D218,F218,G218,H218)=0,"",ROUND((IF(B218="",70,MIN(B218/SleepGoal,1)*100))*0.25+(IF(C218="",70,MIN(C218/HRVGoal,1)*100))*0.2+(IF(D218="",70,MAX(0,MIN(1,(RHRPoor-D218)/(RHRPoor-RHRExcellent)))*100))*0.2+(IF(F218="",70,(5-F218)/4*100))*0.15+(IF(G218="",70,(5-G218)/4*100))*0.1+(IF(H218="",70,(5-H218)/4*100))*0.1,0)),"")</f>
        <v/>
      </c>
      <c r="F218" s="31"/>
      <c r="G218" s="31"/>
      <c r="H218" s="31"/>
      <c r="I218" s="32"/>
    </row>
    <row r="219" customFormat="false" ht="15" hidden="false" customHeight="false" outlineLevel="0" collapsed="false">
      <c r="A219" s="26" t="n">
        <f aca="false">'Daily Tracker'!A219</f>
        <v>46237</v>
      </c>
      <c r="B219" s="47" t="str">
        <f aca="false">IF('Daily Tracker'!F219="","",'Daily Tracker'!F219)</f>
        <v/>
      </c>
      <c r="C219" s="31"/>
      <c r="D219" s="31"/>
      <c r="E219" s="56" t="str">
        <f aca="false">IFERROR(IF(COUNT(B219,C219,D219,F219,G219,H219)=0,"",ROUND((IF(B219="",70,MIN(B219/SleepGoal,1)*100))*0.25+(IF(C219="",70,MIN(C219/HRVGoal,1)*100))*0.2+(IF(D219="",70,MAX(0,MIN(1,(RHRPoor-D219)/(RHRPoor-RHRExcellent)))*100))*0.2+(IF(F219="",70,(5-F219)/4*100))*0.15+(IF(G219="",70,(5-G219)/4*100))*0.1+(IF(H219="",70,(5-H219)/4*100))*0.1,0)),"")</f>
        <v/>
      </c>
      <c r="F219" s="31"/>
      <c r="G219" s="31"/>
      <c r="H219" s="31"/>
      <c r="I219" s="32"/>
    </row>
    <row r="220" customFormat="false" ht="15" hidden="false" customHeight="false" outlineLevel="0" collapsed="false">
      <c r="A220" s="35" t="n">
        <f aca="false">'Daily Tracker'!A220</f>
        <v>46238</v>
      </c>
      <c r="B220" s="48" t="str">
        <f aca="false">IF('Daily Tracker'!F220="","",'Daily Tracker'!F220)</f>
        <v/>
      </c>
      <c r="C220" s="31"/>
      <c r="D220" s="31"/>
      <c r="E220" s="56" t="str">
        <f aca="false">IFERROR(IF(COUNT(B220,C220,D220,F220,G220,H220)=0,"",ROUND((IF(B220="",70,MIN(B220/SleepGoal,1)*100))*0.25+(IF(C220="",70,MIN(C220/HRVGoal,1)*100))*0.2+(IF(D220="",70,MAX(0,MIN(1,(RHRPoor-D220)/(RHRPoor-RHRExcellent)))*100))*0.2+(IF(F220="",70,(5-F220)/4*100))*0.15+(IF(G220="",70,(5-G220)/4*100))*0.1+(IF(H220="",70,(5-H220)/4*100))*0.1,0)),"")</f>
        <v/>
      </c>
      <c r="F220" s="31"/>
      <c r="G220" s="31"/>
      <c r="H220" s="31"/>
      <c r="I220" s="32"/>
    </row>
    <row r="221" customFormat="false" ht="15" hidden="false" customHeight="false" outlineLevel="0" collapsed="false">
      <c r="A221" s="26" t="n">
        <f aca="false">'Daily Tracker'!A221</f>
        <v>46239</v>
      </c>
      <c r="B221" s="47" t="str">
        <f aca="false">IF('Daily Tracker'!F221="","",'Daily Tracker'!F221)</f>
        <v/>
      </c>
      <c r="C221" s="31"/>
      <c r="D221" s="31"/>
      <c r="E221" s="56" t="str">
        <f aca="false">IFERROR(IF(COUNT(B221,C221,D221,F221,G221,H221)=0,"",ROUND((IF(B221="",70,MIN(B221/SleepGoal,1)*100))*0.25+(IF(C221="",70,MIN(C221/HRVGoal,1)*100))*0.2+(IF(D221="",70,MAX(0,MIN(1,(RHRPoor-D221)/(RHRPoor-RHRExcellent)))*100))*0.2+(IF(F221="",70,(5-F221)/4*100))*0.15+(IF(G221="",70,(5-G221)/4*100))*0.1+(IF(H221="",70,(5-H221)/4*100))*0.1,0)),"")</f>
        <v/>
      </c>
      <c r="F221" s="31"/>
      <c r="G221" s="31"/>
      <c r="H221" s="31"/>
      <c r="I221" s="32"/>
    </row>
    <row r="222" customFormat="false" ht="15" hidden="false" customHeight="false" outlineLevel="0" collapsed="false">
      <c r="A222" s="35" t="n">
        <f aca="false">'Daily Tracker'!A222</f>
        <v>46240</v>
      </c>
      <c r="B222" s="48" t="str">
        <f aca="false">IF('Daily Tracker'!F222="","",'Daily Tracker'!F222)</f>
        <v/>
      </c>
      <c r="C222" s="31"/>
      <c r="D222" s="31"/>
      <c r="E222" s="56" t="str">
        <f aca="false">IFERROR(IF(COUNT(B222,C222,D222,F222,G222,H222)=0,"",ROUND((IF(B222="",70,MIN(B222/SleepGoal,1)*100))*0.25+(IF(C222="",70,MIN(C222/HRVGoal,1)*100))*0.2+(IF(D222="",70,MAX(0,MIN(1,(RHRPoor-D222)/(RHRPoor-RHRExcellent)))*100))*0.2+(IF(F222="",70,(5-F222)/4*100))*0.15+(IF(G222="",70,(5-G222)/4*100))*0.1+(IF(H222="",70,(5-H222)/4*100))*0.1,0)),"")</f>
        <v/>
      </c>
      <c r="F222" s="31"/>
      <c r="G222" s="31"/>
      <c r="H222" s="31"/>
      <c r="I222" s="32"/>
    </row>
    <row r="223" customFormat="false" ht="15" hidden="false" customHeight="false" outlineLevel="0" collapsed="false">
      <c r="A223" s="26" t="n">
        <f aca="false">'Daily Tracker'!A223</f>
        <v>46241</v>
      </c>
      <c r="B223" s="47" t="str">
        <f aca="false">IF('Daily Tracker'!F223="","",'Daily Tracker'!F223)</f>
        <v/>
      </c>
      <c r="C223" s="31"/>
      <c r="D223" s="31"/>
      <c r="E223" s="56" t="str">
        <f aca="false">IFERROR(IF(COUNT(B223,C223,D223,F223,G223,H223)=0,"",ROUND((IF(B223="",70,MIN(B223/SleepGoal,1)*100))*0.25+(IF(C223="",70,MIN(C223/HRVGoal,1)*100))*0.2+(IF(D223="",70,MAX(0,MIN(1,(RHRPoor-D223)/(RHRPoor-RHRExcellent)))*100))*0.2+(IF(F223="",70,(5-F223)/4*100))*0.15+(IF(G223="",70,(5-G223)/4*100))*0.1+(IF(H223="",70,(5-H223)/4*100))*0.1,0)),"")</f>
        <v/>
      </c>
      <c r="F223" s="31"/>
      <c r="G223" s="31"/>
      <c r="H223" s="31"/>
      <c r="I223" s="32"/>
    </row>
    <row r="224" customFormat="false" ht="15" hidden="false" customHeight="false" outlineLevel="0" collapsed="false">
      <c r="A224" s="35" t="n">
        <f aca="false">'Daily Tracker'!A224</f>
        <v>46242</v>
      </c>
      <c r="B224" s="48" t="str">
        <f aca="false">IF('Daily Tracker'!F224="","",'Daily Tracker'!F224)</f>
        <v/>
      </c>
      <c r="C224" s="31"/>
      <c r="D224" s="31"/>
      <c r="E224" s="56" t="str">
        <f aca="false">IFERROR(IF(COUNT(B224,C224,D224,F224,G224,H224)=0,"",ROUND((IF(B224="",70,MIN(B224/SleepGoal,1)*100))*0.25+(IF(C224="",70,MIN(C224/HRVGoal,1)*100))*0.2+(IF(D224="",70,MAX(0,MIN(1,(RHRPoor-D224)/(RHRPoor-RHRExcellent)))*100))*0.2+(IF(F224="",70,(5-F224)/4*100))*0.15+(IF(G224="",70,(5-G224)/4*100))*0.1+(IF(H224="",70,(5-H224)/4*100))*0.1,0)),"")</f>
        <v/>
      </c>
      <c r="F224" s="31"/>
      <c r="G224" s="31"/>
      <c r="H224" s="31"/>
      <c r="I224" s="32"/>
    </row>
    <row r="225" customFormat="false" ht="15" hidden="false" customHeight="false" outlineLevel="0" collapsed="false">
      <c r="A225" s="26" t="n">
        <f aca="false">'Daily Tracker'!A225</f>
        <v>46243</v>
      </c>
      <c r="B225" s="47" t="str">
        <f aca="false">IF('Daily Tracker'!F225="","",'Daily Tracker'!F225)</f>
        <v/>
      </c>
      <c r="C225" s="31"/>
      <c r="D225" s="31"/>
      <c r="E225" s="56" t="str">
        <f aca="false">IFERROR(IF(COUNT(B225,C225,D225,F225,G225,H225)=0,"",ROUND((IF(B225="",70,MIN(B225/SleepGoal,1)*100))*0.25+(IF(C225="",70,MIN(C225/HRVGoal,1)*100))*0.2+(IF(D225="",70,MAX(0,MIN(1,(RHRPoor-D225)/(RHRPoor-RHRExcellent)))*100))*0.2+(IF(F225="",70,(5-F225)/4*100))*0.15+(IF(G225="",70,(5-G225)/4*100))*0.1+(IF(H225="",70,(5-H225)/4*100))*0.1,0)),"")</f>
        <v/>
      </c>
      <c r="F225" s="31"/>
      <c r="G225" s="31"/>
      <c r="H225" s="31"/>
      <c r="I225" s="32"/>
    </row>
    <row r="226" customFormat="false" ht="15" hidden="false" customHeight="false" outlineLevel="0" collapsed="false">
      <c r="A226" s="35" t="n">
        <f aca="false">'Daily Tracker'!A226</f>
        <v>46244</v>
      </c>
      <c r="B226" s="48" t="str">
        <f aca="false">IF('Daily Tracker'!F226="","",'Daily Tracker'!F226)</f>
        <v/>
      </c>
      <c r="C226" s="31"/>
      <c r="D226" s="31"/>
      <c r="E226" s="56" t="str">
        <f aca="false">IFERROR(IF(COUNT(B226,C226,D226,F226,G226,H226)=0,"",ROUND((IF(B226="",70,MIN(B226/SleepGoal,1)*100))*0.25+(IF(C226="",70,MIN(C226/HRVGoal,1)*100))*0.2+(IF(D226="",70,MAX(0,MIN(1,(RHRPoor-D226)/(RHRPoor-RHRExcellent)))*100))*0.2+(IF(F226="",70,(5-F226)/4*100))*0.15+(IF(G226="",70,(5-G226)/4*100))*0.1+(IF(H226="",70,(5-H226)/4*100))*0.1,0)),"")</f>
        <v/>
      </c>
      <c r="F226" s="31"/>
      <c r="G226" s="31"/>
      <c r="H226" s="31"/>
      <c r="I226" s="32"/>
    </row>
    <row r="227" customFormat="false" ht="15" hidden="false" customHeight="false" outlineLevel="0" collapsed="false">
      <c r="A227" s="26" t="n">
        <f aca="false">'Daily Tracker'!A227</f>
        <v>46245</v>
      </c>
      <c r="B227" s="47" t="str">
        <f aca="false">IF('Daily Tracker'!F227="","",'Daily Tracker'!F227)</f>
        <v/>
      </c>
      <c r="C227" s="31"/>
      <c r="D227" s="31"/>
      <c r="E227" s="56" t="str">
        <f aca="false">IFERROR(IF(COUNT(B227,C227,D227,F227,G227,H227)=0,"",ROUND((IF(B227="",70,MIN(B227/SleepGoal,1)*100))*0.25+(IF(C227="",70,MIN(C227/HRVGoal,1)*100))*0.2+(IF(D227="",70,MAX(0,MIN(1,(RHRPoor-D227)/(RHRPoor-RHRExcellent)))*100))*0.2+(IF(F227="",70,(5-F227)/4*100))*0.15+(IF(G227="",70,(5-G227)/4*100))*0.1+(IF(H227="",70,(5-H227)/4*100))*0.1,0)),"")</f>
        <v/>
      </c>
      <c r="F227" s="31"/>
      <c r="G227" s="31"/>
      <c r="H227" s="31"/>
      <c r="I227" s="32"/>
    </row>
    <row r="228" customFormat="false" ht="15" hidden="false" customHeight="false" outlineLevel="0" collapsed="false">
      <c r="A228" s="35" t="n">
        <f aca="false">'Daily Tracker'!A228</f>
        <v>46246</v>
      </c>
      <c r="B228" s="48" t="str">
        <f aca="false">IF('Daily Tracker'!F228="","",'Daily Tracker'!F228)</f>
        <v/>
      </c>
      <c r="C228" s="31"/>
      <c r="D228" s="31"/>
      <c r="E228" s="56" t="str">
        <f aca="false">IFERROR(IF(COUNT(B228,C228,D228,F228,G228,H228)=0,"",ROUND((IF(B228="",70,MIN(B228/SleepGoal,1)*100))*0.25+(IF(C228="",70,MIN(C228/HRVGoal,1)*100))*0.2+(IF(D228="",70,MAX(0,MIN(1,(RHRPoor-D228)/(RHRPoor-RHRExcellent)))*100))*0.2+(IF(F228="",70,(5-F228)/4*100))*0.15+(IF(G228="",70,(5-G228)/4*100))*0.1+(IF(H228="",70,(5-H228)/4*100))*0.1,0)),"")</f>
        <v/>
      </c>
      <c r="F228" s="31"/>
      <c r="G228" s="31"/>
      <c r="H228" s="31"/>
      <c r="I228" s="32"/>
    </row>
    <row r="229" customFormat="false" ht="15" hidden="false" customHeight="false" outlineLevel="0" collapsed="false">
      <c r="A229" s="26" t="n">
        <f aca="false">'Daily Tracker'!A229</f>
        <v>46247</v>
      </c>
      <c r="B229" s="47" t="str">
        <f aca="false">IF('Daily Tracker'!F229="","",'Daily Tracker'!F229)</f>
        <v/>
      </c>
      <c r="C229" s="31"/>
      <c r="D229" s="31"/>
      <c r="E229" s="56" t="str">
        <f aca="false">IFERROR(IF(COUNT(B229,C229,D229,F229,G229,H229)=0,"",ROUND((IF(B229="",70,MIN(B229/SleepGoal,1)*100))*0.25+(IF(C229="",70,MIN(C229/HRVGoal,1)*100))*0.2+(IF(D229="",70,MAX(0,MIN(1,(RHRPoor-D229)/(RHRPoor-RHRExcellent)))*100))*0.2+(IF(F229="",70,(5-F229)/4*100))*0.15+(IF(G229="",70,(5-G229)/4*100))*0.1+(IF(H229="",70,(5-H229)/4*100))*0.1,0)),"")</f>
        <v/>
      </c>
      <c r="F229" s="31"/>
      <c r="G229" s="31"/>
      <c r="H229" s="31"/>
      <c r="I229" s="32"/>
    </row>
    <row r="230" customFormat="false" ht="15" hidden="false" customHeight="false" outlineLevel="0" collapsed="false">
      <c r="A230" s="35" t="n">
        <f aca="false">'Daily Tracker'!A230</f>
        <v>46248</v>
      </c>
      <c r="B230" s="48" t="str">
        <f aca="false">IF('Daily Tracker'!F230="","",'Daily Tracker'!F230)</f>
        <v/>
      </c>
      <c r="C230" s="31"/>
      <c r="D230" s="31"/>
      <c r="E230" s="56" t="str">
        <f aca="false">IFERROR(IF(COUNT(B230,C230,D230,F230,G230,H230)=0,"",ROUND((IF(B230="",70,MIN(B230/SleepGoal,1)*100))*0.25+(IF(C230="",70,MIN(C230/HRVGoal,1)*100))*0.2+(IF(D230="",70,MAX(0,MIN(1,(RHRPoor-D230)/(RHRPoor-RHRExcellent)))*100))*0.2+(IF(F230="",70,(5-F230)/4*100))*0.15+(IF(G230="",70,(5-G230)/4*100))*0.1+(IF(H230="",70,(5-H230)/4*100))*0.1,0)),"")</f>
        <v/>
      </c>
      <c r="F230" s="31"/>
      <c r="G230" s="31"/>
      <c r="H230" s="31"/>
      <c r="I230" s="32"/>
    </row>
    <row r="231" customFormat="false" ht="15" hidden="false" customHeight="false" outlineLevel="0" collapsed="false">
      <c r="A231" s="26" t="n">
        <f aca="false">'Daily Tracker'!A231</f>
        <v>46249</v>
      </c>
      <c r="B231" s="47" t="str">
        <f aca="false">IF('Daily Tracker'!F231="","",'Daily Tracker'!F231)</f>
        <v/>
      </c>
      <c r="C231" s="31"/>
      <c r="D231" s="31"/>
      <c r="E231" s="56" t="str">
        <f aca="false">IFERROR(IF(COUNT(B231,C231,D231,F231,G231,H231)=0,"",ROUND((IF(B231="",70,MIN(B231/SleepGoal,1)*100))*0.25+(IF(C231="",70,MIN(C231/HRVGoal,1)*100))*0.2+(IF(D231="",70,MAX(0,MIN(1,(RHRPoor-D231)/(RHRPoor-RHRExcellent)))*100))*0.2+(IF(F231="",70,(5-F231)/4*100))*0.15+(IF(G231="",70,(5-G231)/4*100))*0.1+(IF(H231="",70,(5-H231)/4*100))*0.1,0)),"")</f>
        <v/>
      </c>
      <c r="F231" s="31"/>
      <c r="G231" s="31"/>
      <c r="H231" s="31"/>
      <c r="I231" s="32"/>
    </row>
    <row r="232" customFormat="false" ht="15" hidden="false" customHeight="false" outlineLevel="0" collapsed="false">
      <c r="A232" s="35" t="n">
        <f aca="false">'Daily Tracker'!A232</f>
        <v>46250</v>
      </c>
      <c r="B232" s="48" t="str">
        <f aca="false">IF('Daily Tracker'!F232="","",'Daily Tracker'!F232)</f>
        <v/>
      </c>
      <c r="C232" s="31"/>
      <c r="D232" s="31"/>
      <c r="E232" s="56" t="str">
        <f aca="false">IFERROR(IF(COUNT(B232,C232,D232,F232,G232,H232)=0,"",ROUND((IF(B232="",70,MIN(B232/SleepGoal,1)*100))*0.25+(IF(C232="",70,MIN(C232/HRVGoal,1)*100))*0.2+(IF(D232="",70,MAX(0,MIN(1,(RHRPoor-D232)/(RHRPoor-RHRExcellent)))*100))*0.2+(IF(F232="",70,(5-F232)/4*100))*0.15+(IF(G232="",70,(5-G232)/4*100))*0.1+(IF(H232="",70,(5-H232)/4*100))*0.1,0)),"")</f>
        <v/>
      </c>
      <c r="F232" s="31"/>
      <c r="G232" s="31"/>
      <c r="H232" s="31"/>
      <c r="I232" s="32"/>
    </row>
    <row r="233" customFormat="false" ht="15" hidden="false" customHeight="false" outlineLevel="0" collapsed="false">
      <c r="A233" s="26" t="n">
        <f aca="false">'Daily Tracker'!A233</f>
        <v>46251</v>
      </c>
      <c r="B233" s="47" t="str">
        <f aca="false">IF('Daily Tracker'!F233="","",'Daily Tracker'!F233)</f>
        <v/>
      </c>
      <c r="C233" s="31"/>
      <c r="D233" s="31"/>
      <c r="E233" s="56" t="str">
        <f aca="false">IFERROR(IF(COUNT(B233,C233,D233,F233,G233,H233)=0,"",ROUND((IF(B233="",70,MIN(B233/SleepGoal,1)*100))*0.25+(IF(C233="",70,MIN(C233/HRVGoal,1)*100))*0.2+(IF(D233="",70,MAX(0,MIN(1,(RHRPoor-D233)/(RHRPoor-RHRExcellent)))*100))*0.2+(IF(F233="",70,(5-F233)/4*100))*0.15+(IF(G233="",70,(5-G233)/4*100))*0.1+(IF(H233="",70,(5-H233)/4*100))*0.1,0)),"")</f>
        <v/>
      </c>
      <c r="F233" s="31"/>
      <c r="G233" s="31"/>
      <c r="H233" s="31"/>
      <c r="I233" s="32"/>
    </row>
    <row r="234" customFormat="false" ht="15" hidden="false" customHeight="false" outlineLevel="0" collapsed="false">
      <c r="A234" s="35" t="n">
        <f aca="false">'Daily Tracker'!A234</f>
        <v>46252</v>
      </c>
      <c r="B234" s="48" t="str">
        <f aca="false">IF('Daily Tracker'!F234="","",'Daily Tracker'!F234)</f>
        <v/>
      </c>
      <c r="C234" s="31"/>
      <c r="D234" s="31"/>
      <c r="E234" s="56" t="str">
        <f aca="false">IFERROR(IF(COUNT(B234,C234,D234,F234,G234,H234)=0,"",ROUND((IF(B234="",70,MIN(B234/SleepGoal,1)*100))*0.25+(IF(C234="",70,MIN(C234/HRVGoal,1)*100))*0.2+(IF(D234="",70,MAX(0,MIN(1,(RHRPoor-D234)/(RHRPoor-RHRExcellent)))*100))*0.2+(IF(F234="",70,(5-F234)/4*100))*0.15+(IF(G234="",70,(5-G234)/4*100))*0.1+(IF(H234="",70,(5-H234)/4*100))*0.1,0)),"")</f>
        <v/>
      </c>
      <c r="F234" s="31"/>
      <c r="G234" s="31"/>
      <c r="H234" s="31"/>
      <c r="I234" s="32"/>
    </row>
    <row r="235" customFormat="false" ht="15" hidden="false" customHeight="false" outlineLevel="0" collapsed="false">
      <c r="A235" s="26" t="n">
        <f aca="false">'Daily Tracker'!A235</f>
        <v>46253</v>
      </c>
      <c r="B235" s="47" t="str">
        <f aca="false">IF('Daily Tracker'!F235="","",'Daily Tracker'!F235)</f>
        <v/>
      </c>
      <c r="C235" s="31"/>
      <c r="D235" s="31"/>
      <c r="E235" s="56" t="str">
        <f aca="false">IFERROR(IF(COUNT(B235,C235,D235,F235,G235,H235)=0,"",ROUND((IF(B235="",70,MIN(B235/SleepGoal,1)*100))*0.25+(IF(C235="",70,MIN(C235/HRVGoal,1)*100))*0.2+(IF(D235="",70,MAX(0,MIN(1,(RHRPoor-D235)/(RHRPoor-RHRExcellent)))*100))*0.2+(IF(F235="",70,(5-F235)/4*100))*0.15+(IF(G235="",70,(5-G235)/4*100))*0.1+(IF(H235="",70,(5-H235)/4*100))*0.1,0)),"")</f>
        <v/>
      </c>
      <c r="F235" s="31"/>
      <c r="G235" s="31"/>
      <c r="H235" s="31"/>
      <c r="I235" s="32"/>
    </row>
    <row r="236" customFormat="false" ht="15" hidden="false" customHeight="false" outlineLevel="0" collapsed="false">
      <c r="A236" s="35" t="n">
        <f aca="false">'Daily Tracker'!A236</f>
        <v>46254</v>
      </c>
      <c r="B236" s="48" t="str">
        <f aca="false">IF('Daily Tracker'!F236="","",'Daily Tracker'!F236)</f>
        <v/>
      </c>
      <c r="C236" s="31"/>
      <c r="D236" s="31"/>
      <c r="E236" s="56" t="str">
        <f aca="false">IFERROR(IF(COUNT(B236,C236,D236,F236,G236,H236)=0,"",ROUND((IF(B236="",70,MIN(B236/SleepGoal,1)*100))*0.25+(IF(C236="",70,MIN(C236/HRVGoal,1)*100))*0.2+(IF(D236="",70,MAX(0,MIN(1,(RHRPoor-D236)/(RHRPoor-RHRExcellent)))*100))*0.2+(IF(F236="",70,(5-F236)/4*100))*0.15+(IF(G236="",70,(5-G236)/4*100))*0.1+(IF(H236="",70,(5-H236)/4*100))*0.1,0)),"")</f>
        <v/>
      </c>
      <c r="F236" s="31"/>
      <c r="G236" s="31"/>
      <c r="H236" s="31"/>
      <c r="I236" s="32"/>
    </row>
    <row r="237" customFormat="false" ht="15" hidden="false" customHeight="false" outlineLevel="0" collapsed="false">
      <c r="A237" s="26" t="n">
        <f aca="false">'Daily Tracker'!A237</f>
        <v>46255</v>
      </c>
      <c r="B237" s="47" t="str">
        <f aca="false">IF('Daily Tracker'!F237="","",'Daily Tracker'!F237)</f>
        <v/>
      </c>
      <c r="C237" s="31"/>
      <c r="D237" s="31"/>
      <c r="E237" s="56" t="str">
        <f aca="false">IFERROR(IF(COUNT(B237,C237,D237,F237,G237,H237)=0,"",ROUND((IF(B237="",70,MIN(B237/SleepGoal,1)*100))*0.25+(IF(C237="",70,MIN(C237/HRVGoal,1)*100))*0.2+(IF(D237="",70,MAX(0,MIN(1,(RHRPoor-D237)/(RHRPoor-RHRExcellent)))*100))*0.2+(IF(F237="",70,(5-F237)/4*100))*0.15+(IF(G237="",70,(5-G237)/4*100))*0.1+(IF(H237="",70,(5-H237)/4*100))*0.1,0)),"")</f>
        <v/>
      </c>
      <c r="F237" s="31"/>
      <c r="G237" s="31"/>
      <c r="H237" s="31"/>
      <c r="I237" s="32"/>
    </row>
    <row r="238" customFormat="false" ht="15" hidden="false" customHeight="false" outlineLevel="0" collapsed="false">
      <c r="A238" s="35" t="n">
        <f aca="false">'Daily Tracker'!A238</f>
        <v>46256</v>
      </c>
      <c r="B238" s="48" t="str">
        <f aca="false">IF('Daily Tracker'!F238="","",'Daily Tracker'!F238)</f>
        <v/>
      </c>
      <c r="C238" s="31"/>
      <c r="D238" s="31"/>
      <c r="E238" s="56" t="str">
        <f aca="false">IFERROR(IF(COUNT(B238,C238,D238,F238,G238,H238)=0,"",ROUND((IF(B238="",70,MIN(B238/SleepGoal,1)*100))*0.25+(IF(C238="",70,MIN(C238/HRVGoal,1)*100))*0.2+(IF(D238="",70,MAX(0,MIN(1,(RHRPoor-D238)/(RHRPoor-RHRExcellent)))*100))*0.2+(IF(F238="",70,(5-F238)/4*100))*0.15+(IF(G238="",70,(5-G238)/4*100))*0.1+(IF(H238="",70,(5-H238)/4*100))*0.1,0)),"")</f>
        <v/>
      </c>
      <c r="F238" s="31"/>
      <c r="G238" s="31"/>
      <c r="H238" s="31"/>
      <c r="I238" s="32"/>
    </row>
    <row r="239" customFormat="false" ht="15" hidden="false" customHeight="false" outlineLevel="0" collapsed="false">
      <c r="A239" s="26" t="n">
        <f aca="false">'Daily Tracker'!A239</f>
        <v>46257</v>
      </c>
      <c r="B239" s="47" t="str">
        <f aca="false">IF('Daily Tracker'!F239="","",'Daily Tracker'!F239)</f>
        <v/>
      </c>
      <c r="C239" s="31"/>
      <c r="D239" s="31"/>
      <c r="E239" s="56" t="str">
        <f aca="false">IFERROR(IF(COUNT(B239,C239,D239,F239,G239,H239)=0,"",ROUND((IF(B239="",70,MIN(B239/SleepGoal,1)*100))*0.25+(IF(C239="",70,MIN(C239/HRVGoal,1)*100))*0.2+(IF(D239="",70,MAX(0,MIN(1,(RHRPoor-D239)/(RHRPoor-RHRExcellent)))*100))*0.2+(IF(F239="",70,(5-F239)/4*100))*0.15+(IF(G239="",70,(5-G239)/4*100))*0.1+(IF(H239="",70,(5-H239)/4*100))*0.1,0)),"")</f>
        <v/>
      </c>
      <c r="F239" s="31"/>
      <c r="G239" s="31"/>
      <c r="H239" s="31"/>
      <c r="I239" s="32"/>
    </row>
    <row r="240" customFormat="false" ht="15" hidden="false" customHeight="false" outlineLevel="0" collapsed="false">
      <c r="A240" s="35" t="n">
        <f aca="false">'Daily Tracker'!A240</f>
        <v>46258</v>
      </c>
      <c r="B240" s="48" t="str">
        <f aca="false">IF('Daily Tracker'!F240="","",'Daily Tracker'!F240)</f>
        <v/>
      </c>
      <c r="C240" s="31"/>
      <c r="D240" s="31"/>
      <c r="E240" s="56" t="str">
        <f aca="false">IFERROR(IF(COUNT(B240,C240,D240,F240,G240,H240)=0,"",ROUND((IF(B240="",70,MIN(B240/SleepGoal,1)*100))*0.25+(IF(C240="",70,MIN(C240/HRVGoal,1)*100))*0.2+(IF(D240="",70,MAX(0,MIN(1,(RHRPoor-D240)/(RHRPoor-RHRExcellent)))*100))*0.2+(IF(F240="",70,(5-F240)/4*100))*0.15+(IF(G240="",70,(5-G240)/4*100))*0.1+(IF(H240="",70,(5-H240)/4*100))*0.1,0)),"")</f>
        <v/>
      </c>
      <c r="F240" s="31"/>
      <c r="G240" s="31"/>
      <c r="H240" s="31"/>
      <c r="I240" s="32"/>
    </row>
    <row r="241" customFormat="false" ht="15" hidden="false" customHeight="false" outlineLevel="0" collapsed="false">
      <c r="A241" s="26" t="n">
        <f aca="false">'Daily Tracker'!A241</f>
        <v>46259</v>
      </c>
      <c r="B241" s="47" t="str">
        <f aca="false">IF('Daily Tracker'!F241="","",'Daily Tracker'!F241)</f>
        <v/>
      </c>
      <c r="C241" s="31"/>
      <c r="D241" s="31"/>
      <c r="E241" s="56" t="str">
        <f aca="false">IFERROR(IF(COUNT(B241,C241,D241,F241,G241,H241)=0,"",ROUND((IF(B241="",70,MIN(B241/SleepGoal,1)*100))*0.25+(IF(C241="",70,MIN(C241/HRVGoal,1)*100))*0.2+(IF(D241="",70,MAX(0,MIN(1,(RHRPoor-D241)/(RHRPoor-RHRExcellent)))*100))*0.2+(IF(F241="",70,(5-F241)/4*100))*0.15+(IF(G241="",70,(5-G241)/4*100))*0.1+(IF(H241="",70,(5-H241)/4*100))*0.1,0)),"")</f>
        <v/>
      </c>
      <c r="F241" s="31"/>
      <c r="G241" s="31"/>
      <c r="H241" s="31"/>
      <c r="I241" s="32"/>
    </row>
    <row r="242" customFormat="false" ht="15" hidden="false" customHeight="false" outlineLevel="0" collapsed="false">
      <c r="A242" s="35" t="n">
        <f aca="false">'Daily Tracker'!A242</f>
        <v>46260</v>
      </c>
      <c r="B242" s="48" t="str">
        <f aca="false">IF('Daily Tracker'!F242="","",'Daily Tracker'!F242)</f>
        <v/>
      </c>
      <c r="C242" s="31"/>
      <c r="D242" s="31"/>
      <c r="E242" s="56" t="str">
        <f aca="false">IFERROR(IF(COUNT(B242,C242,D242,F242,G242,H242)=0,"",ROUND((IF(B242="",70,MIN(B242/SleepGoal,1)*100))*0.25+(IF(C242="",70,MIN(C242/HRVGoal,1)*100))*0.2+(IF(D242="",70,MAX(0,MIN(1,(RHRPoor-D242)/(RHRPoor-RHRExcellent)))*100))*0.2+(IF(F242="",70,(5-F242)/4*100))*0.15+(IF(G242="",70,(5-G242)/4*100))*0.1+(IF(H242="",70,(5-H242)/4*100))*0.1,0)),"")</f>
        <v/>
      </c>
      <c r="F242" s="31"/>
      <c r="G242" s="31"/>
      <c r="H242" s="31"/>
      <c r="I242" s="32"/>
    </row>
    <row r="243" customFormat="false" ht="15" hidden="false" customHeight="false" outlineLevel="0" collapsed="false">
      <c r="A243" s="26" t="n">
        <f aca="false">'Daily Tracker'!A243</f>
        <v>46261</v>
      </c>
      <c r="B243" s="47" t="str">
        <f aca="false">IF('Daily Tracker'!F243="","",'Daily Tracker'!F243)</f>
        <v/>
      </c>
      <c r="C243" s="31"/>
      <c r="D243" s="31"/>
      <c r="E243" s="56" t="str">
        <f aca="false">IFERROR(IF(COUNT(B243,C243,D243,F243,G243,H243)=0,"",ROUND((IF(B243="",70,MIN(B243/SleepGoal,1)*100))*0.25+(IF(C243="",70,MIN(C243/HRVGoal,1)*100))*0.2+(IF(D243="",70,MAX(0,MIN(1,(RHRPoor-D243)/(RHRPoor-RHRExcellent)))*100))*0.2+(IF(F243="",70,(5-F243)/4*100))*0.15+(IF(G243="",70,(5-G243)/4*100))*0.1+(IF(H243="",70,(5-H243)/4*100))*0.1,0)),"")</f>
        <v/>
      </c>
      <c r="F243" s="31"/>
      <c r="G243" s="31"/>
      <c r="H243" s="31"/>
      <c r="I243" s="32"/>
    </row>
    <row r="244" customFormat="false" ht="15" hidden="false" customHeight="false" outlineLevel="0" collapsed="false">
      <c r="A244" s="35" t="n">
        <f aca="false">'Daily Tracker'!A244</f>
        <v>46262</v>
      </c>
      <c r="B244" s="48" t="str">
        <f aca="false">IF('Daily Tracker'!F244="","",'Daily Tracker'!F244)</f>
        <v/>
      </c>
      <c r="C244" s="31"/>
      <c r="D244" s="31"/>
      <c r="E244" s="56" t="str">
        <f aca="false">IFERROR(IF(COUNT(B244,C244,D244,F244,G244,H244)=0,"",ROUND((IF(B244="",70,MIN(B244/SleepGoal,1)*100))*0.25+(IF(C244="",70,MIN(C244/HRVGoal,1)*100))*0.2+(IF(D244="",70,MAX(0,MIN(1,(RHRPoor-D244)/(RHRPoor-RHRExcellent)))*100))*0.2+(IF(F244="",70,(5-F244)/4*100))*0.15+(IF(G244="",70,(5-G244)/4*100))*0.1+(IF(H244="",70,(5-H244)/4*100))*0.1,0)),"")</f>
        <v/>
      </c>
      <c r="F244" s="31"/>
      <c r="G244" s="31"/>
      <c r="H244" s="31"/>
      <c r="I244" s="32"/>
    </row>
    <row r="245" customFormat="false" ht="15" hidden="false" customHeight="false" outlineLevel="0" collapsed="false">
      <c r="A245" s="26" t="n">
        <f aca="false">'Daily Tracker'!A245</f>
        <v>46263</v>
      </c>
      <c r="B245" s="47" t="str">
        <f aca="false">IF('Daily Tracker'!F245="","",'Daily Tracker'!F245)</f>
        <v/>
      </c>
      <c r="C245" s="31"/>
      <c r="D245" s="31"/>
      <c r="E245" s="56" t="str">
        <f aca="false">IFERROR(IF(COUNT(B245,C245,D245,F245,G245,H245)=0,"",ROUND((IF(B245="",70,MIN(B245/SleepGoal,1)*100))*0.25+(IF(C245="",70,MIN(C245/HRVGoal,1)*100))*0.2+(IF(D245="",70,MAX(0,MIN(1,(RHRPoor-D245)/(RHRPoor-RHRExcellent)))*100))*0.2+(IF(F245="",70,(5-F245)/4*100))*0.15+(IF(G245="",70,(5-G245)/4*100))*0.1+(IF(H245="",70,(5-H245)/4*100))*0.1,0)),"")</f>
        <v/>
      </c>
      <c r="F245" s="31"/>
      <c r="G245" s="31"/>
      <c r="H245" s="31"/>
      <c r="I245" s="32"/>
    </row>
    <row r="246" customFormat="false" ht="15" hidden="false" customHeight="false" outlineLevel="0" collapsed="false">
      <c r="A246" s="35" t="n">
        <f aca="false">'Daily Tracker'!A246</f>
        <v>46264</v>
      </c>
      <c r="B246" s="48" t="str">
        <f aca="false">IF('Daily Tracker'!F246="","",'Daily Tracker'!F246)</f>
        <v/>
      </c>
      <c r="C246" s="31"/>
      <c r="D246" s="31"/>
      <c r="E246" s="56" t="str">
        <f aca="false">IFERROR(IF(COUNT(B246,C246,D246,F246,G246,H246)=0,"",ROUND((IF(B246="",70,MIN(B246/SleepGoal,1)*100))*0.25+(IF(C246="",70,MIN(C246/HRVGoal,1)*100))*0.2+(IF(D246="",70,MAX(0,MIN(1,(RHRPoor-D246)/(RHRPoor-RHRExcellent)))*100))*0.2+(IF(F246="",70,(5-F246)/4*100))*0.15+(IF(G246="",70,(5-G246)/4*100))*0.1+(IF(H246="",70,(5-H246)/4*100))*0.1,0)),"")</f>
        <v/>
      </c>
      <c r="F246" s="31"/>
      <c r="G246" s="31"/>
      <c r="H246" s="31"/>
      <c r="I246" s="32"/>
    </row>
    <row r="247" customFormat="false" ht="15" hidden="false" customHeight="false" outlineLevel="0" collapsed="false">
      <c r="A247" s="26" t="n">
        <f aca="false">'Daily Tracker'!A247</f>
        <v>46265</v>
      </c>
      <c r="B247" s="47" t="str">
        <f aca="false">IF('Daily Tracker'!F247="","",'Daily Tracker'!F247)</f>
        <v/>
      </c>
      <c r="C247" s="31"/>
      <c r="D247" s="31"/>
      <c r="E247" s="56" t="str">
        <f aca="false">IFERROR(IF(COUNT(B247,C247,D247,F247,G247,H247)=0,"",ROUND((IF(B247="",70,MIN(B247/SleepGoal,1)*100))*0.25+(IF(C247="",70,MIN(C247/HRVGoal,1)*100))*0.2+(IF(D247="",70,MAX(0,MIN(1,(RHRPoor-D247)/(RHRPoor-RHRExcellent)))*100))*0.2+(IF(F247="",70,(5-F247)/4*100))*0.15+(IF(G247="",70,(5-G247)/4*100))*0.1+(IF(H247="",70,(5-H247)/4*100))*0.1,0)),"")</f>
        <v/>
      </c>
      <c r="F247" s="31"/>
      <c r="G247" s="31"/>
      <c r="H247" s="31"/>
      <c r="I247" s="32"/>
    </row>
    <row r="248" customFormat="false" ht="15" hidden="false" customHeight="false" outlineLevel="0" collapsed="false">
      <c r="A248" s="35" t="n">
        <f aca="false">'Daily Tracker'!A248</f>
        <v>46266</v>
      </c>
      <c r="B248" s="48" t="str">
        <f aca="false">IF('Daily Tracker'!F248="","",'Daily Tracker'!F248)</f>
        <v/>
      </c>
      <c r="C248" s="31"/>
      <c r="D248" s="31"/>
      <c r="E248" s="56" t="str">
        <f aca="false">IFERROR(IF(COUNT(B248,C248,D248,F248,G248,H248)=0,"",ROUND((IF(B248="",70,MIN(B248/SleepGoal,1)*100))*0.25+(IF(C248="",70,MIN(C248/HRVGoal,1)*100))*0.2+(IF(D248="",70,MAX(0,MIN(1,(RHRPoor-D248)/(RHRPoor-RHRExcellent)))*100))*0.2+(IF(F248="",70,(5-F248)/4*100))*0.15+(IF(G248="",70,(5-G248)/4*100))*0.1+(IF(H248="",70,(5-H248)/4*100))*0.1,0)),"")</f>
        <v/>
      </c>
      <c r="F248" s="31"/>
      <c r="G248" s="31"/>
      <c r="H248" s="31"/>
      <c r="I248" s="32"/>
    </row>
    <row r="249" customFormat="false" ht="15" hidden="false" customHeight="false" outlineLevel="0" collapsed="false">
      <c r="A249" s="26" t="n">
        <f aca="false">'Daily Tracker'!A249</f>
        <v>46267</v>
      </c>
      <c r="B249" s="47" t="str">
        <f aca="false">IF('Daily Tracker'!F249="","",'Daily Tracker'!F249)</f>
        <v/>
      </c>
      <c r="C249" s="31"/>
      <c r="D249" s="31"/>
      <c r="E249" s="56" t="str">
        <f aca="false">IFERROR(IF(COUNT(B249,C249,D249,F249,G249,H249)=0,"",ROUND((IF(B249="",70,MIN(B249/SleepGoal,1)*100))*0.25+(IF(C249="",70,MIN(C249/HRVGoal,1)*100))*0.2+(IF(D249="",70,MAX(0,MIN(1,(RHRPoor-D249)/(RHRPoor-RHRExcellent)))*100))*0.2+(IF(F249="",70,(5-F249)/4*100))*0.15+(IF(G249="",70,(5-G249)/4*100))*0.1+(IF(H249="",70,(5-H249)/4*100))*0.1,0)),"")</f>
        <v/>
      </c>
      <c r="F249" s="31"/>
      <c r="G249" s="31"/>
      <c r="H249" s="31"/>
      <c r="I249" s="32"/>
    </row>
    <row r="250" customFormat="false" ht="15" hidden="false" customHeight="false" outlineLevel="0" collapsed="false">
      <c r="A250" s="35" t="n">
        <f aca="false">'Daily Tracker'!A250</f>
        <v>46268</v>
      </c>
      <c r="B250" s="48" t="str">
        <f aca="false">IF('Daily Tracker'!F250="","",'Daily Tracker'!F250)</f>
        <v/>
      </c>
      <c r="C250" s="31"/>
      <c r="D250" s="31"/>
      <c r="E250" s="56" t="str">
        <f aca="false">IFERROR(IF(COUNT(B250,C250,D250,F250,G250,H250)=0,"",ROUND((IF(B250="",70,MIN(B250/SleepGoal,1)*100))*0.25+(IF(C250="",70,MIN(C250/HRVGoal,1)*100))*0.2+(IF(D250="",70,MAX(0,MIN(1,(RHRPoor-D250)/(RHRPoor-RHRExcellent)))*100))*0.2+(IF(F250="",70,(5-F250)/4*100))*0.15+(IF(G250="",70,(5-G250)/4*100))*0.1+(IF(H250="",70,(5-H250)/4*100))*0.1,0)),"")</f>
        <v/>
      </c>
      <c r="F250" s="31"/>
      <c r="G250" s="31"/>
      <c r="H250" s="31"/>
      <c r="I250" s="32"/>
    </row>
    <row r="251" customFormat="false" ht="15" hidden="false" customHeight="false" outlineLevel="0" collapsed="false">
      <c r="A251" s="26" t="n">
        <f aca="false">'Daily Tracker'!A251</f>
        <v>46269</v>
      </c>
      <c r="B251" s="47" t="str">
        <f aca="false">IF('Daily Tracker'!F251="","",'Daily Tracker'!F251)</f>
        <v/>
      </c>
      <c r="C251" s="31"/>
      <c r="D251" s="31"/>
      <c r="E251" s="56" t="str">
        <f aca="false">IFERROR(IF(COUNT(B251,C251,D251,F251,G251,H251)=0,"",ROUND((IF(B251="",70,MIN(B251/SleepGoal,1)*100))*0.25+(IF(C251="",70,MIN(C251/HRVGoal,1)*100))*0.2+(IF(D251="",70,MAX(0,MIN(1,(RHRPoor-D251)/(RHRPoor-RHRExcellent)))*100))*0.2+(IF(F251="",70,(5-F251)/4*100))*0.15+(IF(G251="",70,(5-G251)/4*100))*0.1+(IF(H251="",70,(5-H251)/4*100))*0.1,0)),"")</f>
        <v/>
      </c>
      <c r="F251" s="31"/>
      <c r="G251" s="31"/>
      <c r="H251" s="31"/>
      <c r="I251" s="32"/>
    </row>
    <row r="252" customFormat="false" ht="15" hidden="false" customHeight="false" outlineLevel="0" collapsed="false">
      <c r="A252" s="35" t="n">
        <f aca="false">'Daily Tracker'!A252</f>
        <v>46270</v>
      </c>
      <c r="B252" s="48" t="str">
        <f aca="false">IF('Daily Tracker'!F252="","",'Daily Tracker'!F252)</f>
        <v/>
      </c>
      <c r="C252" s="31"/>
      <c r="D252" s="31"/>
      <c r="E252" s="56" t="str">
        <f aca="false">IFERROR(IF(COUNT(B252,C252,D252,F252,G252,H252)=0,"",ROUND((IF(B252="",70,MIN(B252/SleepGoal,1)*100))*0.25+(IF(C252="",70,MIN(C252/HRVGoal,1)*100))*0.2+(IF(D252="",70,MAX(0,MIN(1,(RHRPoor-D252)/(RHRPoor-RHRExcellent)))*100))*0.2+(IF(F252="",70,(5-F252)/4*100))*0.15+(IF(G252="",70,(5-G252)/4*100))*0.1+(IF(H252="",70,(5-H252)/4*100))*0.1,0)),"")</f>
        <v/>
      </c>
      <c r="F252" s="31"/>
      <c r="G252" s="31"/>
      <c r="H252" s="31"/>
      <c r="I252" s="32"/>
    </row>
    <row r="253" customFormat="false" ht="15" hidden="false" customHeight="false" outlineLevel="0" collapsed="false">
      <c r="A253" s="26" t="n">
        <f aca="false">'Daily Tracker'!A253</f>
        <v>46271</v>
      </c>
      <c r="B253" s="47" t="str">
        <f aca="false">IF('Daily Tracker'!F253="","",'Daily Tracker'!F253)</f>
        <v/>
      </c>
      <c r="C253" s="31"/>
      <c r="D253" s="31"/>
      <c r="E253" s="56" t="str">
        <f aca="false">IFERROR(IF(COUNT(B253,C253,D253,F253,G253,H253)=0,"",ROUND((IF(B253="",70,MIN(B253/SleepGoal,1)*100))*0.25+(IF(C253="",70,MIN(C253/HRVGoal,1)*100))*0.2+(IF(D253="",70,MAX(0,MIN(1,(RHRPoor-D253)/(RHRPoor-RHRExcellent)))*100))*0.2+(IF(F253="",70,(5-F253)/4*100))*0.15+(IF(G253="",70,(5-G253)/4*100))*0.1+(IF(H253="",70,(5-H253)/4*100))*0.1,0)),"")</f>
        <v/>
      </c>
      <c r="F253" s="31"/>
      <c r="G253" s="31"/>
      <c r="H253" s="31"/>
      <c r="I253" s="32"/>
    </row>
    <row r="254" customFormat="false" ht="15" hidden="false" customHeight="false" outlineLevel="0" collapsed="false">
      <c r="A254" s="35" t="n">
        <f aca="false">'Daily Tracker'!A254</f>
        <v>46272</v>
      </c>
      <c r="B254" s="48" t="str">
        <f aca="false">IF('Daily Tracker'!F254="","",'Daily Tracker'!F254)</f>
        <v/>
      </c>
      <c r="C254" s="31"/>
      <c r="D254" s="31"/>
      <c r="E254" s="56" t="str">
        <f aca="false">IFERROR(IF(COUNT(B254,C254,D254,F254,G254,H254)=0,"",ROUND((IF(B254="",70,MIN(B254/SleepGoal,1)*100))*0.25+(IF(C254="",70,MIN(C254/HRVGoal,1)*100))*0.2+(IF(D254="",70,MAX(0,MIN(1,(RHRPoor-D254)/(RHRPoor-RHRExcellent)))*100))*0.2+(IF(F254="",70,(5-F254)/4*100))*0.15+(IF(G254="",70,(5-G254)/4*100))*0.1+(IF(H254="",70,(5-H254)/4*100))*0.1,0)),"")</f>
        <v/>
      </c>
      <c r="F254" s="31"/>
      <c r="G254" s="31"/>
      <c r="H254" s="31"/>
      <c r="I254" s="32"/>
    </row>
    <row r="255" customFormat="false" ht="15" hidden="false" customHeight="false" outlineLevel="0" collapsed="false">
      <c r="A255" s="26" t="n">
        <f aca="false">'Daily Tracker'!A255</f>
        <v>46273</v>
      </c>
      <c r="B255" s="47" t="str">
        <f aca="false">IF('Daily Tracker'!F255="","",'Daily Tracker'!F255)</f>
        <v/>
      </c>
      <c r="C255" s="31"/>
      <c r="D255" s="31"/>
      <c r="E255" s="56" t="str">
        <f aca="false">IFERROR(IF(COUNT(B255,C255,D255,F255,G255,H255)=0,"",ROUND((IF(B255="",70,MIN(B255/SleepGoal,1)*100))*0.25+(IF(C255="",70,MIN(C255/HRVGoal,1)*100))*0.2+(IF(D255="",70,MAX(0,MIN(1,(RHRPoor-D255)/(RHRPoor-RHRExcellent)))*100))*0.2+(IF(F255="",70,(5-F255)/4*100))*0.15+(IF(G255="",70,(5-G255)/4*100))*0.1+(IF(H255="",70,(5-H255)/4*100))*0.1,0)),"")</f>
        <v/>
      </c>
      <c r="F255" s="31"/>
      <c r="G255" s="31"/>
      <c r="H255" s="31"/>
      <c r="I255" s="32"/>
    </row>
    <row r="256" customFormat="false" ht="15" hidden="false" customHeight="false" outlineLevel="0" collapsed="false">
      <c r="A256" s="35" t="n">
        <f aca="false">'Daily Tracker'!A256</f>
        <v>46274</v>
      </c>
      <c r="B256" s="48" t="str">
        <f aca="false">IF('Daily Tracker'!F256="","",'Daily Tracker'!F256)</f>
        <v/>
      </c>
      <c r="C256" s="31"/>
      <c r="D256" s="31"/>
      <c r="E256" s="56" t="str">
        <f aca="false">IFERROR(IF(COUNT(B256,C256,D256,F256,G256,H256)=0,"",ROUND((IF(B256="",70,MIN(B256/SleepGoal,1)*100))*0.25+(IF(C256="",70,MIN(C256/HRVGoal,1)*100))*0.2+(IF(D256="",70,MAX(0,MIN(1,(RHRPoor-D256)/(RHRPoor-RHRExcellent)))*100))*0.2+(IF(F256="",70,(5-F256)/4*100))*0.15+(IF(G256="",70,(5-G256)/4*100))*0.1+(IF(H256="",70,(5-H256)/4*100))*0.1,0)),"")</f>
        <v/>
      </c>
      <c r="F256" s="31"/>
      <c r="G256" s="31"/>
      <c r="H256" s="31"/>
      <c r="I256" s="32"/>
    </row>
    <row r="257" customFormat="false" ht="15" hidden="false" customHeight="false" outlineLevel="0" collapsed="false">
      <c r="A257" s="26" t="n">
        <f aca="false">'Daily Tracker'!A257</f>
        <v>46275</v>
      </c>
      <c r="B257" s="47" t="str">
        <f aca="false">IF('Daily Tracker'!F257="","",'Daily Tracker'!F257)</f>
        <v/>
      </c>
      <c r="C257" s="31"/>
      <c r="D257" s="31"/>
      <c r="E257" s="56" t="str">
        <f aca="false">IFERROR(IF(COUNT(B257,C257,D257,F257,G257,H257)=0,"",ROUND((IF(B257="",70,MIN(B257/SleepGoal,1)*100))*0.25+(IF(C257="",70,MIN(C257/HRVGoal,1)*100))*0.2+(IF(D257="",70,MAX(0,MIN(1,(RHRPoor-D257)/(RHRPoor-RHRExcellent)))*100))*0.2+(IF(F257="",70,(5-F257)/4*100))*0.15+(IF(G257="",70,(5-G257)/4*100))*0.1+(IF(H257="",70,(5-H257)/4*100))*0.1,0)),"")</f>
        <v/>
      </c>
      <c r="F257" s="31"/>
      <c r="G257" s="31"/>
      <c r="H257" s="31"/>
      <c r="I257" s="32"/>
    </row>
    <row r="258" customFormat="false" ht="15" hidden="false" customHeight="false" outlineLevel="0" collapsed="false">
      <c r="A258" s="35" t="n">
        <f aca="false">'Daily Tracker'!A258</f>
        <v>46276</v>
      </c>
      <c r="B258" s="48" t="str">
        <f aca="false">IF('Daily Tracker'!F258="","",'Daily Tracker'!F258)</f>
        <v/>
      </c>
      <c r="C258" s="31"/>
      <c r="D258" s="31"/>
      <c r="E258" s="56" t="str">
        <f aca="false">IFERROR(IF(COUNT(B258,C258,D258,F258,G258,H258)=0,"",ROUND((IF(B258="",70,MIN(B258/SleepGoal,1)*100))*0.25+(IF(C258="",70,MIN(C258/HRVGoal,1)*100))*0.2+(IF(D258="",70,MAX(0,MIN(1,(RHRPoor-D258)/(RHRPoor-RHRExcellent)))*100))*0.2+(IF(F258="",70,(5-F258)/4*100))*0.15+(IF(G258="",70,(5-G258)/4*100))*0.1+(IF(H258="",70,(5-H258)/4*100))*0.1,0)),"")</f>
        <v/>
      </c>
      <c r="F258" s="31"/>
      <c r="G258" s="31"/>
      <c r="H258" s="31"/>
      <c r="I258" s="32"/>
    </row>
    <row r="259" customFormat="false" ht="15" hidden="false" customHeight="false" outlineLevel="0" collapsed="false">
      <c r="A259" s="26" t="n">
        <f aca="false">'Daily Tracker'!A259</f>
        <v>46277</v>
      </c>
      <c r="B259" s="47" t="str">
        <f aca="false">IF('Daily Tracker'!F259="","",'Daily Tracker'!F259)</f>
        <v/>
      </c>
      <c r="C259" s="31"/>
      <c r="D259" s="31"/>
      <c r="E259" s="56" t="str">
        <f aca="false">IFERROR(IF(COUNT(B259,C259,D259,F259,G259,H259)=0,"",ROUND((IF(B259="",70,MIN(B259/SleepGoal,1)*100))*0.25+(IF(C259="",70,MIN(C259/HRVGoal,1)*100))*0.2+(IF(D259="",70,MAX(0,MIN(1,(RHRPoor-D259)/(RHRPoor-RHRExcellent)))*100))*0.2+(IF(F259="",70,(5-F259)/4*100))*0.15+(IF(G259="",70,(5-G259)/4*100))*0.1+(IF(H259="",70,(5-H259)/4*100))*0.1,0)),"")</f>
        <v/>
      </c>
      <c r="F259" s="31"/>
      <c r="G259" s="31"/>
      <c r="H259" s="31"/>
      <c r="I259" s="32"/>
    </row>
    <row r="260" customFormat="false" ht="15" hidden="false" customHeight="false" outlineLevel="0" collapsed="false">
      <c r="A260" s="35" t="n">
        <f aca="false">'Daily Tracker'!A260</f>
        <v>46278</v>
      </c>
      <c r="B260" s="48" t="str">
        <f aca="false">IF('Daily Tracker'!F260="","",'Daily Tracker'!F260)</f>
        <v/>
      </c>
      <c r="C260" s="31"/>
      <c r="D260" s="31"/>
      <c r="E260" s="56" t="str">
        <f aca="false">IFERROR(IF(COUNT(B260,C260,D260,F260,G260,H260)=0,"",ROUND((IF(B260="",70,MIN(B260/SleepGoal,1)*100))*0.25+(IF(C260="",70,MIN(C260/HRVGoal,1)*100))*0.2+(IF(D260="",70,MAX(0,MIN(1,(RHRPoor-D260)/(RHRPoor-RHRExcellent)))*100))*0.2+(IF(F260="",70,(5-F260)/4*100))*0.15+(IF(G260="",70,(5-G260)/4*100))*0.1+(IF(H260="",70,(5-H260)/4*100))*0.1,0)),"")</f>
        <v/>
      </c>
      <c r="F260" s="31"/>
      <c r="G260" s="31"/>
      <c r="H260" s="31"/>
      <c r="I260" s="32"/>
    </row>
    <row r="261" customFormat="false" ht="15" hidden="false" customHeight="false" outlineLevel="0" collapsed="false">
      <c r="A261" s="26" t="n">
        <f aca="false">'Daily Tracker'!A261</f>
        <v>46279</v>
      </c>
      <c r="B261" s="47" t="str">
        <f aca="false">IF('Daily Tracker'!F261="","",'Daily Tracker'!F261)</f>
        <v/>
      </c>
      <c r="C261" s="31"/>
      <c r="D261" s="31"/>
      <c r="E261" s="56" t="str">
        <f aca="false">IFERROR(IF(COUNT(B261,C261,D261,F261,G261,H261)=0,"",ROUND((IF(B261="",70,MIN(B261/SleepGoal,1)*100))*0.25+(IF(C261="",70,MIN(C261/HRVGoal,1)*100))*0.2+(IF(D261="",70,MAX(0,MIN(1,(RHRPoor-D261)/(RHRPoor-RHRExcellent)))*100))*0.2+(IF(F261="",70,(5-F261)/4*100))*0.15+(IF(G261="",70,(5-G261)/4*100))*0.1+(IF(H261="",70,(5-H261)/4*100))*0.1,0)),"")</f>
        <v/>
      </c>
      <c r="F261" s="31"/>
      <c r="G261" s="31"/>
      <c r="H261" s="31"/>
      <c r="I261" s="32"/>
    </row>
    <row r="262" customFormat="false" ht="15" hidden="false" customHeight="false" outlineLevel="0" collapsed="false">
      <c r="A262" s="35" t="n">
        <f aca="false">'Daily Tracker'!A262</f>
        <v>46280</v>
      </c>
      <c r="B262" s="48" t="str">
        <f aca="false">IF('Daily Tracker'!F262="","",'Daily Tracker'!F262)</f>
        <v/>
      </c>
      <c r="C262" s="31"/>
      <c r="D262" s="31"/>
      <c r="E262" s="56" t="str">
        <f aca="false">IFERROR(IF(COUNT(B262,C262,D262,F262,G262,H262)=0,"",ROUND((IF(B262="",70,MIN(B262/SleepGoal,1)*100))*0.25+(IF(C262="",70,MIN(C262/HRVGoal,1)*100))*0.2+(IF(D262="",70,MAX(0,MIN(1,(RHRPoor-D262)/(RHRPoor-RHRExcellent)))*100))*0.2+(IF(F262="",70,(5-F262)/4*100))*0.15+(IF(G262="",70,(5-G262)/4*100))*0.1+(IF(H262="",70,(5-H262)/4*100))*0.1,0)),"")</f>
        <v/>
      </c>
      <c r="F262" s="31"/>
      <c r="G262" s="31"/>
      <c r="H262" s="31"/>
      <c r="I262" s="32"/>
    </row>
    <row r="263" customFormat="false" ht="15" hidden="false" customHeight="false" outlineLevel="0" collapsed="false">
      <c r="A263" s="26" t="n">
        <f aca="false">'Daily Tracker'!A263</f>
        <v>46281</v>
      </c>
      <c r="B263" s="47" t="str">
        <f aca="false">IF('Daily Tracker'!F263="","",'Daily Tracker'!F263)</f>
        <v/>
      </c>
      <c r="C263" s="31"/>
      <c r="D263" s="31"/>
      <c r="E263" s="56" t="str">
        <f aca="false">IFERROR(IF(COUNT(B263,C263,D263,F263,G263,H263)=0,"",ROUND((IF(B263="",70,MIN(B263/SleepGoal,1)*100))*0.25+(IF(C263="",70,MIN(C263/HRVGoal,1)*100))*0.2+(IF(D263="",70,MAX(0,MIN(1,(RHRPoor-D263)/(RHRPoor-RHRExcellent)))*100))*0.2+(IF(F263="",70,(5-F263)/4*100))*0.15+(IF(G263="",70,(5-G263)/4*100))*0.1+(IF(H263="",70,(5-H263)/4*100))*0.1,0)),"")</f>
        <v/>
      </c>
      <c r="F263" s="31"/>
      <c r="G263" s="31"/>
      <c r="H263" s="31"/>
      <c r="I263" s="32"/>
    </row>
    <row r="264" customFormat="false" ht="15" hidden="false" customHeight="false" outlineLevel="0" collapsed="false">
      <c r="A264" s="35" t="n">
        <f aca="false">'Daily Tracker'!A264</f>
        <v>46282</v>
      </c>
      <c r="B264" s="48" t="str">
        <f aca="false">IF('Daily Tracker'!F264="","",'Daily Tracker'!F264)</f>
        <v/>
      </c>
      <c r="C264" s="31"/>
      <c r="D264" s="31"/>
      <c r="E264" s="56" t="str">
        <f aca="false">IFERROR(IF(COUNT(B264,C264,D264,F264,G264,H264)=0,"",ROUND((IF(B264="",70,MIN(B264/SleepGoal,1)*100))*0.25+(IF(C264="",70,MIN(C264/HRVGoal,1)*100))*0.2+(IF(D264="",70,MAX(0,MIN(1,(RHRPoor-D264)/(RHRPoor-RHRExcellent)))*100))*0.2+(IF(F264="",70,(5-F264)/4*100))*0.15+(IF(G264="",70,(5-G264)/4*100))*0.1+(IF(H264="",70,(5-H264)/4*100))*0.1,0)),"")</f>
        <v/>
      </c>
      <c r="F264" s="31"/>
      <c r="G264" s="31"/>
      <c r="H264" s="31"/>
      <c r="I264" s="32"/>
    </row>
    <row r="265" customFormat="false" ht="15" hidden="false" customHeight="false" outlineLevel="0" collapsed="false">
      <c r="A265" s="26" t="n">
        <f aca="false">'Daily Tracker'!A265</f>
        <v>46283</v>
      </c>
      <c r="B265" s="47" t="str">
        <f aca="false">IF('Daily Tracker'!F265="","",'Daily Tracker'!F265)</f>
        <v/>
      </c>
      <c r="C265" s="31"/>
      <c r="D265" s="31"/>
      <c r="E265" s="56" t="str">
        <f aca="false">IFERROR(IF(COUNT(B265,C265,D265,F265,G265,H265)=0,"",ROUND((IF(B265="",70,MIN(B265/SleepGoal,1)*100))*0.25+(IF(C265="",70,MIN(C265/HRVGoal,1)*100))*0.2+(IF(D265="",70,MAX(0,MIN(1,(RHRPoor-D265)/(RHRPoor-RHRExcellent)))*100))*0.2+(IF(F265="",70,(5-F265)/4*100))*0.15+(IF(G265="",70,(5-G265)/4*100))*0.1+(IF(H265="",70,(5-H265)/4*100))*0.1,0)),"")</f>
        <v/>
      </c>
      <c r="F265" s="31"/>
      <c r="G265" s="31"/>
      <c r="H265" s="31"/>
      <c r="I265" s="32"/>
    </row>
    <row r="266" customFormat="false" ht="15" hidden="false" customHeight="false" outlineLevel="0" collapsed="false">
      <c r="A266" s="35" t="n">
        <f aca="false">'Daily Tracker'!A266</f>
        <v>46284</v>
      </c>
      <c r="B266" s="48" t="str">
        <f aca="false">IF('Daily Tracker'!F266="","",'Daily Tracker'!F266)</f>
        <v/>
      </c>
      <c r="C266" s="31"/>
      <c r="D266" s="31"/>
      <c r="E266" s="56" t="str">
        <f aca="false">IFERROR(IF(COUNT(B266,C266,D266,F266,G266,H266)=0,"",ROUND((IF(B266="",70,MIN(B266/SleepGoal,1)*100))*0.25+(IF(C266="",70,MIN(C266/HRVGoal,1)*100))*0.2+(IF(D266="",70,MAX(0,MIN(1,(RHRPoor-D266)/(RHRPoor-RHRExcellent)))*100))*0.2+(IF(F266="",70,(5-F266)/4*100))*0.15+(IF(G266="",70,(5-G266)/4*100))*0.1+(IF(H266="",70,(5-H266)/4*100))*0.1,0)),"")</f>
        <v/>
      </c>
      <c r="F266" s="31"/>
      <c r="G266" s="31"/>
      <c r="H266" s="31"/>
      <c r="I266" s="32"/>
    </row>
    <row r="267" customFormat="false" ht="15" hidden="false" customHeight="false" outlineLevel="0" collapsed="false">
      <c r="A267" s="26" t="n">
        <f aca="false">'Daily Tracker'!A267</f>
        <v>46285</v>
      </c>
      <c r="B267" s="47" t="str">
        <f aca="false">IF('Daily Tracker'!F267="","",'Daily Tracker'!F267)</f>
        <v/>
      </c>
      <c r="C267" s="31"/>
      <c r="D267" s="31"/>
      <c r="E267" s="56" t="str">
        <f aca="false">IFERROR(IF(COUNT(B267,C267,D267,F267,G267,H267)=0,"",ROUND((IF(B267="",70,MIN(B267/SleepGoal,1)*100))*0.25+(IF(C267="",70,MIN(C267/HRVGoal,1)*100))*0.2+(IF(D267="",70,MAX(0,MIN(1,(RHRPoor-D267)/(RHRPoor-RHRExcellent)))*100))*0.2+(IF(F267="",70,(5-F267)/4*100))*0.15+(IF(G267="",70,(5-G267)/4*100))*0.1+(IF(H267="",70,(5-H267)/4*100))*0.1,0)),"")</f>
        <v/>
      </c>
      <c r="F267" s="31"/>
      <c r="G267" s="31"/>
      <c r="H267" s="31"/>
      <c r="I267" s="32"/>
    </row>
    <row r="268" customFormat="false" ht="15" hidden="false" customHeight="false" outlineLevel="0" collapsed="false">
      <c r="A268" s="35" t="n">
        <f aca="false">'Daily Tracker'!A268</f>
        <v>46286</v>
      </c>
      <c r="B268" s="48" t="str">
        <f aca="false">IF('Daily Tracker'!F268="","",'Daily Tracker'!F268)</f>
        <v/>
      </c>
      <c r="C268" s="31"/>
      <c r="D268" s="31"/>
      <c r="E268" s="56" t="str">
        <f aca="false">IFERROR(IF(COUNT(B268,C268,D268,F268,G268,H268)=0,"",ROUND((IF(B268="",70,MIN(B268/SleepGoal,1)*100))*0.25+(IF(C268="",70,MIN(C268/HRVGoal,1)*100))*0.2+(IF(D268="",70,MAX(0,MIN(1,(RHRPoor-D268)/(RHRPoor-RHRExcellent)))*100))*0.2+(IF(F268="",70,(5-F268)/4*100))*0.15+(IF(G268="",70,(5-G268)/4*100))*0.1+(IF(H268="",70,(5-H268)/4*100))*0.1,0)),"")</f>
        <v/>
      </c>
      <c r="F268" s="31"/>
      <c r="G268" s="31"/>
      <c r="H268" s="31"/>
      <c r="I268" s="32"/>
    </row>
    <row r="269" customFormat="false" ht="15" hidden="false" customHeight="false" outlineLevel="0" collapsed="false">
      <c r="A269" s="26" t="n">
        <f aca="false">'Daily Tracker'!A269</f>
        <v>46287</v>
      </c>
      <c r="B269" s="47" t="str">
        <f aca="false">IF('Daily Tracker'!F269="","",'Daily Tracker'!F269)</f>
        <v/>
      </c>
      <c r="C269" s="31"/>
      <c r="D269" s="31"/>
      <c r="E269" s="56" t="str">
        <f aca="false">IFERROR(IF(COUNT(B269,C269,D269,F269,G269,H269)=0,"",ROUND((IF(B269="",70,MIN(B269/SleepGoal,1)*100))*0.25+(IF(C269="",70,MIN(C269/HRVGoal,1)*100))*0.2+(IF(D269="",70,MAX(0,MIN(1,(RHRPoor-D269)/(RHRPoor-RHRExcellent)))*100))*0.2+(IF(F269="",70,(5-F269)/4*100))*0.15+(IF(G269="",70,(5-G269)/4*100))*0.1+(IF(H269="",70,(5-H269)/4*100))*0.1,0)),"")</f>
        <v/>
      </c>
      <c r="F269" s="31"/>
      <c r="G269" s="31"/>
      <c r="H269" s="31"/>
      <c r="I269" s="32"/>
    </row>
    <row r="270" customFormat="false" ht="15" hidden="false" customHeight="false" outlineLevel="0" collapsed="false">
      <c r="A270" s="35" t="n">
        <f aca="false">'Daily Tracker'!A270</f>
        <v>46288</v>
      </c>
      <c r="B270" s="48" t="str">
        <f aca="false">IF('Daily Tracker'!F270="","",'Daily Tracker'!F270)</f>
        <v/>
      </c>
      <c r="C270" s="31"/>
      <c r="D270" s="31"/>
      <c r="E270" s="56" t="str">
        <f aca="false">IFERROR(IF(COUNT(B270,C270,D270,F270,G270,H270)=0,"",ROUND((IF(B270="",70,MIN(B270/SleepGoal,1)*100))*0.25+(IF(C270="",70,MIN(C270/HRVGoal,1)*100))*0.2+(IF(D270="",70,MAX(0,MIN(1,(RHRPoor-D270)/(RHRPoor-RHRExcellent)))*100))*0.2+(IF(F270="",70,(5-F270)/4*100))*0.15+(IF(G270="",70,(5-G270)/4*100))*0.1+(IF(H270="",70,(5-H270)/4*100))*0.1,0)),"")</f>
        <v/>
      </c>
      <c r="F270" s="31"/>
      <c r="G270" s="31"/>
      <c r="H270" s="31"/>
      <c r="I270" s="32"/>
    </row>
    <row r="271" customFormat="false" ht="15" hidden="false" customHeight="false" outlineLevel="0" collapsed="false">
      <c r="A271" s="26" t="n">
        <f aca="false">'Daily Tracker'!A271</f>
        <v>46289</v>
      </c>
      <c r="B271" s="47" t="str">
        <f aca="false">IF('Daily Tracker'!F271="","",'Daily Tracker'!F271)</f>
        <v/>
      </c>
      <c r="C271" s="31"/>
      <c r="D271" s="31"/>
      <c r="E271" s="56" t="str">
        <f aca="false">IFERROR(IF(COUNT(B271,C271,D271,F271,G271,H271)=0,"",ROUND((IF(B271="",70,MIN(B271/SleepGoal,1)*100))*0.25+(IF(C271="",70,MIN(C271/HRVGoal,1)*100))*0.2+(IF(D271="",70,MAX(0,MIN(1,(RHRPoor-D271)/(RHRPoor-RHRExcellent)))*100))*0.2+(IF(F271="",70,(5-F271)/4*100))*0.15+(IF(G271="",70,(5-G271)/4*100))*0.1+(IF(H271="",70,(5-H271)/4*100))*0.1,0)),"")</f>
        <v/>
      </c>
      <c r="F271" s="31"/>
      <c r="G271" s="31"/>
      <c r="H271" s="31"/>
      <c r="I271" s="32"/>
    </row>
    <row r="272" customFormat="false" ht="15" hidden="false" customHeight="false" outlineLevel="0" collapsed="false">
      <c r="A272" s="35" t="n">
        <f aca="false">'Daily Tracker'!A272</f>
        <v>46290</v>
      </c>
      <c r="B272" s="48" t="str">
        <f aca="false">IF('Daily Tracker'!F272="","",'Daily Tracker'!F272)</f>
        <v/>
      </c>
      <c r="C272" s="31"/>
      <c r="D272" s="31"/>
      <c r="E272" s="56" t="str">
        <f aca="false">IFERROR(IF(COUNT(B272,C272,D272,F272,G272,H272)=0,"",ROUND((IF(B272="",70,MIN(B272/SleepGoal,1)*100))*0.25+(IF(C272="",70,MIN(C272/HRVGoal,1)*100))*0.2+(IF(D272="",70,MAX(0,MIN(1,(RHRPoor-D272)/(RHRPoor-RHRExcellent)))*100))*0.2+(IF(F272="",70,(5-F272)/4*100))*0.15+(IF(G272="",70,(5-G272)/4*100))*0.1+(IF(H272="",70,(5-H272)/4*100))*0.1,0)),"")</f>
        <v/>
      </c>
      <c r="F272" s="31"/>
      <c r="G272" s="31"/>
      <c r="H272" s="31"/>
      <c r="I272" s="32"/>
    </row>
    <row r="273" customFormat="false" ht="15" hidden="false" customHeight="false" outlineLevel="0" collapsed="false">
      <c r="A273" s="26" t="n">
        <f aca="false">'Daily Tracker'!A273</f>
        <v>46291</v>
      </c>
      <c r="B273" s="47" t="str">
        <f aca="false">IF('Daily Tracker'!F273="","",'Daily Tracker'!F273)</f>
        <v/>
      </c>
      <c r="C273" s="31"/>
      <c r="D273" s="31"/>
      <c r="E273" s="56" t="str">
        <f aca="false">IFERROR(IF(COUNT(B273,C273,D273,F273,G273,H273)=0,"",ROUND((IF(B273="",70,MIN(B273/SleepGoal,1)*100))*0.25+(IF(C273="",70,MIN(C273/HRVGoal,1)*100))*0.2+(IF(D273="",70,MAX(0,MIN(1,(RHRPoor-D273)/(RHRPoor-RHRExcellent)))*100))*0.2+(IF(F273="",70,(5-F273)/4*100))*0.15+(IF(G273="",70,(5-G273)/4*100))*0.1+(IF(H273="",70,(5-H273)/4*100))*0.1,0)),"")</f>
        <v/>
      </c>
      <c r="F273" s="31"/>
      <c r="G273" s="31"/>
      <c r="H273" s="31"/>
      <c r="I273" s="32"/>
    </row>
    <row r="274" customFormat="false" ht="15" hidden="false" customHeight="false" outlineLevel="0" collapsed="false">
      <c r="A274" s="35" t="n">
        <f aca="false">'Daily Tracker'!A274</f>
        <v>46292</v>
      </c>
      <c r="B274" s="48" t="str">
        <f aca="false">IF('Daily Tracker'!F274="","",'Daily Tracker'!F274)</f>
        <v/>
      </c>
      <c r="C274" s="31"/>
      <c r="D274" s="31"/>
      <c r="E274" s="56" t="str">
        <f aca="false">IFERROR(IF(COUNT(B274,C274,D274,F274,G274,H274)=0,"",ROUND((IF(B274="",70,MIN(B274/SleepGoal,1)*100))*0.25+(IF(C274="",70,MIN(C274/HRVGoal,1)*100))*0.2+(IF(D274="",70,MAX(0,MIN(1,(RHRPoor-D274)/(RHRPoor-RHRExcellent)))*100))*0.2+(IF(F274="",70,(5-F274)/4*100))*0.15+(IF(G274="",70,(5-G274)/4*100))*0.1+(IF(H274="",70,(5-H274)/4*100))*0.1,0)),"")</f>
        <v/>
      </c>
      <c r="F274" s="31"/>
      <c r="G274" s="31"/>
      <c r="H274" s="31"/>
      <c r="I274" s="32"/>
    </row>
    <row r="275" customFormat="false" ht="15" hidden="false" customHeight="false" outlineLevel="0" collapsed="false">
      <c r="A275" s="26" t="n">
        <f aca="false">'Daily Tracker'!A275</f>
        <v>46293</v>
      </c>
      <c r="B275" s="47" t="str">
        <f aca="false">IF('Daily Tracker'!F275="","",'Daily Tracker'!F275)</f>
        <v/>
      </c>
      <c r="C275" s="31"/>
      <c r="D275" s="31"/>
      <c r="E275" s="56" t="str">
        <f aca="false">IFERROR(IF(COUNT(B275,C275,D275,F275,G275,H275)=0,"",ROUND((IF(B275="",70,MIN(B275/SleepGoal,1)*100))*0.25+(IF(C275="",70,MIN(C275/HRVGoal,1)*100))*0.2+(IF(D275="",70,MAX(0,MIN(1,(RHRPoor-D275)/(RHRPoor-RHRExcellent)))*100))*0.2+(IF(F275="",70,(5-F275)/4*100))*0.15+(IF(G275="",70,(5-G275)/4*100))*0.1+(IF(H275="",70,(5-H275)/4*100))*0.1,0)),"")</f>
        <v/>
      </c>
      <c r="F275" s="31"/>
      <c r="G275" s="31"/>
      <c r="H275" s="31"/>
      <c r="I275" s="32"/>
    </row>
    <row r="276" customFormat="false" ht="15" hidden="false" customHeight="false" outlineLevel="0" collapsed="false">
      <c r="A276" s="35" t="n">
        <f aca="false">'Daily Tracker'!A276</f>
        <v>46294</v>
      </c>
      <c r="B276" s="48" t="str">
        <f aca="false">IF('Daily Tracker'!F276="","",'Daily Tracker'!F276)</f>
        <v/>
      </c>
      <c r="C276" s="31"/>
      <c r="D276" s="31"/>
      <c r="E276" s="56" t="str">
        <f aca="false">IFERROR(IF(COUNT(B276,C276,D276,F276,G276,H276)=0,"",ROUND((IF(B276="",70,MIN(B276/SleepGoal,1)*100))*0.25+(IF(C276="",70,MIN(C276/HRVGoal,1)*100))*0.2+(IF(D276="",70,MAX(0,MIN(1,(RHRPoor-D276)/(RHRPoor-RHRExcellent)))*100))*0.2+(IF(F276="",70,(5-F276)/4*100))*0.15+(IF(G276="",70,(5-G276)/4*100))*0.1+(IF(H276="",70,(5-H276)/4*100))*0.1,0)),"")</f>
        <v/>
      </c>
      <c r="F276" s="31"/>
      <c r="G276" s="31"/>
      <c r="H276" s="31"/>
      <c r="I276" s="32"/>
    </row>
    <row r="277" customFormat="false" ht="15" hidden="false" customHeight="false" outlineLevel="0" collapsed="false">
      <c r="A277" s="26" t="n">
        <f aca="false">'Daily Tracker'!A277</f>
        <v>46295</v>
      </c>
      <c r="B277" s="47" t="str">
        <f aca="false">IF('Daily Tracker'!F277="","",'Daily Tracker'!F277)</f>
        <v/>
      </c>
      <c r="C277" s="31"/>
      <c r="D277" s="31"/>
      <c r="E277" s="56" t="str">
        <f aca="false">IFERROR(IF(COUNT(B277,C277,D277,F277,G277,H277)=0,"",ROUND((IF(B277="",70,MIN(B277/SleepGoal,1)*100))*0.25+(IF(C277="",70,MIN(C277/HRVGoal,1)*100))*0.2+(IF(D277="",70,MAX(0,MIN(1,(RHRPoor-D277)/(RHRPoor-RHRExcellent)))*100))*0.2+(IF(F277="",70,(5-F277)/4*100))*0.15+(IF(G277="",70,(5-G277)/4*100))*0.1+(IF(H277="",70,(5-H277)/4*100))*0.1,0)),"")</f>
        <v/>
      </c>
      <c r="F277" s="31"/>
      <c r="G277" s="31"/>
      <c r="H277" s="31"/>
      <c r="I277" s="32"/>
    </row>
    <row r="278" customFormat="false" ht="15" hidden="false" customHeight="false" outlineLevel="0" collapsed="false">
      <c r="A278" s="35" t="n">
        <f aca="false">'Daily Tracker'!A278</f>
        <v>46296</v>
      </c>
      <c r="B278" s="48" t="str">
        <f aca="false">IF('Daily Tracker'!F278="","",'Daily Tracker'!F278)</f>
        <v/>
      </c>
      <c r="C278" s="31"/>
      <c r="D278" s="31"/>
      <c r="E278" s="56" t="str">
        <f aca="false">IFERROR(IF(COUNT(B278,C278,D278,F278,G278,H278)=0,"",ROUND((IF(B278="",70,MIN(B278/SleepGoal,1)*100))*0.25+(IF(C278="",70,MIN(C278/HRVGoal,1)*100))*0.2+(IF(D278="",70,MAX(0,MIN(1,(RHRPoor-D278)/(RHRPoor-RHRExcellent)))*100))*0.2+(IF(F278="",70,(5-F278)/4*100))*0.15+(IF(G278="",70,(5-G278)/4*100))*0.1+(IF(H278="",70,(5-H278)/4*100))*0.1,0)),"")</f>
        <v/>
      </c>
      <c r="F278" s="31"/>
      <c r="G278" s="31"/>
      <c r="H278" s="31"/>
      <c r="I278" s="32"/>
    </row>
    <row r="279" customFormat="false" ht="15" hidden="false" customHeight="false" outlineLevel="0" collapsed="false">
      <c r="A279" s="26" t="n">
        <f aca="false">'Daily Tracker'!A279</f>
        <v>46297</v>
      </c>
      <c r="B279" s="47" t="str">
        <f aca="false">IF('Daily Tracker'!F279="","",'Daily Tracker'!F279)</f>
        <v/>
      </c>
      <c r="C279" s="31"/>
      <c r="D279" s="31"/>
      <c r="E279" s="56" t="str">
        <f aca="false">IFERROR(IF(COUNT(B279,C279,D279,F279,G279,H279)=0,"",ROUND((IF(B279="",70,MIN(B279/SleepGoal,1)*100))*0.25+(IF(C279="",70,MIN(C279/HRVGoal,1)*100))*0.2+(IF(D279="",70,MAX(0,MIN(1,(RHRPoor-D279)/(RHRPoor-RHRExcellent)))*100))*0.2+(IF(F279="",70,(5-F279)/4*100))*0.15+(IF(G279="",70,(5-G279)/4*100))*0.1+(IF(H279="",70,(5-H279)/4*100))*0.1,0)),"")</f>
        <v/>
      </c>
      <c r="F279" s="31"/>
      <c r="G279" s="31"/>
      <c r="H279" s="31"/>
      <c r="I279" s="32"/>
    </row>
    <row r="280" customFormat="false" ht="15" hidden="false" customHeight="false" outlineLevel="0" collapsed="false">
      <c r="A280" s="35" t="n">
        <f aca="false">'Daily Tracker'!A280</f>
        <v>46298</v>
      </c>
      <c r="B280" s="48" t="str">
        <f aca="false">IF('Daily Tracker'!F280="","",'Daily Tracker'!F280)</f>
        <v/>
      </c>
      <c r="C280" s="31"/>
      <c r="D280" s="31"/>
      <c r="E280" s="56" t="str">
        <f aca="false">IFERROR(IF(COUNT(B280,C280,D280,F280,G280,H280)=0,"",ROUND((IF(B280="",70,MIN(B280/SleepGoal,1)*100))*0.25+(IF(C280="",70,MIN(C280/HRVGoal,1)*100))*0.2+(IF(D280="",70,MAX(0,MIN(1,(RHRPoor-D280)/(RHRPoor-RHRExcellent)))*100))*0.2+(IF(F280="",70,(5-F280)/4*100))*0.15+(IF(G280="",70,(5-G280)/4*100))*0.1+(IF(H280="",70,(5-H280)/4*100))*0.1,0)),"")</f>
        <v/>
      </c>
      <c r="F280" s="31"/>
      <c r="G280" s="31"/>
      <c r="H280" s="31"/>
      <c r="I280" s="32"/>
    </row>
    <row r="281" customFormat="false" ht="15" hidden="false" customHeight="false" outlineLevel="0" collapsed="false">
      <c r="A281" s="26" t="n">
        <f aca="false">'Daily Tracker'!A281</f>
        <v>46299</v>
      </c>
      <c r="B281" s="47" t="str">
        <f aca="false">IF('Daily Tracker'!F281="","",'Daily Tracker'!F281)</f>
        <v/>
      </c>
      <c r="C281" s="31"/>
      <c r="D281" s="31"/>
      <c r="E281" s="56" t="str">
        <f aca="false">IFERROR(IF(COUNT(B281,C281,D281,F281,G281,H281)=0,"",ROUND((IF(B281="",70,MIN(B281/SleepGoal,1)*100))*0.25+(IF(C281="",70,MIN(C281/HRVGoal,1)*100))*0.2+(IF(D281="",70,MAX(0,MIN(1,(RHRPoor-D281)/(RHRPoor-RHRExcellent)))*100))*0.2+(IF(F281="",70,(5-F281)/4*100))*0.15+(IF(G281="",70,(5-G281)/4*100))*0.1+(IF(H281="",70,(5-H281)/4*100))*0.1,0)),"")</f>
        <v/>
      </c>
      <c r="F281" s="31"/>
      <c r="G281" s="31"/>
      <c r="H281" s="31"/>
      <c r="I281" s="32"/>
    </row>
    <row r="282" customFormat="false" ht="15" hidden="false" customHeight="false" outlineLevel="0" collapsed="false">
      <c r="A282" s="35" t="n">
        <f aca="false">'Daily Tracker'!A282</f>
        <v>46300</v>
      </c>
      <c r="B282" s="48" t="str">
        <f aca="false">IF('Daily Tracker'!F282="","",'Daily Tracker'!F282)</f>
        <v/>
      </c>
      <c r="C282" s="31"/>
      <c r="D282" s="31"/>
      <c r="E282" s="56" t="str">
        <f aca="false">IFERROR(IF(COUNT(B282,C282,D282,F282,G282,H282)=0,"",ROUND((IF(B282="",70,MIN(B282/SleepGoal,1)*100))*0.25+(IF(C282="",70,MIN(C282/HRVGoal,1)*100))*0.2+(IF(D282="",70,MAX(0,MIN(1,(RHRPoor-D282)/(RHRPoor-RHRExcellent)))*100))*0.2+(IF(F282="",70,(5-F282)/4*100))*0.15+(IF(G282="",70,(5-G282)/4*100))*0.1+(IF(H282="",70,(5-H282)/4*100))*0.1,0)),"")</f>
        <v/>
      </c>
      <c r="F282" s="31"/>
      <c r="G282" s="31"/>
      <c r="H282" s="31"/>
      <c r="I282" s="32"/>
    </row>
    <row r="283" customFormat="false" ht="15" hidden="false" customHeight="false" outlineLevel="0" collapsed="false">
      <c r="A283" s="26" t="n">
        <f aca="false">'Daily Tracker'!A283</f>
        <v>46301</v>
      </c>
      <c r="B283" s="47" t="str">
        <f aca="false">IF('Daily Tracker'!F283="","",'Daily Tracker'!F283)</f>
        <v/>
      </c>
      <c r="C283" s="31"/>
      <c r="D283" s="31"/>
      <c r="E283" s="56" t="str">
        <f aca="false">IFERROR(IF(COUNT(B283,C283,D283,F283,G283,H283)=0,"",ROUND((IF(B283="",70,MIN(B283/SleepGoal,1)*100))*0.25+(IF(C283="",70,MIN(C283/HRVGoal,1)*100))*0.2+(IF(D283="",70,MAX(0,MIN(1,(RHRPoor-D283)/(RHRPoor-RHRExcellent)))*100))*0.2+(IF(F283="",70,(5-F283)/4*100))*0.15+(IF(G283="",70,(5-G283)/4*100))*0.1+(IF(H283="",70,(5-H283)/4*100))*0.1,0)),"")</f>
        <v/>
      </c>
      <c r="F283" s="31"/>
      <c r="G283" s="31"/>
      <c r="H283" s="31"/>
      <c r="I283" s="32"/>
    </row>
    <row r="284" customFormat="false" ht="15" hidden="false" customHeight="false" outlineLevel="0" collapsed="false">
      <c r="A284" s="35" t="n">
        <f aca="false">'Daily Tracker'!A284</f>
        <v>46302</v>
      </c>
      <c r="B284" s="48" t="str">
        <f aca="false">IF('Daily Tracker'!F284="","",'Daily Tracker'!F284)</f>
        <v/>
      </c>
      <c r="C284" s="31"/>
      <c r="D284" s="31"/>
      <c r="E284" s="56" t="str">
        <f aca="false">IFERROR(IF(COUNT(B284,C284,D284,F284,G284,H284)=0,"",ROUND((IF(B284="",70,MIN(B284/SleepGoal,1)*100))*0.25+(IF(C284="",70,MIN(C284/HRVGoal,1)*100))*0.2+(IF(D284="",70,MAX(0,MIN(1,(RHRPoor-D284)/(RHRPoor-RHRExcellent)))*100))*0.2+(IF(F284="",70,(5-F284)/4*100))*0.15+(IF(G284="",70,(5-G284)/4*100))*0.1+(IF(H284="",70,(5-H284)/4*100))*0.1,0)),"")</f>
        <v/>
      </c>
      <c r="F284" s="31"/>
      <c r="G284" s="31"/>
      <c r="H284" s="31"/>
      <c r="I284" s="32"/>
    </row>
    <row r="285" customFormat="false" ht="15" hidden="false" customHeight="false" outlineLevel="0" collapsed="false">
      <c r="A285" s="26" t="n">
        <f aca="false">'Daily Tracker'!A285</f>
        <v>46303</v>
      </c>
      <c r="B285" s="47" t="str">
        <f aca="false">IF('Daily Tracker'!F285="","",'Daily Tracker'!F285)</f>
        <v/>
      </c>
      <c r="C285" s="31"/>
      <c r="D285" s="31"/>
      <c r="E285" s="56" t="str">
        <f aca="false">IFERROR(IF(COUNT(B285,C285,D285,F285,G285,H285)=0,"",ROUND((IF(B285="",70,MIN(B285/SleepGoal,1)*100))*0.25+(IF(C285="",70,MIN(C285/HRVGoal,1)*100))*0.2+(IF(D285="",70,MAX(0,MIN(1,(RHRPoor-D285)/(RHRPoor-RHRExcellent)))*100))*0.2+(IF(F285="",70,(5-F285)/4*100))*0.15+(IF(G285="",70,(5-G285)/4*100))*0.1+(IF(H285="",70,(5-H285)/4*100))*0.1,0)),"")</f>
        <v/>
      </c>
      <c r="F285" s="31"/>
      <c r="G285" s="31"/>
      <c r="H285" s="31"/>
      <c r="I285" s="32"/>
    </row>
    <row r="286" customFormat="false" ht="15" hidden="false" customHeight="false" outlineLevel="0" collapsed="false">
      <c r="A286" s="35" t="n">
        <f aca="false">'Daily Tracker'!A286</f>
        <v>46304</v>
      </c>
      <c r="B286" s="48" t="str">
        <f aca="false">IF('Daily Tracker'!F286="","",'Daily Tracker'!F286)</f>
        <v/>
      </c>
      <c r="C286" s="31"/>
      <c r="D286" s="31"/>
      <c r="E286" s="56" t="str">
        <f aca="false">IFERROR(IF(COUNT(B286,C286,D286,F286,G286,H286)=0,"",ROUND((IF(B286="",70,MIN(B286/SleepGoal,1)*100))*0.25+(IF(C286="",70,MIN(C286/HRVGoal,1)*100))*0.2+(IF(D286="",70,MAX(0,MIN(1,(RHRPoor-D286)/(RHRPoor-RHRExcellent)))*100))*0.2+(IF(F286="",70,(5-F286)/4*100))*0.15+(IF(G286="",70,(5-G286)/4*100))*0.1+(IF(H286="",70,(5-H286)/4*100))*0.1,0)),"")</f>
        <v/>
      </c>
      <c r="F286" s="31"/>
      <c r="G286" s="31"/>
      <c r="H286" s="31"/>
      <c r="I286" s="32"/>
    </row>
    <row r="287" customFormat="false" ht="15" hidden="false" customHeight="false" outlineLevel="0" collapsed="false">
      <c r="A287" s="26" t="n">
        <f aca="false">'Daily Tracker'!A287</f>
        <v>46305</v>
      </c>
      <c r="B287" s="47" t="str">
        <f aca="false">IF('Daily Tracker'!F287="","",'Daily Tracker'!F287)</f>
        <v/>
      </c>
      <c r="C287" s="31"/>
      <c r="D287" s="31"/>
      <c r="E287" s="56" t="str">
        <f aca="false">IFERROR(IF(COUNT(B287,C287,D287,F287,G287,H287)=0,"",ROUND((IF(B287="",70,MIN(B287/SleepGoal,1)*100))*0.25+(IF(C287="",70,MIN(C287/HRVGoal,1)*100))*0.2+(IF(D287="",70,MAX(0,MIN(1,(RHRPoor-D287)/(RHRPoor-RHRExcellent)))*100))*0.2+(IF(F287="",70,(5-F287)/4*100))*0.15+(IF(G287="",70,(5-G287)/4*100))*0.1+(IF(H287="",70,(5-H287)/4*100))*0.1,0)),"")</f>
        <v/>
      </c>
      <c r="F287" s="31"/>
      <c r="G287" s="31"/>
      <c r="H287" s="31"/>
      <c r="I287" s="32"/>
    </row>
    <row r="288" customFormat="false" ht="15" hidden="false" customHeight="false" outlineLevel="0" collapsed="false">
      <c r="A288" s="35" t="n">
        <f aca="false">'Daily Tracker'!A288</f>
        <v>46306</v>
      </c>
      <c r="B288" s="48" t="str">
        <f aca="false">IF('Daily Tracker'!F288="","",'Daily Tracker'!F288)</f>
        <v/>
      </c>
      <c r="C288" s="31"/>
      <c r="D288" s="31"/>
      <c r="E288" s="56" t="str">
        <f aca="false">IFERROR(IF(COUNT(B288,C288,D288,F288,G288,H288)=0,"",ROUND((IF(B288="",70,MIN(B288/SleepGoal,1)*100))*0.25+(IF(C288="",70,MIN(C288/HRVGoal,1)*100))*0.2+(IF(D288="",70,MAX(0,MIN(1,(RHRPoor-D288)/(RHRPoor-RHRExcellent)))*100))*0.2+(IF(F288="",70,(5-F288)/4*100))*0.15+(IF(G288="",70,(5-G288)/4*100))*0.1+(IF(H288="",70,(5-H288)/4*100))*0.1,0)),"")</f>
        <v/>
      </c>
      <c r="F288" s="31"/>
      <c r="G288" s="31"/>
      <c r="H288" s="31"/>
      <c r="I288" s="32"/>
    </row>
    <row r="289" customFormat="false" ht="15" hidden="false" customHeight="false" outlineLevel="0" collapsed="false">
      <c r="A289" s="26" t="n">
        <f aca="false">'Daily Tracker'!A289</f>
        <v>46307</v>
      </c>
      <c r="B289" s="47" t="str">
        <f aca="false">IF('Daily Tracker'!F289="","",'Daily Tracker'!F289)</f>
        <v/>
      </c>
      <c r="C289" s="31"/>
      <c r="D289" s="31"/>
      <c r="E289" s="56" t="str">
        <f aca="false">IFERROR(IF(COUNT(B289,C289,D289,F289,G289,H289)=0,"",ROUND((IF(B289="",70,MIN(B289/SleepGoal,1)*100))*0.25+(IF(C289="",70,MIN(C289/HRVGoal,1)*100))*0.2+(IF(D289="",70,MAX(0,MIN(1,(RHRPoor-D289)/(RHRPoor-RHRExcellent)))*100))*0.2+(IF(F289="",70,(5-F289)/4*100))*0.15+(IF(G289="",70,(5-G289)/4*100))*0.1+(IF(H289="",70,(5-H289)/4*100))*0.1,0)),"")</f>
        <v/>
      </c>
      <c r="F289" s="31"/>
      <c r="G289" s="31"/>
      <c r="H289" s="31"/>
      <c r="I289" s="32"/>
    </row>
    <row r="290" customFormat="false" ht="15" hidden="false" customHeight="false" outlineLevel="0" collapsed="false">
      <c r="A290" s="35" t="n">
        <f aca="false">'Daily Tracker'!A290</f>
        <v>46308</v>
      </c>
      <c r="B290" s="48" t="str">
        <f aca="false">IF('Daily Tracker'!F290="","",'Daily Tracker'!F290)</f>
        <v/>
      </c>
      <c r="C290" s="31"/>
      <c r="D290" s="31"/>
      <c r="E290" s="56" t="str">
        <f aca="false">IFERROR(IF(COUNT(B290,C290,D290,F290,G290,H290)=0,"",ROUND((IF(B290="",70,MIN(B290/SleepGoal,1)*100))*0.25+(IF(C290="",70,MIN(C290/HRVGoal,1)*100))*0.2+(IF(D290="",70,MAX(0,MIN(1,(RHRPoor-D290)/(RHRPoor-RHRExcellent)))*100))*0.2+(IF(F290="",70,(5-F290)/4*100))*0.15+(IF(G290="",70,(5-G290)/4*100))*0.1+(IF(H290="",70,(5-H290)/4*100))*0.1,0)),"")</f>
        <v/>
      </c>
      <c r="F290" s="31"/>
      <c r="G290" s="31"/>
      <c r="H290" s="31"/>
      <c r="I290" s="32"/>
    </row>
    <row r="291" customFormat="false" ht="15" hidden="false" customHeight="false" outlineLevel="0" collapsed="false">
      <c r="A291" s="26" t="n">
        <f aca="false">'Daily Tracker'!A291</f>
        <v>46309</v>
      </c>
      <c r="B291" s="47" t="str">
        <f aca="false">IF('Daily Tracker'!F291="","",'Daily Tracker'!F291)</f>
        <v/>
      </c>
      <c r="C291" s="31"/>
      <c r="D291" s="31"/>
      <c r="E291" s="56" t="str">
        <f aca="false">IFERROR(IF(COUNT(B291,C291,D291,F291,G291,H291)=0,"",ROUND((IF(B291="",70,MIN(B291/SleepGoal,1)*100))*0.25+(IF(C291="",70,MIN(C291/HRVGoal,1)*100))*0.2+(IF(D291="",70,MAX(0,MIN(1,(RHRPoor-D291)/(RHRPoor-RHRExcellent)))*100))*0.2+(IF(F291="",70,(5-F291)/4*100))*0.15+(IF(G291="",70,(5-G291)/4*100))*0.1+(IF(H291="",70,(5-H291)/4*100))*0.1,0)),"")</f>
        <v/>
      </c>
      <c r="F291" s="31"/>
      <c r="G291" s="31"/>
      <c r="H291" s="31"/>
      <c r="I291" s="32"/>
    </row>
    <row r="292" customFormat="false" ht="15" hidden="false" customHeight="false" outlineLevel="0" collapsed="false">
      <c r="A292" s="35" t="n">
        <f aca="false">'Daily Tracker'!A292</f>
        <v>46310</v>
      </c>
      <c r="B292" s="48" t="str">
        <f aca="false">IF('Daily Tracker'!F292="","",'Daily Tracker'!F292)</f>
        <v/>
      </c>
      <c r="C292" s="31"/>
      <c r="D292" s="31"/>
      <c r="E292" s="56" t="str">
        <f aca="false">IFERROR(IF(COUNT(B292,C292,D292,F292,G292,H292)=0,"",ROUND((IF(B292="",70,MIN(B292/SleepGoal,1)*100))*0.25+(IF(C292="",70,MIN(C292/HRVGoal,1)*100))*0.2+(IF(D292="",70,MAX(0,MIN(1,(RHRPoor-D292)/(RHRPoor-RHRExcellent)))*100))*0.2+(IF(F292="",70,(5-F292)/4*100))*0.15+(IF(G292="",70,(5-G292)/4*100))*0.1+(IF(H292="",70,(5-H292)/4*100))*0.1,0)),"")</f>
        <v/>
      </c>
      <c r="F292" s="31"/>
      <c r="G292" s="31"/>
      <c r="H292" s="31"/>
      <c r="I292" s="32"/>
    </row>
    <row r="293" customFormat="false" ht="15" hidden="false" customHeight="false" outlineLevel="0" collapsed="false">
      <c r="A293" s="26" t="n">
        <f aca="false">'Daily Tracker'!A293</f>
        <v>46311</v>
      </c>
      <c r="B293" s="47" t="str">
        <f aca="false">IF('Daily Tracker'!F293="","",'Daily Tracker'!F293)</f>
        <v/>
      </c>
      <c r="C293" s="31"/>
      <c r="D293" s="31"/>
      <c r="E293" s="56" t="str">
        <f aca="false">IFERROR(IF(COUNT(B293,C293,D293,F293,G293,H293)=0,"",ROUND((IF(B293="",70,MIN(B293/SleepGoal,1)*100))*0.25+(IF(C293="",70,MIN(C293/HRVGoal,1)*100))*0.2+(IF(D293="",70,MAX(0,MIN(1,(RHRPoor-D293)/(RHRPoor-RHRExcellent)))*100))*0.2+(IF(F293="",70,(5-F293)/4*100))*0.15+(IF(G293="",70,(5-G293)/4*100))*0.1+(IF(H293="",70,(5-H293)/4*100))*0.1,0)),"")</f>
        <v/>
      </c>
      <c r="F293" s="31"/>
      <c r="G293" s="31"/>
      <c r="H293" s="31"/>
      <c r="I293" s="32"/>
    </row>
    <row r="294" customFormat="false" ht="15" hidden="false" customHeight="false" outlineLevel="0" collapsed="false">
      <c r="A294" s="35" t="n">
        <f aca="false">'Daily Tracker'!A294</f>
        <v>46312</v>
      </c>
      <c r="B294" s="48" t="str">
        <f aca="false">IF('Daily Tracker'!F294="","",'Daily Tracker'!F294)</f>
        <v/>
      </c>
      <c r="C294" s="31"/>
      <c r="D294" s="31"/>
      <c r="E294" s="56" t="str">
        <f aca="false">IFERROR(IF(COUNT(B294,C294,D294,F294,G294,H294)=0,"",ROUND((IF(B294="",70,MIN(B294/SleepGoal,1)*100))*0.25+(IF(C294="",70,MIN(C294/HRVGoal,1)*100))*0.2+(IF(D294="",70,MAX(0,MIN(1,(RHRPoor-D294)/(RHRPoor-RHRExcellent)))*100))*0.2+(IF(F294="",70,(5-F294)/4*100))*0.15+(IF(G294="",70,(5-G294)/4*100))*0.1+(IF(H294="",70,(5-H294)/4*100))*0.1,0)),"")</f>
        <v/>
      </c>
      <c r="F294" s="31"/>
      <c r="G294" s="31"/>
      <c r="H294" s="31"/>
      <c r="I294" s="32"/>
    </row>
    <row r="295" customFormat="false" ht="15" hidden="false" customHeight="false" outlineLevel="0" collapsed="false">
      <c r="A295" s="26" t="n">
        <f aca="false">'Daily Tracker'!A295</f>
        <v>46313</v>
      </c>
      <c r="B295" s="47" t="str">
        <f aca="false">IF('Daily Tracker'!F295="","",'Daily Tracker'!F295)</f>
        <v/>
      </c>
      <c r="C295" s="31"/>
      <c r="D295" s="31"/>
      <c r="E295" s="56" t="str">
        <f aca="false">IFERROR(IF(COUNT(B295,C295,D295,F295,G295,H295)=0,"",ROUND((IF(B295="",70,MIN(B295/SleepGoal,1)*100))*0.25+(IF(C295="",70,MIN(C295/HRVGoal,1)*100))*0.2+(IF(D295="",70,MAX(0,MIN(1,(RHRPoor-D295)/(RHRPoor-RHRExcellent)))*100))*0.2+(IF(F295="",70,(5-F295)/4*100))*0.15+(IF(G295="",70,(5-G295)/4*100))*0.1+(IF(H295="",70,(5-H295)/4*100))*0.1,0)),"")</f>
        <v/>
      </c>
      <c r="F295" s="31"/>
      <c r="G295" s="31"/>
      <c r="H295" s="31"/>
      <c r="I295" s="32"/>
    </row>
    <row r="296" customFormat="false" ht="15" hidden="false" customHeight="false" outlineLevel="0" collapsed="false">
      <c r="A296" s="35" t="n">
        <f aca="false">'Daily Tracker'!A296</f>
        <v>46314</v>
      </c>
      <c r="B296" s="48" t="str">
        <f aca="false">IF('Daily Tracker'!F296="","",'Daily Tracker'!F296)</f>
        <v/>
      </c>
      <c r="C296" s="31"/>
      <c r="D296" s="31"/>
      <c r="E296" s="56" t="str">
        <f aca="false">IFERROR(IF(COUNT(B296,C296,D296,F296,G296,H296)=0,"",ROUND((IF(B296="",70,MIN(B296/SleepGoal,1)*100))*0.25+(IF(C296="",70,MIN(C296/HRVGoal,1)*100))*0.2+(IF(D296="",70,MAX(0,MIN(1,(RHRPoor-D296)/(RHRPoor-RHRExcellent)))*100))*0.2+(IF(F296="",70,(5-F296)/4*100))*0.15+(IF(G296="",70,(5-G296)/4*100))*0.1+(IF(H296="",70,(5-H296)/4*100))*0.1,0)),"")</f>
        <v/>
      </c>
      <c r="F296" s="31"/>
      <c r="G296" s="31"/>
      <c r="H296" s="31"/>
      <c r="I296" s="32"/>
    </row>
    <row r="297" customFormat="false" ht="15" hidden="false" customHeight="false" outlineLevel="0" collapsed="false">
      <c r="A297" s="26" t="n">
        <f aca="false">'Daily Tracker'!A297</f>
        <v>46315</v>
      </c>
      <c r="B297" s="47" t="str">
        <f aca="false">IF('Daily Tracker'!F297="","",'Daily Tracker'!F297)</f>
        <v/>
      </c>
      <c r="C297" s="31"/>
      <c r="D297" s="31"/>
      <c r="E297" s="56" t="str">
        <f aca="false">IFERROR(IF(COUNT(B297,C297,D297,F297,G297,H297)=0,"",ROUND((IF(B297="",70,MIN(B297/SleepGoal,1)*100))*0.25+(IF(C297="",70,MIN(C297/HRVGoal,1)*100))*0.2+(IF(D297="",70,MAX(0,MIN(1,(RHRPoor-D297)/(RHRPoor-RHRExcellent)))*100))*0.2+(IF(F297="",70,(5-F297)/4*100))*0.15+(IF(G297="",70,(5-G297)/4*100))*0.1+(IF(H297="",70,(5-H297)/4*100))*0.1,0)),"")</f>
        <v/>
      </c>
      <c r="F297" s="31"/>
      <c r="G297" s="31"/>
      <c r="H297" s="31"/>
      <c r="I297" s="32"/>
    </row>
    <row r="298" customFormat="false" ht="15" hidden="false" customHeight="false" outlineLevel="0" collapsed="false">
      <c r="A298" s="35" t="n">
        <f aca="false">'Daily Tracker'!A298</f>
        <v>46316</v>
      </c>
      <c r="B298" s="48" t="str">
        <f aca="false">IF('Daily Tracker'!F298="","",'Daily Tracker'!F298)</f>
        <v/>
      </c>
      <c r="C298" s="31"/>
      <c r="D298" s="31"/>
      <c r="E298" s="56" t="str">
        <f aca="false">IFERROR(IF(COUNT(B298,C298,D298,F298,G298,H298)=0,"",ROUND((IF(B298="",70,MIN(B298/SleepGoal,1)*100))*0.25+(IF(C298="",70,MIN(C298/HRVGoal,1)*100))*0.2+(IF(D298="",70,MAX(0,MIN(1,(RHRPoor-D298)/(RHRPoor-RHRExcellent)))*100))*0.2+(IF(F298="",70,(5-F298)/4*100))*0.15+(IF(G298="",70,(5-G298)/4*100))*0.1+(IF(H298="",70,(5-H298)/4*100))*0.1,0)),"")</f>
        <v/>
      </c>
      <c r="F298" s="31"/>
      <c r="G298" s="31"/>
      <c r="H298" s="31"/>
      <c r="I298" s="32"/>
    </row>
    <row r="299" customFormat="false" ht="15" hidden="false" customHeight="false" outlineLevel="0" collapsed="false">
      <c r="A299" s="26" t="n">
        <f aca="false">'Daily Tracker'!A299</f>
        <v>46317</v>
      </c>
      <c r="B299" s="47" t="str">
        <f aca="false">IF('Daily Tracker'!F299="","",'Daily Tracker'!F299)</f>
        <v/>
      </c>
      <c r="C299" s="31"/>
      <c r="D299" s="31"/>
      <c r="E299" s="56" t="str">
        <f aca="false">IFERROR(IF(COUNT(B299,C299,D299,F299,G299,H299)=0,"",ROUND((IF(B299="",70,MIN(B299/SleepGoal,1)*100))*0.25+(IF(C299="",70,MIN(C299/HRVGoal,1)*100))*0.2+(IF(D299="",70,MAX(0,MIN(1,(RHRPoor-D299)/(RHRPoor-RHRExcellent)))*100))*0.2+(IF(F299="",70,(5-F299)/4*100))*0.15+(IF(G299="",70,(5-G299)/4*100))*0.1+(IF(H299="",70,(5-H299)/4*100))*0.1,0)),"")</f>
        <v/>
      </c>
      <c r="F299" s="31"/>
      <c r="G299" s="31"/>
      <c r="H299" s="31"/>
      <c r="I299" s="32"/>
    </row>
    <row r="300" customFormat="false" ht="15" hidden="false" customHeight="false" outlineLevel="0" collapsed="false">
      <c r="A300" s="35" t="n">
        <f aca="false">'Daily Tracker'!A300</f>
        <v>46318</v>
      </c>
      <c r="B300" s="48" t="str">
        <f aca="false">IF('Daily Tracker'!F300="","",'Daily Tracker'!F300)</f>
        <v/>
      </c>
      <c r="C300" s="31"/>
      <c r="D300" s="31"/>
      <c r="E300" s="56" t="str">
        <f aca="false">IFERROR(IF(COUNT(B300,C300,D300,F300,G300,H300)=0,"",ROUND((IF(B300="",70,MIN(B300/SleepGoal,1)*100))*0.25+(IF(C300="",70,MIN(C300/HRVGoal,1)*100))*0.2+(IF(D300="",70,MAX(0,MIN(1,(RHRPoor-D300)/(RHRPoor-RHRExcellent)))*100))*0.2+(IF(F300="",70,(5-F300)/4*100))*0.15+(IF(G300="",70,(5-G300)/4*100))*0.1+(IF(H300="",70,(5-H300)/4*100))*0.1,0)),"")</f>
        <v/>
      </c>
      <c r="F300" s="31"/>
      <c r="G300" s="31"/>
      <c r="H300" s="31"/>
      <c r="I300" s="32"/>
    </row>
    <row r="301" customFormat="false" ht="15" hidden="false" customHeight="false" outlineLevel="0" collapsed="false">
      <c r="A301" s="26" t="n">
        <f aca="false">'Daily Tracker'!A301</f>
        <v>46319</v>
      </c>
      <c r="B301" s="47" t="str">
        <f aca="false">IF('Daily Tracker'!F301="","",'Daily Tracker'!F301)</f>
        <v/>
      </c>
      <c r="C301" s="31"/>
      <c r="D301" s="31"/>
      <c r="E301" s="56" t="str">
        <f aca="false">IFERROR(IF(COUNT(B301,C301,D301,F301,G301,H301)=0,"",ROUND((IF(B301="",70,MIN(B301/SleepGoal,1)*100))*0.25+(IF(C301="",70,MIN(C301/HRVGoal,1)*100))*0.2+(IF(D301="",70,MAX(0,MIN(1,(RHRPoor-D301)/(RHRPoor-RHRExcellent)))*100))*0.2+(IF(F301="",70,(5-F301)/4*100))*0.15+(IF(G301="",70,(5-G301)/4*100))*0.1+(IF(H301="",70,(5-H301)/4*100))*0.1,0)),"")</f>
        <v/>
      </c>
      <c r="F301" s="31"/>
      <c r="G301" s="31"/>
      <c r="H301" s="31"/>
      <c r="I301" s="32"/>
    </row>
    <row r="302" customFormat="false" ht="15" hidden="false" customHeight="false" outlineLevel="0" collapsed="false">
      <c r="A302" s="35" t="n">
        <f aca="false">'Daily Tracker'!A302</f>
        <v>46320</v>
      </c>
      <c r="B302" s="48" t="str">
        <f aca="false">IF('Daily Tracker'!F302="","",'Daily Tracker'!F302)</f>
        <v/>
      </c>
      <c r="C302" s="31"/>
      <c r="D302" s="31"/>
      <c r="E302" s="56" t="str">
        <f aca="false">IFERROR(IF(COUNT(B302,C302,D302,F302,G302,H302)=0,"",ROUND((IF(B302="",70,MIN(B302/SleepGoal,1)*100))*0.25+(IF(C302="",70,MIN(C302/HRVGoal,1)*100))*0.2+(IF(D302="",70,MAX(0,MIN(1,(RHRPoor-D302)/(RHRPoor-RHRExcellent)))*100))*0.2+(IF(F302="",70,(5-F302)/4*100))*0.15+(IF(G302="",70,(5-G302)/4*100))*0.1+(IF(H302="",70,(5-H302)/4*100))*0.1,0)),"")</f>
        <v/>
      </c>
      <c r="F302" s="31"/>
      <c r="G302" s="31"/>
      <c r="H302" s="31"/>
      <c r="I302" s="32"/>
    </row>
    <row r="303" customFormat="false" ht="15" hidden="false" customHeight="false" outlineLevel="0" collapsed="false">
      <c r="A303" s="26" t="n">
        <f aca="false">'Daily Tracker'!A303</f>
        <v>46321</v>
      </c>
      <c r="B303" s="47" t="str">
        <f aca="false">IF('Daily Tracker'!F303="","",'Daily Tracker'!F303)</f>
        <v/>
      </c>
      <c r="C303" s="31"/>
      <c r="D303" s="31"/>
      <c r="E303" s="56" t="str">
        <f aca="false">IFERROR(IF(COUNT(B303,C303,D303,F303,G303,H303)=0,"",ROUND((IF(B303="",70,MIN(B303/SleepGoal,1)*100))*0.25+(IF(C303="",70,MIN(C303/HRVGoal,1)*100))*0.2+(IF(D303="",70,MAX(0,MIN(1,(RHRPoor-D303)/(RHRPoor-RHRExcellent)))*100))*0.2+(IF(F303="",70,(5-F303)/4*100))*0.15+(IF(G303="",70,(5-G303)/4*100))*0.1+(IF(H303="",70,(5-H303)/4*100))*0.1,0)),"")</f>
        <v/>
      </c>
      <c r="F303" s="31"/>
      <c r="G303" s="31"/>
      <c r="H303" s="31"/>
      <c r="I303" s="32"/>
    </row>
    <row r="304" customFormat="false" ht="15" hidden="false" customHeight="false" outlineLevel="0" collapsed="false">
      <c r="A304" s="35" t="n">
        <f aca="false">'Daily Tracker'!A304</f>
        <v>46322</v>
      </c>
      <c r="B304" s="48" t="str">
        <f aca="false">IF('Daily Tracker'!F304="","",'Daily Tracker'!F304)</f>
        <v/>
      </c>
      <c r="C304" s="31"/>
      <c r="D304" s="31"/>
      <c r="E304" s="56" t="str">
        <f aca="false">IFERROR(IF(COUNT(B304,C304,D304,F304,G304,H304)=0,"",ROUND((IF(B304="",70,MIN(B304/SleepGoal,1)*100))*0.25+(IF(C304="",70,MIN(C304/HRVGoal,1)*100))*0.2+(IF(D304="",70,MAX(0,MIN(1,(RHRPoor-D304)/(RHRPoor-RHRExcellent)))*100))*0.2+(IF(F304="",70,(5-F304)/4*100))*0.15+(IF(G304="",70,(5-G304)/4*100))*0.1+(IF(H304="",70,(5-H304)/4*100))*0.1,0)),"")</f>
        <v/>
      </c>
      <c r="F304" s="31"/>
      <c r="G304" s="31"/>
      <c r="H304" s="31"/>
      <c r="I304" s="32"/>
    </row>
    <row r="305" customFormat="false" ht="15" hidden="false" customHeight="false" outlineLevel="0" collapsed="false">
      <c r="A305" s="26" t="n">
        <f aca="false">'Daily Tracker'!A305</f>
        <v>46323</v>
      </c>
      <c r="B305" s="47" t="str">
        <f aca="false">IF('Daily Tracker'!F305="","",'Daily Tracker'!F305)</f>
        <v/>
      </c>
      <c r="C305" s="31"/>
      <c r="D305" s="31"/>
      <c r="E305" s="56" t="str">
        <f aca="false">IFERROR(IF(COUNT(B305,C305,D305,F305,G305,H305)=0,"",ROUND((IF(B305="",70,MIN(B305/SleepGoal,1)*100))*0.25+(IF(C305="",70,MIN(C305/HRVGoal,1)*100))*0.2+(IF(D305="",70,MAX(0,MIN(1,(RHRPoor-D305)/(RHRPoor-RHRExcellent)))*100))*0.2+(IF(F305="",70,(5-F305)/4*100))*0.15+(IF(G305="",70,(5-G305)/4*100))*0.1+(IF(H305="",70,(5-H305)/4*100))*0.1,0)),"")</f>
        <v/>
      </c>
      <c r="F305" s="31"/>
      <c r="G305" s="31"/>
      <c r="H305" s="31"/>
      <c r="I305" s="32"/>
    </row>
    <row r="306" customFormat="false" ht="15" hidden="false" customHeight="false" outlineLevel="0" collapsed="false">
      <c r="A306" s="35" t="n">
        <f aca="false">'Daily Tracker'!A306</f>
        <v>46324</v>
      </c>
      <c r="B306" s="48" t="str">
        <f aca="false">IF('Daily Tracker'!F306="","",'Daily Tracker'!F306)</f>
        <v/>
      </c>
      <c r="C306" s="31"/>
      <c r="D306" s="31"/>
      <c r="E306" s="56" t="str">
        <f aca="false">IFERROR(IF(COUNT(B306,C306,D306,F306,G306,H306)=0,"",ROUND((IF(B306="",70,MIN(B306/SleepGoal,1)*100))*0.25+(IF(C306="",70,MIN(C306/HRVGoal,1)*100))*0.2+(IF(D306="",70,MAX(0,MIN(1,(RHRPoor-D306)/(RHRPoor-RHRExcellent)))*100))*0.2+(IF(F306="",70,(5-F306)/4*100))*0.15+(IF(G306="",70,(5-G306)/4*100))*0.1+(IF(H306="",70,(5-H306)/4*100))*0.1,0)),"")</f>
        <v/>
      </c>
      <c r="F306" s="31"/>
      <c r="G306" s="31"/>
      <c r="H306" s="31"/>
      <c r="I306" s="32"/>
    </row>
    <row r="307" customFormat="false" ht="15" hidden="false" customHeight="false" outlineLevel="0" collapsed="false">
      <c r="A307" s="26" t="n">
        <f aca="false">'Daily Tracker'!A307</f>
        <v>46325</v>
      </c>
      <c r="B307" s="47" t="str">
        <f aca="false">IF('Daily Tracker'!F307="","",'Daily Tracker'!F307)</f>
        <v/>
      </c>
      <c r="C307" s="31"/>
      <c r="D307" s="31"/>
      <c r="E307" s="56" t="str">
        <f aca="false">IFERROR(IF(COUNT(B307,C307,D307,F307,G307,H307)=0,"",ROUND((IF(B307="",70,MIN(B307/SleepGoal,1)*100))*0.25+(IF(C307="",70,MIN(C307/HRVGoal,1)*100))*0.2+(IF(D307="",70,MAX(0,MIN(1,(RHRPoor-D307)/(RHRPoor-RHRExcellent)))*100))*0.2+(IF(F307="",70,(5-F307)/4*100))*0.15+(IF(G307="",70,(5-G307)/4*100))*0.1+(IF(H307="",70,(5-H307)/4*100))*0.1,0)),"")</f>
        <v/>
      </c>
      <c r="F307" s="31"/>
      <c r="G307" s="31"/>
      <c r="H307" s="31"/>
      <c r="I307" s="32"/>
    </row>
    <row r="308" customFormat="false" ht="15" hidden="false" customHeight="false" outlineLevel="0" collapsed="false">
      <c r="A308" s="35" t="n">
        <f aca="false">'Daily Tracker'!A308</f>
        <v>46326</v>
      </c>
      <c r="B308" s="48" t="str">
        <f aca="false">IF('Daily Tracker'!F308="","",'Daily Tracker'!F308)</f>
        <v/>
      </c>
      <c r="C308" s="31"/>
      <c r="D308" s="31"/>
      <c r="E308" s="56" t="str">
        <f aca="false">IFERROR(IF(COUNT(B308,C308,D308,F308,G308,H308)=0,"",ROUND((IF(B308="",70,MIN(B308/SleepGoal,1)*100))*0.25+(IF(C308="",70,MIN(C308/HRVGoal,1)*100))*0.2+(IF(D308="",70,MAX(0,MIN(1,(RHRPoor-D308)/(RHRPoor-RHRExcellent)))*100))*0.2+(IF(F308="",70,(5-F308)/4*100))*0.15+(IF(G308="",70,(5-G308)/4*100))*0.1+(IF(H308="",70,(5-H308)/4*100))*0.1,0)),"")</f>
        <v/>
      </c>
      <c r="F308" s="31"/>
      <c r="G308" s="31"/>
      <c r="H308" s="31"/>
      <c r="I308" s="32"/>
    </row>
    <row r="309" customFormat="false" ht="15" hidden="false" customHeight="false" outlineLevel="0" collapsed="false">
      <c r="A309" s="26" t="n">
        <f aca="false">'Daily Tracker'!A309</f>
        <v>46327</v>
      </c>
      <c r="B309" s="47" t="str">
        <f aca="false">IF('Daily Tracker'!F309="","",'Daily Tracker'!F309)</f>
        <v/>
      </c>
      <c r="C309" s="31"/>
      <c r="D309" s="31"/>
      <c r="E309" s="56" t="str">
        <f aca="false">IFERROR(IF(COUNT(B309,C309,D309,F309,G309,H309)=0,"",ROUND((IF(B309="",70,MIN(B309/SleepGoal,1)*100))*0.25+(IF(C309="",70,MIN(C309/HRVGoal,1)*100))*0.2+(IF(D309="",70,MAX(0,MIN(1,(RHRPoor-D309)/(RHRPoor-RHRExcellent)))*100))*0.2+(IF(F309="",70,(5-F309)/4*100))*0.15+(IF(G309="",70,(5-G309)/4*100))*0.1+(IF(H309="",70,(5-H309)/4*100))*0.1,0)),"")</f>
        <v/>
      </c>
      <c r="F309" s="31"/>
      <c r="G309" s="31"/>
      <c r="H309" s="31"/>
      <c r="I309" s="32"/>
    </row>
    <row r="310" customFormat="false" ht="15" hidden="false" customHeight="false" outlineLevel="0" collapsed="false">
      <c r="A310" s="35" t="n">
        <f aca="false">'Daily Tracker'!A310</f>
        <v>46328</v>
      </c>
      <c r="B310" s="48" t="str">
        <f aca="false">IF('Daily Tracker'!F310="","",'Daily Tracker'!F310)</f>
        <v/>
      </c>
      <c r="C310" s="31"/>
      <c r="D310" s="31"/>
      <c r="E310" s="56" t="str">
        <f aca="false">IFERROR(IF(COUNT(B310,C310,D310,F310,G310,H310)=0,"",ROUND((IF(B310="",70,MIN(B310/SleepGoal,1)*100))*0.25+(IF(C310="",70,MIN(C310/HRVGoal,1)*100))*0.2+(IF(D310="",70,MAX(0,MIN(1,(RHRPoor-D310)/(RHRPoor-RHRExcellent)))*100))*0.2+(IF(F310="",70,(5-F310)/4*100))*0.15+(IF(G310="",70,(5-G310)/4*100))*0.1+(IF(H310="",70,(5-H310)/4*100))*0.1,0)),"")</f>
        <v/>
      </c>
      <c r="F310" s="31"/>
      <c r="G310" s="31"/>
      <c r="H310" s="31"/>
      <c r="I310" s="32"/>
    </row>
    <row r="311" customFormat="false" ht="15" hidden="false" customHeight="false" outlineLevel="0" collapsed="false">
      <c r="A311" s="26" t="n">
        <f aca="false">'Daily Tracker'!A311</f>
        <v>46329</v>
      </c>
      <c r="B311" s="47" t="str">
        <f aca="false">IF('Daily Tracker'!F311="","",'Daily Tracker'!F311)</f>
        <v/>
      </c>
      <c r="C311" s="31"/>
      <c r="D311" s="31"/>
      <c r="E311" s="56" t="str">
        <f aca="false">IFERROR(IF(COUNT(B311,C311,D311,F311,G311,H311)=0,"",ROUND((IF(B311="",70,MIN(B311/SleepGoal,1)*100))*0.25+(IF(C311="",70,MIN(C311/HRVGoal,1)*100))*0.2+(IF(D311="",70,MAX(0,MIN(1,(RHRPoor-D311)/(RHRPoor-RHRExcellent)))*100))*0.2+(IF(F311="",70,(5-F311)/4*100))*0.15+(IF(G311="",70,(5-G311)/4*100))*0.1+(IF(H311="",70,(5-H311)/4*100))*0.1,0)),"")</f>
        <v/>
      </c>
      <c r="F311" s="31"/>
      <c r="G311" s="31"/>
      <c r="H311" s="31"/>
      <c r="I311" s="32"/>
    </row>
    <row r="312" customFormat="false" ht="15" hidden="false" customHeight="false" outlineLevel="0" collapsed="false">
      <c r="A312" s="35" t="n">
        <f aca="false">'Daily Tracker'!A312</f>
        <v>46330</v>
      </c>
      <c r="B312" s="48" t="str">
        <f aca="false">IF('Daily Tracker'!F312="","",'Daily Tracker'!F312)</f>
        <v/>
      </c>
      <c r="C312" s="31"/>
      <c r="D312" s="31"/>
      <c r="E312" s="56" t="str">
        <f aca="false">IFERROR(IF(COUNT(B312,C312,D312,F312,G312,H312)=0,"",ROUND((IF(B312="",70,MIN(B312/SleepGoal,1)*100))*0.25+(IF(C312="",70,MIN(C312/HRVGoal,1)*100))*0.2+(IF(D312="",70,MAX(0,MIN(1,(RHRPoor-D312)/(RHRPoor-RHRExcellent)))*100))*0.2+(IF(F312="",70,(5-F312)/4*100))*0.15+(IF(G312="",70,(5-G312)/4*100))*0.1+(IF(H312="",70,(5-H312)/4*100))*0.1,0)),"")</f>
        <v/>
      </c>
      <c r="F312" s="31"/>
      <c r="G312" s="31"/>
      <c r="H312" s="31"/>
      <c r="I312" s="32"/>
    </row>
    <row r="313" customFormat="false" ht="15" hidden="false" customHeight="false" outlineLevel="0" collapsed="false">
      <c r="A313" s="26" t="n">
        <f aca="false">'Daily Tracker'!A313</f>
        <v>46331</v>
      </c>
      <c r="B313" s="47" t="str">
        <f aca="false">IF('Daily Tracker'!F313="","",'Daily Tracker'!F313)</f>
        <v/>
      </c>
      <c r="C313" s="31"/>
      <c r="D313" s="31"/>
      <c r="E313" s="56" t="str">
        <f aca="false">IFERROR(IF(COUNT(B313,C313,D313,F313,G313,H313)=0,"",ROUND((IF(B313="",70,MIN(B313/SleepGoal,1)*100))*0.25+(IF(C313="",70,MIN(C313/HRVGoal,1)*100))*0.2+(IF(D313="",70,MAX(0,MIN(1,(RHRPoor-D313)/(RHRPoor-RHRExcellent)))*100))*0.2+(IF(F313="",70,(5-F313)/4*100))*0.15+(IF(G313="",70,(5-G313)/4*100))*0.1+(IF(H313="",70,(5-H313)/4*100))*0.1,0)),"")</f>
        <v/>
      </c>
      <c r="F313" s="31"/>
      <c r="G313" s="31"/>
      <c r="H313" s="31"/>
      <c r="I313" s="32"/>
    </row>
    <row r="314" customFormat="false" ht="15" hidden="false" customHeight="false" outlineLevel="0" collapsed="false">
      <c r="A314" s="35" t="n">
        <f aca="false">'Daily Tracker'!A314</f>
        <v>46332</v>
      </c>
      <c r="B314" s="48" t="str">
        <f aca="false">IF('Daily Tracker'!F314="","",'Daily Tracker'!F314)</f>
        <v/>
      </c>
      <c r="C314" s="31"/>
      <c r="D314" s="31"/>
      <c r="E314" s="56" t="str">
        <f aca="false">IFERROR(IF(COUNT(B314,C314,D314,F314,G314,H314)=0,"",ROUND((IF(B314="",70,MIN(B314/SleepGoal,1)*100))*0.25+(IF(C314="",70,MIN(C314/HRVGoal,1)*100))*0.2+(IF(D314="",70,MAX(0,MIN(1,(RHRPoor-D314)/(RHRPoor-RHRExcellent)))*100))*0.2+(IF(F314="",70,(5-F314)/4*100))*0.15+(IF(G314="",70,(5-G314)/4*100))*0.1+(IF(H314="",70,(5-H314)/4*100))*0.1,0)),"")</f>
        <v/>
      </c>
      <c r="F314" s="31"/>
      <c r="G314" s="31"/>
      <c r="H314" s="31"/>
      <c r="I314" s="32"/>
    </row>
    <row r="315" customFormat="false" ht="15" hidden="false" customHeight="false" outlineLevel="0" collapsed="false">
      <c r="A315" s="26" t="n">
        <f aca="false">'Daily Tracker'!A315</f>
        <v>46333</v>
      </c>
      <c r="B315" s="47" t="str">
        <f aca="false">IF('Daily Tracker'!F315="","",'Daily Tracker'!F315)</f>
        <v/>
      </c>
      <c r="C315" s="31"/>
      <c r="D315" s="31"/>
      <c r="E315" s="56" t="str">
        <f aca="false">IFERROR(IF(COUNT(B315,C315,D315,F315,G315,H315)=0,"",ROUND((IF(B315="",70,MIN(B315/SleepGoal,1)*100))*0.25+(IF(C315="",70,MIN(C315/HRVGoal,1)*100))*0.2+(IF(D315="",70,MAX(0,MIN(1,(RHRPoor-D315)/(RHRPoor-RHRExcellent)))*100))*0.2+(IF(F315="",70,(5-F315)/4*100))*0.15+(IF(G315="",70,(5-G315)/4*100))*0.1+(IF(H315="",70,(5-H315)/4*100))*0.1,0)),"")</f>
        <v/>
      </c>
      <c r="F315" s="31"/>
      <c r="G315" s="31"/>
      <c r="H315" s="31"/>
      <c r="I315" s="32"/>
    </row>
    <row r="316" customFormat="false" ht="15" hidden="false" customHeight="false" outlineLevel="0" collapsed="false">
      <c r="A316" s="35" t="n">
        <f aca="false">'Daily Tracker'!A316</f>
        <v>46334</v>
      </c>
      <c r="B316" s="48" t="str">
        <f aca="false">IF('Daily Tracker'!F316="","",'Daily Tracker'!F316)</f>
        <v/>
      </c>
      <c r="C316" s="31"/>
      <c r="D316" s="31"/>
      <c r="E316" s="56" t="str">
        <f aca="false">IFERROR(IF(COUNT(B316,C316,D316,F316,G316,H316)=0,"",ROUND((IF(B316="",70,MIN(B316/SleepGoal,1)*100))*0.25+(IF(C316="",70,MIN(C316/HRVGoal,1)*100))*0.2+(IF(D316="",70,MAX(0,MIN(1,(RHRPoor-D316)/(RHRPoor-RHRExcellent)))*100))*0.2+(IF(F316="",70,(5-F316)/4*100))*0.15+(IF(G316="",70,(5-G316)/4*100))*0.1+(IF(H316="",70,(5-H316)/4*100))*0.1,0)),"")</f>
        <v/>
      </c>
      <c r="F316" s="31"/>
      <c r="G316" s="31"/>
      <c r="H316" s="31"/>
      <c r="I316" s="32"/>
    </row>
    <row r="317" customFormat="false" ht="15" hidden="false" customHeight="false" outlineLevel="0" collapsed="false">
      <c r="A317" s="26" t="n">
        <f aca="false">'Daily Tracker'!A317</f>
        <v>46335</v>
      </c>
      <c r="B317" s="47" t="str">
        <f aca="false">IF('Daily Tracker'!F317="","",'Daily Tracker'!F317)</f>
        <v/>
      </c>
      <c r="C317" s="31"/>
      <c r="D317" s="31"/>
      <c r="E317" s="56" t="str">
        <f aca="false">IFERROR(IF(COUNT(B317,C317,D317,F317,G317,H317)=0,"",ROUND((IF(B317="",70,MIN(B317/SleepGoal,1)*100))*0.25+(IF(C317="",70,MIN(C317/HRVGoal,1)*100))*0.2+(IF(D317="",70,MAX(0,MIN(1,(RHRPoor-D317)/(RHRPoor-RHRExcellent)))*100))*0.2+(IF(F317="",70,(5-F317)/4*100))*0.15+(IF(G317="",70,(5-G317)/4*100))*0.1+(IF(H317="",70,(5-H317)/4*100))*0.1,0)),"")</f>
        <v/>
      </c>
      <c r="F317" s="31"/>
      <c r="G317" s="31"/>
      <c r="H317" s="31"/>
      <c r="I317" s="32"/>
    </row>
    <row r="318" customFormat="false" ht="15" hidden="false" customHeight="false" outlineLevel="0" collapsed="false">
      <c r="A318" s="35" t="n">
        <f aca="false">'Daily Tracker'!A318</f>
        <v>46336</v>
      </c>
      <c r="B318" s="48" t="str">
        <f aca="false">IF('Daily Tracker'!F318="","",'Daily Tracker'!F318)</f>
        <v/>
      </c>
      <c r="C318" s="31"/>
      <c r="D318" s="31"/>
      <c r="E318" s="56" t="str">
        <f aca="false">IFERROR(IF(COUNT(B318,C318,D318,F318,G318,H318)=0,"",ROUND((IF(B318="",70,MIN(B318/SleepGoal,1)*100))*0.25+(IF(C318="",70,MIN(C318/HRVGoal,1)*100))*0.2+(IF(D318="",70,MAX(0,MIN(1,(RHRPoor-D318)/(RHRPoor-RHRExcellent)))*100))*0.2+(IF(F318="",70,(5-F318)/4*100))*0.15+(IF(G318="",70,(5-G318)/4*100))*0.1+(IF(H318="",70,(5-H318)/4*100))*0.1,0)),"")</f>
        <v/>
      </c>
      <c r="F318" s="31"/>
      <c r="G318" s="31"/>
      <c r="H318" s="31"/>
      <c r="I318" s="32"/>
    </row>
    <row r="319" customFormat="false" ht="15" hidden="false" customHeight="false" outlineLevel="0" collapsed="false">
      <c r="A319" s="26" t="n">
        <f aca="false">'Daily Tracker'!A319</f>
        <v>46337</v>
      </c>
      <c r="B319" s="47" t="str">
        <f aca="false">IF('Daily Tracker'!F319="","",'Daily Tracker'!F319)</f>
        <v/>
      </c>
      <c r="C319" s="31"/>
      <c r="D319" s="31"/>
      <c r="E319" s="56" t="str">
        <f aca="false">IFERROR(IF(COUNT(B319,C319,D319,F319,G319,H319)=0,"",ROUND((IF(B319="",70,MIN(B319/SleepGoal,1)*100))*0.25+(IF(C319="",70,MIN(C319/HRVGoal,1)*100))*0.2+(IF(D319="",70,MAX(0,MIN(1,(RHRPoor-D319)/(RHRPoor-RHRExcellent)))*100))*0.2+(IF(F319="",70,(5-F319)/4*100))*0.15+(IF(G319="",70,(5-G319)/4*100))*0.1+(IF(H319="",70,(5-H319)/4*100))*0.1,0)),"")</f>
        <v/>
      </c>
      <c r="F319" s="31"/>
      <c r="G319" s="31"/>
      <c r="H319" s="31"/>
      <c r="I319" s="32"/>
    </row>
    <row r="320" customFormat="false" ht="15" hidden="false" customHeight="false" outlineLevel="0" collapsed="false">
      <c r="A320" s="35" t="n">
        <f aca="false">'Daily Tracker'!A320</f>
        <v>46338</v>
      </c>
      <c r="B320" s="48" t="str">
        <f aca="false">IF('Daily Tracker'!F320="","",'Daily Tracker'!F320)</f>
        <v/>
      </c>
      <c r="C320" s="31"/>
      <c r="D320" s="31"/>
      <c r="E320" s="56" t="str">
        <f aca="false">IFERROR(IF(COUNT(B320,C320,D320,F320,G320,H320)=0,"",ROUND((IF(B320="",70,MIN(B320/SleepGoal,1)*100))*0.25+(IF(C320="",70,MIN(C320/HRVGoal,1)*100))*0.2+(IF(D320="",70,MAX(0,MIN(1,(RHRPoor-D320)/(RHRPoor-RHRExcellent)))*100))*0.2+(IF(F320="",70,(5-F320)/4*100))*0.15+(IF(G320="",70,(5-G320)/4*100))*0.1+(IF(H320="",70,(5-H320)/4*100))*0.1,0)),"")</f>
        <v/>
      </c>
      <c r="F320" s="31"/>
      <c r="G320" s="31"/>
      <c r="H320" s="31"/>
      <c r="I320" s="32"/>
    </row>
    <row r="321" customFormat="false" ht="15" hidden="false" customHeight="false" outlineLevel="0" collapsed="false">
      <c r="A321" s="26" t="n">
        <f aca="false">'Daily Tracker'!A321</f>
        <v>46339</v>
      </c>
      <c r="B321" s="47" t="str">
        <f aca="false">IF('Daily Tracker'!F321="","",'Daily Tracker'!F321)</f>
        <v/>
      </c>
      <c r="C321" s="31"/>
      <c r="D321" s="31"/>
      <c r="E321" s="56" t="str">
        <f aca="false">IFERROR(IF(COUNT(B321,C321,D321,F321,G321,H321)=0,"",ROUND((IF(B321="",70,MIN(B321/SleepGoal,1)*100))*0.25+(IF(C321="",70,MIN(C321/HRVGoal,1)*100))*0.2+(IF(D321="",70,MAX(0,MIN(1,(RHRPoor-D321)/(RHRPoor-RHRExcellent)))*100))*0.2+(IF(F321="",70,(5-F321)/4*100))*0.15+(IF(G321="",70,(5-G321)/4*100))*0.1+(IF(H321="",70,(5-H321)/4*100))*0.1,0)),"")</f>
        <v/>
      </c>
      <c r="F321" s="31"/>
      <c r="G321" s="31"/>
      <c r="H321" s="31"/>
      <c r="I321" s="32"/>
    </row>
    <row r="322" customFormat="false" ht="15" hidden="false" customHeight="false" outlineLevel="0" collapsed="false">
      <c r="A322" s="35" t="n">
        <f aca="false">'Daily Tracker'!A322</f>
        <v>46340</v>
      </c>
      <c r="B322" s="48" t="str">
        <f aca="false">IF('Daily Tracker'!F322="","",'Daily Tracker'!F322)</f>
        <v/>
      </c>
      <c r="C322" s="31"/>
      <c r="D322" s="31"/>
      <c r="E322" s="56" t="str">
        <f aca="false">IFERROR(IF(COUNT(B322,C322,D322,F322,G322,H322)=0,"",ROUND((IF(B322="",70,MIN(B322/SleepGoal,1)*100))*0.25+(IF(C322="",70,MIN(C322/HRVGoal,1)*100))*0.2+(IF(D322="",70,MAX(0,MIN(1,(RHRPoor-D322)/(RHRPoor-RHRExcellent)))*100))*0.2+(IF(F322="",70,(5-F322)/4*100))*0.15+(IF(G322="",70,(5-G322)/4*100))*0.1+(IF(H322="",70,(5-H322)/4*100))*0.1,0)),"")</f>
        <v/>
      </c>
      <c r="F322" s="31"/>
      <c r="G322" s="31"/>
      <c r="H322" s="31"/>
      <c r="I322" s="32"/>
    </row>
    <row r="323" customFormat="false" ht="15" hidden="false" customHeight="false" outlineLevel="0" collapsed="false">
      <c r="A323" s="26" t="n">
        <f aca="false">'Daily Tracker'!A323</f>
        <v>46341</v>
      </c>
      <c r="B323" s="47" t="str">
        <f aca="false">IF('Daily Tracker'!F323="","",'Daily Tracker'!F323)</f>
        <v/>
      </c>
      <c r="C323" s="31"/>
      <c r="D323" s="31"/>
      <c r="E323" s="56" t="str">
        <f aca="false">IFERROR(IF(COUNT(B323,C323,D323,F323,G323,H323)=0,"",ROUND((IF(B323="",70,MIN(B323/SleepGoal,1)*100))*0.25+(IF(C323="",70,MIN(C323/HRVGoal,1)*100))*0.2+(IF(D323="",70,MAX(0,MIN(1,(RHRPoor-D323)/(RHRPoor-RHRExcellent)))*100))*0.2+(IF(F323="",70,(5-F323)/4*100))*0.15+(IF(G323="",70,(5-G323)/4*100))*0.1+(IF(H323="",70,(5-H323)/4*100))*0.1,0)),"")</f>
        <v/>
      </c>
      <c r="F323" s="31"/>
      <c r="G323" s="31"/>
      <c r="H323" s="31"/>
      <c r="I323" s="32"/>
    </row>
    <row r="324" customFormat="false" ht="15" hidden="false" customHeight="false" outlineLevel="0" collapsed="false">
      <c r="A324" s="35" t="n">
        <f aca="false">'Daily Tracker'!A324</f>
        <v>46342</v>
      </c>
      <c r="B324" s="48" t="str">
        <f aca="false">IF('Daily Tracker'!F324="","",'Daily Tracker'!F324)</f>
        <v/>
      </c>
      <c r="C324" s="31"/>
      <c r="D324" s="31"/>
      <c r="E324" s="56" t="str">
        <f aca="false">IFERROR(IF(COUNT(B324,C324,D324,F324,G324,H324)=0,"",ROUND((IF(B324="",70,MIN(B324/SleepGoal,1)*100))*0.25+(IF(C324="",70,MIN(C324/HRVGoal,1)*100))*0.2+(IF(D324="",70,MAX(0,MIN(1,(RHRPoor-D324)/(RHRPoor-RHRExcellent)))*100))*0.2+(IF(F324="",70,(5-F324)/4*100))*0.15+(IF(G324="",70,(5-G324)/4*100))*0.1+(IF(H324="",70,(5-H324)/4*100))*0.1,0)),"")</f>
        <v/>
      </c>
      <c r="F324" s="31"/>
      <c r="G324" s="31"/>
      <c r="H324" s="31"/>
      <c r="I324" s="32"/>
    </row>
    <row r="325" customFormat="false" ht="15" hidden="false" customHeight="false" outlineLevel="0" collapsed="false">
      <c r="A325" s="26" t="n">
        <f aca="false">'Daily Tracker'!A325</f>
        <v>46343</v>
      </c>
      <c r="B325" s="47" t="str">
        <f aca="false">IF('Daily Tracker'!F325="","",'Daily Tracker'!F325)</f>
        <v/>
      </c>
      <c r="C325" s="31"/>
      <c r="D325" s="31"/>
      <c r="E325" s="56" t="str">
        <f aca="false">IFERROR(IF(COUNT(B325,C325,D325,F325,G325,H325)=0,"",ROUND((IF(B325="",70,MIN(B325/SleepGoal,1)*100))*0.25+(IF(C325="",70,MIN(C325/HRVGoal,1)*100))*0.2+(IF(D325="",70,MAX(0,MIN(1,(RHRPoor-D325)/(RHRPoor-RHRExcellent)))*100))*0.2+(IF(F325="",70,(5-F325)/4*100))*0.15+(IF(G325="",70,(5-G325)/4*100))*0.1+(IF(H325="",70,(5-H325)/4*100))*0.1,0)),"")</f>
        <v/>
      </c>
      <c r="F325" s="31"/>
      <c r="G325" s="31"/>
      <c r="H325" s="31"/>
      <c r="I325" s="32"/>
    </row>
    <row r="326" customFormat="false" ht="15" hidden="false" customHeight="false" outlineLevel="0" collapsed="false">
      <c r="A326" s="35" t="n">
        <f aca="false">'Daily Tracker'!A326</f>
        <v>46344</v>
      </c>
      <c r="B326" s="48" t="str">
        <f aca="false">IF('Daily Tracker'!F326="","",'Daily Tracker'!F326)</f>
        <v/>
      </c>
      <c r="C326" s="31"/>
      <c r="D326" s="31"/>
      <c r="E326" s="56" t="str">
        <f aca="false">IFERROR(IF(COUNT(B326,C326,D326,F326,G326,H326)=0,"",ROUND((IF(B326="",70,MIN(B326/SleepGoal,1)*100))*0.25+(IF(C326="",70,MIN(C326/HRVGoal,1)*100))*0.2+(IF(D326="",70,MAX(0,MIN(1,(RHRPoor-D326)/(RHRPoor-RHRExcellent)))*100))*0.2+(IF(F326="",70,(5-F326)/4*100))*0.15+(IF(G326="",70,(5-G326)/4*100))*0.1+(IF(H326="",70,(5-H326)/4*100))*0.1,0)),"")</f>
        <v/>
      </c>
      <c r="F326" s="31"/>
      <c r="G326" s="31"/>
      <c r="H326" s="31"/>
      <c r="I326" s="32"/>
    </row>
    <row r="327" customFormat="false" ht="15" hidden="false" customHeight="false" outlineLevel="0" collapsed="false">
      <c r="A327" s="26" t="n">
        <f aca="false">'Daily Tracker'!A327</f>
        <v>46345</v>
      </c>
      <c r="B327" s="47" t="str">
        <f aca="false">IF('Daily Tracker'!F327="","",'Daily Tracker'!F327)</f>
        <v/>
      </c>
      <c r="C327" s="31"/>
      <c r="D327" s="31"/>
      <c r="E327" s="56" t="str">
        <f aca="false">IFERROR(IF(COUNT(B327,C327,D327,F327,G327,H327)=0,"",ROUND((IF(B327="",70,MIN(B327/SleepGoal,1)*100))*0.25+(IF(C327="",70,MIN(C327/HRVGoal,1)*100))*0.2+(IF(D327="",70,MAX(0,MIN(1,(RHRPoor-D327)/(RHRPoor-RHRExcellent)))*100))*0.2+(IF(F327="",70,(5-F327)/4*100))*0.15+(IF(G327="",70,(5-G327)/4*100))*0.1+(IF(H327="",70,(5-H327)/4*100))*0.1,0)),"")</f>
        <v/>
      </c>
      <c r="F327" s="31"/>
      <c r="G327" s="31"/>
      <c r="H327" s="31"/>
      <c r="I327" s="32"/>
    </row>
    <row r="328" customFormat="false" ht="15" hidden="false" customHeight="false" outlineLevel="0" collapsed="false">
      <c r="A328" s="35" t="n">
        <f aca="false">'Daily Tracker'!A328</f>
        <v>46346</v>
      </c>
      <c r="B328" s="48" t="str">
        <f aca="false">IF('Daily Tracker'!F328="","",'Daily Tracker'!F328)</f>
        <v/>
      </c>
      <c r="C328" s="31"/>
      <c r="D328" s="31"/>
      <c r="E328" s="56" t="str">
        <f aca="false">IFERROR(IF(COUNT(B328,C328,D328,F328,G328,H328)=0,"",ROUND((IF(B328="",70,MIN(B328/SleepGoal,1)*100))*0.25+(IF(C328="",70,MIN(C328/HRVGoal,1)*100))*0.2+(IF(D328="",70,MAX(0,MIN(1,(RHRPoor-D328)/(RHRPoor-RHRExcellent)))*100))*0.2+(IF(F328="",70,(5-F328)/4*100))*0.15+(IF(G328="",70,(5-G328)/4*100))*0.1+(IF(H328="",70,(5-H328)/4*100))*0.1,0)),"")</f>
        <v/>
      </c>
      <c r="F328" s="31"/>
      <c r="G328" s="31"/>
      <c r="H328" s="31"/>
      <c r="I328" s="32"/>
    </row>
    <row r="329" customFormat="false" ht="15" hidden="false" customHeight="false" outlineLevel="0" collapsed="false">
      <c r="A329" s="26" t="n">
        <f aca="false">'Daily Tracker'!A329</f>
        <v>46347</v>
      </c>
      <c r="B329" s="47" t="str">
        <f aca="false">IF('Daily Tracker'!F329="","",'Daily Tracker'!F329)</f>
        <v/>
      </c>
      <c r="C329" s="31"/>
      <c r="D329" s="31"/>
      <c r="E329" s="56" t="str">
        <f aca="false">IFERROR(IF(COUNT(B329,C329,D329,F329,G329,H329)=0,"",ROUND((IF(B329="",70,MIN(B329/SleepGoal,1)*100))*0.25+(IF(C329="",70,MIN(C329/HRVGoal,1)*100))*0.2+(IF(D329="",70,MAX(0,MIN(1,(RHRPoor-D329)/(RHRPoor-RHRExcellent)))*100))*0.2+(IF(F329="",70,(5-F329)/4*100))*0.15+(IF(G329="",70,(5-G329)/4*100))*0.1+(IF(H329="",70,(5-H329)/4*100))*0.1,0)),"")</f>
        <v/>
      </c>
      <c r="F329" s="31"/>
      <c r="G329" s="31"/>
      <c r="H329" s="31"/>
      <c r="I329" s="32"/>
    </row>
    <row r="330" customFormat="false" ht="15" hidden="false" customHeight="false" outlineLevel="0" collapsed="false">
      <c r="A330" s="35" t="n">
        <f aca="false">'Daily Tracker'!A330</f>
        <v>46348</v>
      </c>
      <c r="B330" s="48" t="str">
        <f aca="false">IF('Daily Tracker'!F330="","",'Daily Tracker'!F330)</f>
        <v/>
      </c>
      <c r="C330" s="31"/>
      <c r="D330" s="31"/>
      <c r="E330" s="56" t="str">
        <f aca="false">IFERROR(IF(COUNT(B330,C330,D330,F330,G330,H330)=0,"",ROUND((IF(B330="",70,MIN(B330/SleepGoal,1)*100))*0.25+(IF(C330="",70,MIN(C330/HRVGoal,1)*100))*0.2+(IF(D330="",70,MAX(0,MIN(1,(RHRPoor-D330)/(RHRPoor-RHRExcellent)))*100))*0.2+(IF(F330="",70,(5-F330)/4*100))*0.15+(IF(G330="",70,(5-G330)/4*100))*0.1+(IF(H330="",70,(5-H330)/4*100))*0.1,0)),"")</f>
        <v/>
      </c>
      <c r="F330" s="31"/>
      <c r="G330" s="31"/>
      <c r="H330" s="31"/>
      <c r="I330" s="32"/>
    </row>
    <row r="331" customFormat="false" ht="15" hidden="false" customHeight="false" outlineLevel="0" collapsed="false">
      <c r="A331" s="26" t="n">
        <f aca="false">'Daily Tracker'!A331</f>
        <v>46349</v>
      </c>
      <c r="B331" s="47" t="str">
        <f aca="false">IF('Daily Tracker'!F331="","",'Daily Tracker'!F331)</f>
        <v/>
      </c>
      <c r="C331" s="31"/>
      <c r="D331" s="31"/>
      <c r="E331" s="56" t="str">
        <f aca="false">IFERROR(IF(COUNT(B331,C331,D331,F331,G331,H331)=0,"",ROUND((IF(B331="",70,MIN(B331/SleepGoal,1)*100))*0.25+(IF(C331="",70,MIN(C331/HRVGoal,1)*100))*0.2+(IF(D331="",70,MAX(0,MIN(1,(RHRPoor-D331)/(RHRPoor-RHRExcellent)))*100))*0.2+(IF(F331="",70,(5-F331)/4*100))*0.15+(IF(G331="",70,(5-G331)/4*100))*0.1+(IF(H331="",70,(5-H331)/4*100))*0.1,0)),"")</f>
        <v/>
      </c>
      <c r="F331" s="31"/>
      <c r="G331" s="31"/>
      <c r="H331" s="31"/>
      <c r="I331" s="32"/>
    </row>
    <row r="332" customFormat="false" ht="15" hidden="false" customHeight="false" outlineLevel="0" collapsed="false">
      <c r="A332" s="35" t="n">
        <f aca="false">'Daily Tracker'!A332</f>
        <v>46350</v>
      </c>
      <c r="B332" s="48" t="str">
        <f aca="false">IF('Daily Tracker'!F332="","",'Daily Tracker'!F332)</f>
        <v/>
      </c>
      <c r="C332" s="31"/>
      <c r="D332" s="31"/>
      <c r="E332" s="56" t="str">
        <f aca="false">IFERROR(IF(COUNT(B332,C332,D332,F332,G332,H332)=0,"",ROUND((IF(B332="",70,MIN(B332/SleepGoal,1)*100))*0.25+(IF(C332="",70,MIN(C332/HRVGoal,1)*100))*0.2+(IF(D332="",70,MAX(0,MIN(1,(RHRPoor-D332)/(RHRPoor-RHRExcellent)))*100))*0.2+(IF(F332="",70,(5-F332)/4*100))*0.15+(IF(G332="",70,(5-G332)/4*100))*0.1+(IF(H332="",70,(5-H332)/4*100))*0.1,0)),"")</f>
        <v/>
      </c>
      <c r="F332" s="31"/>
      <c r="G332" s="31"/>
      <c r="H332" s="31"/>
      <c r="I332" s="32"/>
    </row>
    <row r="333" customFormat="false" ht="15" hidden="false" customHeight="false" outlineLevel="0" collapsed="false">
      <c r="A333" s="26" t="n">
        <f aca="false">'Daily Tracker'!A333</f>
        <v>46351</v>
      </c>
      <c r="B333" s="47" t="str">
        <f aca="false">IF('Daily Tracker'!F333="","",'Daily Tracker'!F333)</f>
        <v/>
      </c>
      <c r="C333" s="31"/>
      <c r="D333" s="31"/>
      <c r="E333" s="56" t="str">
        <f aca="false">IFERROR(IF(COUNT(B333,C333,D333,F333,G333,H333)=0,"",ROUND((IF(B333="",70,MIN(B333/SleepGoal,1)*100))*0.25+(IF(C333="",70,MIN(C333/HRVGoal,1)*100))*0.2+(IF(D333="",70,MAX(0,MIN(1,(RHRPoor-D333)/(RHRPoor-RHRExcellent)))*100))*0.2+(IF(F333="",70,(5-F333)/4*100))*0.15+(IF(G333="",70,(5-G333)/4*100))*0.1+(IF(H333="",70,(5-H333)/4*100))*0.1,0)),"")</f>
        <v/>
      </c>
      <c r="F333" s="31"/>
      <c r="G333" s="31"/>
      <c r="H333" s="31"/>
      <c r="I333" s="32"/>
    </row>
    <row r="334" customFormat="false" ht="15" hidden="false" customHeight="false" outlineLevel="0" collapsed="false">
      <c r="A334" s="35" t="n">
        <f aca="false">'Daily Tracker'!A334</f>
        <v>46352</v>
      </c>
      <c r="B334" s="48" t="str">
        <f aca="false">IF('Daily Tracker'!F334="","",'Daily Tracker'!F334)</f>
        <v/>
      </c>
      <c r="C334" s="31"/>
      <c r="D334" s="31"/>
      <c r="E334" s="56" t="str">
        <f aca="false">IFERROR(IF(COUNT(B334,C334,D334,F334,G334,H334)=0,"",ROUND((IF(B334="",70,MIN(B334/SleepGoal,1)*100))*0.25+(IF(C334="",70,MIN(C334/HRVGoal,1)*100))*0.2+(IF(D334="",70,MAX(0,MIN(1,(RHRPoor-D334)/(RHRPoor-RHRExcellent)))*100))*0.2+(IF(F334="",70,(5-F334)/4*100))*0.15+(IF(G334="",70,(5-G334)/4*100))*0.1+(IF(H334="",70,(5-H334)/4*100))*0.1,0)),"")</f>
        <v/>
      </c>
      <c r="F334" s="31"/>
      <c r="G334" s="31"/>
      <c r="H334" s="31"/>
      <c r="I334" s="32"/>
    </row>
    <row r="335" customFormat="false" ht="15" hidden="false" customHeight="false" outlineLevel="0" collapsed="false">
      <c r="A335" s="26" t="n">
        <f aca="false">'Daily Tracker'!A335</f>
        <v>46353</v>
      </c>
      <c r="B335" s="47" t="str">
        <f aca="false">IF('Daily Tracker'!F335="","",'Daily Tracker'!F335)</f>
        <v/>
      </c>
      <c r="C335" s="31"/>
      <c r="D335" s="31"/>
      <c r="E335" s="56" t="str">
        <f aca="false">IFERROR(IF(COUNT(B335,C335,D335,F335,G335,H335)=0,"",ROUND((IF(B335="",70,MIN(B335/SleepGoal,1)*100))*0.25+(IF(C335="",70,MIN(C335/HRVGoal,1)*100))*0.2+(IF(D335="",70,MAX(0,MIN(1,(RHRPoor-D335)/(RHRPoor-RHRExcellent)))*100))*0.2+(IF(F335="",70,(5-F335)/4*100))*0.15+(IF(G335="",70,(5-G335)/4*100))*0.1+(IF(H335="",70,(5-H335)/4*100))*0.1,0)),"")</f>
        <v/>
      </c>
      <c r="F335" s="31"/>
      <c r="G335" s="31"/>
      <c r="H335" s="31"/>
      <c r="I335" s="32"/>
    </row>
    <row r="336" customFormat="false" ht="15" hidden="false" customHeight="false" outlineLevel="0" collapsed="false">
      <c r="A336" s="35" t="n">
        <f aca="false">'Daily Tracker'!A336</f>
        <v>46354</v>
      </c>
      <c r="B336" s="48" t="str">
        <f aca="false">IF('Daily Tracker'!F336="","",'Daily Tracker'!F336)</f>
        <v/>
      </c>
      <c r="C336" s="31"/>
      <c r="D336" s="31"/>
      <c r="E336" s="56" t="str">
        <f aca="false">IFERROR(IF(COUNT(B336,C336,D336,F336,G336,H336)=0,"",ROUND((IF(B336="",70,MIN(B336/SleepGoal,1)*100))*0.25+(IF(C336="",70,MIN(C336/HRVGoal,1)*100))*0.2+(IF(D336="",70,MAX(0,MIN(1,(RHRPoor-D336)/(RHRPoor-RHRExcellent)))*100))*0.2+(IF(F336="",70,(5-F336)/4*100))*0.15+(IF(G336="",70,(5-G336)/4*100))*0.1+(IF(H336="",70,(5-H336)/4*100))*0.1,0)),"")</f>
        <v/>
      </c>
      <c r="F336" s="31"/>
      <c r="G336" s="31"/>
      <c r="H336" s="31"/>
      <c r="I336" s="32"/>
    </row>
    <row r="337" customFormat="false" ht="15" hidden="false" customHeight="false" outlineLevel="0" collapsed="false">
      <c r="A337" s="26" t="n">
        <f aca="false">'Daily Tracker'!A337</f>
        <v>46355</v>
      </c>
      <c r="B337" s="47" t="str">
        <f aca="false">IF('Daily Tracker'!F337="","",'Daily Tracker'!F337)</f>
        <v/>
      </c>
      <c r="C337" s="31"/>
      <c r="D337" s="31"/>
      <c r="E337" s="56" t="str">
        <f aca="false">IFERROR(IF(COUNT(B337,C337,D337,F337,G337,H337)=0,"",ROUND((IF(B337="",70,MIN(B337/SleepGoal,1)*100))*0.25+(IF(C337="",70,MIN(C337/HRVGoal,1)*100))*0.2+(IF(D337="",70,MAX(0,MIN(1,(RHRPoor-D337)/(RHRPoor-RHRExcellent)))*100))*0.2+(IF(F337="",70,(5-F337)/4*100))*0.15+(IF(G337="",70,(5-G337)/4*100))*0.1+(IF(H337="",70,(5-H337)/4*100))*0.1,0)),"")</f>
        <v/>
      </c>
      <c r="F337" s="31"/>
      <c r="G337" s="31"/>
      <c r="H337" s="31"/>
      <c r="I337" s="32"/>
    </row>
    <row r="338" customFormat="false" ht="15" hidden="false" customHeight="false" outlineLevel="0" collapsed="false">
      <c r="A338" s="35" t="n">
        <f aca="false">'Daily Tracker'!A338</f>
        <v>46356</v>
      </c>
      <c r="B338" s="48" t="str">
        <f aca="false">IF('Daily Tracker'!F338="","",'Daily Tracker'!F338)</f>
        <v/>
      </c>
      <c r="C338" s="31"/>
      <c r="D338" s="31"/>
      <c r="E338" s="56" t="str">
        <f aca="false">IFERROR(IF(COUNT(B338,C338,D338,F338,G338,H338)=0,"",ROUND((IF(B338="",70,MIN(B338/SleepGoal,1)*100))*0.25+(IF(C338="",70,MIN(C338/HRVGoal,1)*100))*0.2+(IF(D338="",70,MAX(0,MIN(1,(RHRPoor-D338)/(RHRPoor-RHRExcellent)))*100))*0.2+(IF(F338="",70,(5-F338)/4*100))*0.15+(IF(G338="",70,(5-G338)/4*100))*0.1+(IF(H338="",70,(5-H338)/4*100))*0.1,0)),"")</f>
        <v/>
      </c>
      <c r="F338" s="31"/>
      <c r="G338" s="31"/>
      <c r="H338" s="31"/>
      <c r="I338" s="32"/>
    </row>
    <row r="339" customFormat="false" ht="15" hidden="false" customHeight="false" outlineLevel="0" collapsed="false">
      <c r="A339" s="26" t="n">
        <f aca="false">'Daily Tracker'!A339</f>
        <v>46357</v>
      </c>
      <c r="B339" s="47" t="str">
        <f aca="false">IF('Daily Tracker'!F339="","",'Daily Tracker'!F339)</f>
        <v/>
      </c>
      <c r="C339" s="31"/>
      <c r="D339" s="31"/>
      <c r="E339" s="56" t="str">
        <f aca="false">IFERROR(IF(COUNT(B339,C339,D339,F339,G339,H339)=0,"",ROUND((IF(B339="",70,MIN(B339/SleepGoal,1)*100))*0.25+(IF(C339="",70,MIN(C339/HRVGoal,1)*100))*0.2+(IF(D339="",70,MAX(0,MIN(1,(RHRPoor-D339)/(RHRPoor-RHRExcellent)))*100))*0.2+(IF(F339="",70,(5-F339)/4*100))*0.15+(IF(G339="",70,(5-G339)/4*100))*0.1+(IF(H339="",70,(5-H339)/4*100))*0.1,0)),"")</f>
        <v/>
      </c>
      <c r="F339" s="31"/>
      <c r="G339" s="31"/>
      <c r="H339" s="31"/>
      <c r="I339" s="32"/>
    </row>
    <row r="340" customFormat="false" ht="15" hidden="false" customHeight="false" outlineLevel="0" collapsed="false">
      <c r="A340" s="35" t="n">
        <f aca="false">'Daily Tracker'!A340</f>
        <v>46358</v>
      </c>
      <c r="B340" s="48" t="str">
        <f aca="false">IF('Daily Tracker'!F340="","",'Daily Tracker'!F340)</f>
        <v/>
      </c>
      <c r="C340" s="31"/>
      <c r="D340" s="31"/>
      <c r="E340" s="56" t="str">
        <f aca="false">IFERROR(IF(COUNT(B340,C340,D340,F340,G340,H340)=0,"",ROUND((IF(B340="",70,MIN(B340/SleepGoal,1)*100))*0.25+(IF(C340="",70,MIN(C340/HRVGoal,1)*100))*0.2+(IF(D340="",70,MAX(0,MIN(1,(RHRPoor-D340)/(RHRPoor-RHRExcellent)))*100))*0.2+(IF(F340="",70,(5-F340)/4*100))*0.15+(IF(G340="",70,(5-G340)/4*100))*0.1+(IF(H340="",70,(5-H340)/4*100))*0.1,0)),"")</f>
        <v/>
      </c>
      <c r="F340" s="31"/>
      <c r="G340" s="31"/>
      <c r="H340" s="31"/>
      <c r="I340" s="32"/>
    </row>
    <row r="341" customFormat="false" ht="15" hidden="false" customHeight="false" outlineLevel="0" collapsed="false">
      <c r="A341" s="26" t="n">
        <f aca="false">'Daily Tracker'!A341</f>
        <v>46359</v>
      </c>
      <c r="B341" s="47" t="str">
        <f aca="false">IF('Daily Tracker'!F341="","",'Daily Tracker'!F341)</f>
        <v/>
      </c>
      <c r="C341" s="31"/>
      <c r="D341" s="31"/>
      <c r="E341" s="56" t="str">
        <f aca="false">IFERROR(IF(COUNT(B341,C341,D341,F341,G341,H341)=0,"",ROUND((IF(B341="",70,MIN(B341/SleepGoal,1)*100))*0.25+(IF(C341="",70,MIN(C341/HRVGoal,1)*100))*0.2+(IF(D341="",70,MAX(0,MIN(1,(RHRPoor-D341)/(RHRPoor-RHRExcellent)))*100))*0.2+(IF(F341="",70,(5-F341)/4*100))*0.15+(IF(G341="",70,(5-G341)/4*100))*0.1+(IF(H341="",70,(5-H341)/4*100))*0.1,0)),"")</f>
        <v/>
      </c>
      <c r="F341" s="31"/>
      <c r="G341" s="31"/>
      <c r="H341" s="31"/>
      <c r="I341" s="32"/>
    </row>
    <row r="342" customFormat="false" ht="15" hidden="false" customHeight="false" outlineLevel="0" collapsed="false">
      <c r="A342" s="35" t="n">
        <f aca="false">'Daily Tracker'!A342</f>
        <v>46360</v>
      </c>
      <c r="B342" s="48" t="str">
        <f aca="false">IF('Daily Tracker'!F342="","",'Daily Tracker'!F342)</f>
        <v/>
      </c>
      <c r="C342" s="31"/>
      <c r="D342" s="31"/>
      <c r="E342" s="56" t="str">
        <f aca="false">IFERROR(IF(COUNT(B342,C342,D342,F342,G342,H342)=0,"",ROUND((IF(B342="",70,MIN(B342/SleepGoal,1)*100))*0.25+(IF(C342="",70,MIN(C342/HRVGoal,1)*100))*0.2+(IF(D342="",70,MAX(0,MIN(1,(RHRPoor-D342)/(RHRPoor-RHRExcellent)))*100))*0.2+(IF(F342="",70,(5-F342)/4*100))*0.15+(IF(G342="",70,(5-G342)/4*100))*0.1+(IF(H342="",70,(5-H342)/4*100))*0.1,0)),"")</f>
        <v/>
      </c>
      <c r="F342" s="31"/>
      <c r="G342" s="31"/>
      <c r="H342" s="31"/>
      <c r="I342" s="32"/>
    </row>
    <row r="343" customFormat="false" ht="15" hidden="false" customHeight="false" outlineLevel="0" collapsed="false">
      <c r="A343" s="26" t="n">
        <f aca="false">'Daily Tracker'!A343</f>
        <v>46361</v>
      </c>
      <c r="B343" s="47" t="str">
        <f aca="false">IF('Daily Tracker'!F343="","",'Daily Tracker'!F343)</f>
        <v/>
      </c>
      <c r="C343" s="31"/>
      <c r="D343" s="31"/>
      <c r="E343" s="56" t="str">
        <f aca="false">IFERROR(IF(COUNT(B343,C343,D343,F343,G343,H343)=0,"",ROUND((IF(B343="",70,MIN(B343/SleepGoal,1)*100))*0.25+(IF(C343="",70,MIN(C343/HRVGoal,1)*100))*0.2+(IF(D343="",70,MAX(0,MIN(1,(RHRPoor-D343)/(RHRPoor-RHRExcellent)))*100))*0.2+(IF(F343="",70,(5-F343)/4*100))*0.15+(IF(G343="",70,(5-G343)/4*100))*0.1+(IF(H343="",70,(5-H343)/4*100))*0.1,0)),"")</f>
        <v/>
      </c>
      <c r="F343" s="31"/>
      <c r="G343" s="31"/>
      <c r="H343" s="31"/>
      <c r="I343" s="32"/>
    </row>
    <row r="344" customFormat="false" ht="15" hidden="false" customHeight="false" outlineLevel="0" collapsed="false">
      <c r="A344" s="35" t="n">
        <f aca="false">'Daily Tracker'!A344</f>
        <v>46362</v>
      </c>
      <c r="B344" s="48" t="str">
        <f aca="false">IF('Daily Tracker'!F344="","",'Daily Tracker'!F344)</f>
        <v/>
      </c>
      <c r="C344" s="31"/>
      <c r="D344" s="31"/>
      <c r="E344" s="56" t="str">
        <f aca="false">IFERROR(IF(COUNT(B344,C344,D344,F344,G344,H344)=0,"",ROUND((IF(B344="",70,MIN(B344/SleepGoal,1)*100))*0.25+(IF(C344="",70,MIN(C344/HRVGoal,1)*100))*0.2+(IF(D344="",70,MAX(0,MIN(1,(RHRPoor-D344)/(RHRPoor-RHRExcellent)))*100))*0.2+(IF(F344="",70,(5-F344)/4*100))*0.15+(IF(G344="",70,(5-G344)/4*100))*0.1+(IF(H344="",70,(5-H344)/4*100))*0.1,0)),"")</f>
        <v/>
      </c>
      <c r="F344" s="31"/>
      <c r="G344" s="31"/>
      <c r="H344" s="31"/>
      <c r="I344" s="32"/>
    </row>
    <row r="345" customFormat="false" ht="15" hidden="false" customHeight="false" outlineLevel="0" collapsed="false">
      <c r="A345" s="26" t="n">
        <f aca="false">'Daily Tracker'!A345</f>
        <v>46363</v>
      </c>
      <c r="B345" s="47" t="str">
        <f aca="false">IF('Daily Tracker'!F345="","",'Daily Tracker'!F345)</f>
        <v/>
      </c>
      <c r="C345" s="31"/>
      <c r="D345" s="31"/>
      <c r="E345" s="56" t="str">
        <f aca="false">IFERROR(IF(COUNT(B345,C345,D345,F345,G345,H345)=0,"",ROUND((IF(B345="",70,MIN(B345/SleepGoal,1)*100))*0.25+(IF(C345="",70,MIN(C345/HRVGoal,1)*100))*0.2+(IF(D345="",70,MAX(0,MIN(1,(RHRPoor-D345)/(RHRPoor-RHRExcellent)))*100))*0.2+(IF(F345="",70,(5-F345)/4*100))*0.15+(IF(G345="",70,(5-G345)/4*100))*0.1+(IF(H345="",70,(5-H345)/4*100))*0.1,0)),"")</f>
        <v/>
      </c>
      <c r="F345" s="31"/>
      <c r="G345" s="31"/>
      <c r="H345" s="31"/>
      <c r="I345" s="32"/>
    </row>
    <row r="346" customFormat="false" ht="15" hidden="false" customHeight="false" outlineLevel="0" collapsed="false">
      <c r="A346" s="35" t="n">
        <f aca="false">'Daily Tracker'!A346</f>
        <v>46364</v>
      </c>
      <c r="B346" s="48" t="str">
        <f aca="false">IF('Daily Tracker'!F346="","",'Daily Tracker'!F346)</f>
        <v/>
      </c>
      <c r="C346" s="31"/>
      <c r="D346" s="31"/>
      <c r="E346" s="56" t="str">
        <f aca="false">IFERROR(IF(COUNT(B346,C346,D346,F346,G346,H346)=0,"",ROUND((IF(B346="",70,MIN(B346/SleepGoal,1)*100))*0.25+(IF(C346="",70,MIN(C346/HRVGoal,1)*100))*0.2+(IF(D346="",70,MAX(0,MIN(1,(RHRPoor-D346)/(RHRPoor-RHRExcellent)))*100))*0.2+(IF(F346="",70,(5-F346)/4*100))*0.15+(IF(G346="",70,(5-G346)/4*100))*0.1+(IF(H346="",70,(5-H346)/4*100))*0.1,0)),"")</f>
        <v/>
      </c>
      <c r="F346" s="31"/>
      <c r="G346" s="31"/>
      <c r="H346" s="31"/>
      <c r="I346" s="32"/>
    </row>
    <row r="347" customFormat="false" ht="15" hidden="false" customHeight="false" outlineLevel="0" collapsed="false">
      <c r="A347" s="26" t="n">
        <f aca="false">'Daily Tracker'!A347</f>
        <v>46365</v>
      </c>
      <c r="B347" s="47" t="str">
        <f aca="false">IF('Daily Tracker'!F347="","",'Daily Tracker'!F347)</f>
        <v/>
      </c>
      <c r="C347" s="31"/>
      <c r="D347" s="31"/>
      <c r="E347" s="56" t="str">
        <f aca="false">IFERROR(IF(COUNT(B347,C347,D347,F347,G347,H347)=0,"",ROUND((IF(B347="",70,MIN(B347/SleepGoal,1)*100))*0.25+(IF(C347="",70,MIN(C347/HRVGoal,1)*100))*0.2+(IF(D347="",70,MAX(0,MIN(1,(RHRPoor-D347)/(RHRPoor-RHRExcellent)))*100))*0.2+(IF(F347="",70,(5-F347)/4*100))*0.15+(IF(G347="",70,(5-G347)/4*100))*0.1+(IF(H347="",70,(5-H347)/4*100))*0.1,0)),"")</f>
        <v/>
      </c>
      <c r="F347" s="31"/>
      <c r="G347" s="31"/>
      <c r="H347" s="31"/>
      <c r="I347" s="32"/>
    </row>
    <row r="348" customFormat="false" ht="15" hidden="false" customHeight="false" outlineLevel="0" collapsed="false">
      <c r="A348" s="35" t="n">
        <f aca="false">'Daily Tracker'!A348</f>
        <v>46366</v>
      </c>
      <c r="B348" s="48" t="str">
        <f aca="false">IF('Daily Tracker'!F348="","",'Daily Tracker'!F348)</f>
        <v/>
      </c>
      <c r="C348" s="31"/>
      <c r="D348" s="31"/>
      <c r="E348" s="56" t="str">
        <f aca="false">IFERROR(IF(COUNT(B348,C348,D348,F348,G348,H348)=0,"",ROUND((IF(B348="",70,MIN(B348/SleepGoal,1)*100))*0.25+(IF(C348="",70,MIN(C348/HRVGoal,1)*100))*0.2+(IF(D348="",70,MAX(0,MIN(1,(RHRPoor-D348)/(RHRPoor-RHRExcellent)))*100))*0.2+(IF(F348="",70,(5-F348)/4*100))*0.15+(IF(G348="",70,(5-G348)/4*100))*0.1+(IF(H348="",70,(5-H348)/4*100))*0.1,0)),"")</f>
        <v/>
      </c>
      <c r="F348" s="31"/>
      <c r="G348" s="31"/>
      <c r="H348" s="31"/>
      <c r="I348" s="32"/>
    </row>
    <row r="349" customFormat="false" ht="15" hidden="false" customHeight="false" outlineLevel="0" collapsed="false">
      <c r="A349" s="26" t="n">
        <f aca="false">'Daily Tracker'!A349</f>
        <v>46367</v>
      </c>
      <c r="B349" s="47" t="str">
        <f aca="false">IF('Daily Tracker'!F349="","",'Daily Tracker'!F349)</f>
        <v/>
      </c>
      <c r="C349" s="31"/>
      <c r="D349" s="31"/>
      <c r="E349" s="56" t="str">
        <f aca="false">IFERROR(IF(COUNT(B349,C349,D349,F349,G349,H349)=0,"",ROUND((IF(B349="",70,MIN(B349/SleepGoal,1)*100))*0.25+(IF(C349="",70,MIN(C349/HRVGoal,1)*100))*0.2+(IF(D349="",70,MAX(0,MIN(1,(RHRPoor-D349)/(RHRPoor-RHRExcellent)))*100))*0.2+(IF(F349="",70,(5-F349)/4*100))*0.15+(IF(G349="",70,(5-G349)/4*100))*0.1+(IF(H349="",70,(5-H349)/4*100))*0.1,0)),"")</f>
        <v/>
      </c>
      <c r="F349" s="31"/>
      <c r="G349" s="31"/>
      <c r="H349" s="31"/>
      <c r="I349" s="32"/>
    </row>
    <row r="350" customFormat="false" ht="15" hidden="false" customHeight="false" outlineLevel="0" collapsed="false">
      <c r="A350" s="35" t="n">
        <f aca="false">'Daily Tracker'!A350</f>
        <v>46368</v>
      </c>
      <c r="B350" s="48" t="str">
        <f aca="false">IF('Daily Tracker'!F350="","",'Daily Tracker'!F350)</f>
        <v/>
      </c>
      <c r="C350" s="31"/>
      <c r="D350" s="31"/>
      <c r="E350" s="56" t="str">
        <f aca="false">IFERROR(IF(COUNT(B350,C350,D350,F350,G350,H350)=0,"",ROUND((IF(B350="",70,MIN(B350/SleepGoal,1)*100))*0.25+(IF(C350="",70,MIN(C350/HRVGoal,1)*100))*0.2+(IF(D350="",70,MAX(0,MIN(1,(RHRPoor-D350)/(RHRPoor-RHRExcellent)))*100))*0.2+(IF(F350="",70,(5-F350)/4*100))*0.15+(IF(G350="",70,(5-G350)/4*100))*0.1+(IF(H350="",70,(5-H350)/4*100))*0.1,0)),"")</f>
        <v/>
      </c>
      <c r="F350" s="31"/>
      <c r="G350" s="31"/>
      <c r="H350" s="31"/>
      <c r="I350" s="32"/>
    </row>
    <row r="351" customFormat="false" ht="15" hidden="false" customHeight="false" outlineLevel="0" collapsed="false">
      <c r="A351" s="26" t="n">
        <f aca="false">'Daily Tracker'!A351</f>
        <v>46369</v>
      </c>
      <c r="B351" s="47" t="str">
        <f aca="false">IF('Daily Tracker'!F351="","",'Daily Tracker'!F351)</f>
        <v/>
      </c>
      <c r="C351" s="31"/>
      <c r="D351" s="31"/>
      <c r="E351" s="56" t="str">
        <f aca="false">IFERROR(IF(COUNT(B351,C351,D351,F351,G351,H351)=0,"",ROUND((IF(B351="",70,MIN(B351/SleepGoal,1)*100))*0.25+(IF(C351="",70,MIN(C351/HRVGoal,1)*100))*0.2+(IF(D351="",70,MAX(0,MIN(1,(RHRPoor-D351)/(RHRPoor-RHRExcellent)))*100))*0.2+(IF(F351="",70,(5-F351)/4*100))*0.15+(IF(G351="",70,(5-G351)/4*100))*0.1+(IF(H351="",70,(5-H351)/4*100))*0.1,0)),"")</f>
        <v/>
      </c>
      <c r="F351" s="31"/>
      <c r="G351" s="31"/>
      <c r="H351" s="31"/>
      <c r="I351" s="32"/>
    </row>
    <row r="352" customFormat="false" ht="15" hidden="false" customHeight="false" outlineLevel="0" collapsed="false">
      <c r="A352" s="35" t="n">
        <f aca="false">'Daily Tracker'!A352</f>
        <v>46370</v>
      </c>
      <c r="B352" s="48" t="str">
        <f aca="false">IF('Daily Tracker'!F352="","",'Daily Tracker'!F352)</f>
        <v/>
      </c>
      <c r="C352" s="31"/>
      <c r="D352" s="31"/>
      <c r="E352" s="56" t="str">
        <f aca="false">IFERROR(IF(COUNT(B352,C352,D352,F352,G352,H352)=0,"",ROUND((IF(B352="",70,MIN(B352/SleepGoal,1)*100))*0.25+(IF(C352="",70,MIN(C352/HRVGoal,1)*100))*0.2+(IF(D352="",70,MAX(0,MIN(1,(RHRPoor-D352)/(RHRPoor-RHRExcellent)))*100))*0.2+(IF(F352="",70,(5-F352)/4*100))*0.15+(IF(G352="",70,(5-G352)/4*100))*0.1+(IF(H352="",70,(5-H352)/4*100))*0.1,0)),"")</f>
        <v/>
      </c>
      <c r="F352" s="31"/>
      <c r="G352" s="31"/>
      <c r="H352" s="31"/>
      <c r="I352" s="32"/>
    </row>
    <row r="353" customFormat="false" ht="15" hidden="false" customHeight="false" outlineLevel="0" collapsed="false">
      <c r="A353" s="26" t="n">
        <f aca="false">'Daily Tracker'!A353</f>
        <v>46371</v>
      </c>
      <c r="B353" s="47" t="str">
        <f aca="false">IF('Daily Tracker'!F353="","",'Daily Tracker'!F353)</f>
        <v/>
      </c>
      <c r="C353" s="31"/>
      <c r="D353" s="31"/>
      <c r="E353" s="56" t="str">
        <f aca="false">IFERROR(IF(COUNT(B353,C353,D353,F353,G353,H353)=0,"",ROUND((IF(B353="",70,MIN(B353/SleepGoal,1)*100))*0.25+(IF(C353="",70,MIN(C353/HRVGoal,1)*100))*0.2+(IF(D353="",70,MAX(0,MIN(1,(RHRPoor-D353)/(RHRPoor-RHRExcellent)))*100))*0.2+(IF(F353="",70,(5-F353)/4*100))*0.15+(IF(G353="",70,(5-G353)/4*100))*0.1+(IF(H353="",70,(5-H353)/4*100))*0.1,0)),"")</f>
        <v/>
      </c>
      <c r="F353" s="31"/>
      <c r="G353" s="31"/>
      <c r="H353" s="31"/>
      <c r="I353" s="32"/>
    </row>
    <row r="354" customFormat="false" ht="15" hidden="false" customHeight="false" outlineLevel="0" collapsed="false">
      <c r="A354" s="35" t="n">
        <f aca="false">'Daily Tracker'!A354</f>
        <v>46372</v>
      </c>
      <c r="B354" s="48" t="str">
        <f aca="false">IF('Daily Tracker'!F354="","",'Daily Tracker'!F354)</f>
        <v/>
      </c>
      <c r="C354" s="31"/>
      <c r="D354" s="31"/>
      <c r="E354" s="56" t="str">
        <f aca="false">IFERROR(IF(COUNT(B354,C354,D354,F354,G354,H354)=0,"",ROUND((IF(B354="",70,MIN(B354/SleepGoal,1)*100))*0.25+(IF(C354="",70,MIN(C354/HRVGoal,1)*100))*0.2+(IF(D354="",70,MAX(0,MIN(1,(RHRPoor-D354)/(RHRPoor-RHRExcellent)))*100))*0.2+(IF(F354="",70,(5-F354)/4*100))*0.15+(IF(G354="",70,(5-G354)/4*100))*0.1+(IF(H354="",70,(5-H354)/4*100))*0.1,0)),"")</f>
        <v/>
      </c>
      <c r="F354" s="31"/>
      <c r="G354" s="31"/>
      <c r="H354" s="31"/>
      <c r="I354" s="32"/>
    </row>
    <row r="355" customFormat="false" ht="15" hidden="false" customHeight="false" outlineLevel="0" collapsed="false">
      <c r="A355" s="26" t="n">
        <f aca="false">'Daily Tracker'!A355</f>
        <v>46373</v>
      </c>
      <c r="B355" s="47" t="str">
        <f aca="false">IF('Daily Tracker'!F355="","",'Daily Tracker'!F355)</f>
        <v/>
      </c>
      <c r="C355" s="31"/>
      <c r="D355" s="31"/>
      <c r="E355" s="56" t="str">
        <f aca="false">IFERROR(IF(COUNT(B355,C355,D355,F355,G355,H355)=0,"",ROUND((IF(B355="",70,MIN(B355/SleepGoal,1)*100))*0.25+(IF(C355="",70,MIN(C355/HRVGoal,1)*100))*0.2+(IF(D355="",70,MAX(0,MIN(1,(RHRPoor-D355)/(RHRPoor-RHRExcellent)))*100))*0.2+(IF(F355="",70,(5-F355)/4*100))*0.15+(IF(G355="",70,(5-G355)/4*100))*0.1+(IF(H355="",70,(5-H355)/4*100))*0.1,0)),"")</f>
        <v/>
      </c>
      <c r="F355" s="31"/>
      <c r="G355" s="31"/>
      <c r="H355" s="31"/>
      <c r="I355" s="32"/>
    </row>
    <row r="356" customFormat="false" ht="15" hidden="false" customHeight="false" outlineLevel="0" collapsed="false">
      <c r="A356" s="35" t="n">
        <f aca="false">'Daily Tracker'!A356</f>
        <v>46374</v>
      </c>
      <c r="B356" s="48" t="str">
        <f aca="false">IF('Daily Tracker'!F356="","",'Daily Tracker'!F356)</f>
        <v/>
      </c>
      <c r="C356" s="31"/>
      <c r="D356" s="31"/>
      <c r="E356" s="56" t="str">
        <f aca="false">IFERROR(IF(COUNT(B356,C356,D356,F356,G356,H356)=0,"",ROUND((IF(B356="",70,MIN(B356/SleepGoal,1)*100))*0.25+(IF(C356="",70,MIN(C356/HRVGoal,1)*100))*0.2+(IF(D356="",70,MAX(0,MIN(1,(RHRPoor-D356)/(RHRPoor-RHRExcellent)))*100))*0.2+(IF(F356="",70,(5-F356)/4*100))*0.15+(IF(G356="",70,(5-G356)/4*100))*0.1+(IF(H356="",70,(5-H356)/4*100))*0.1,0)),"")</f>
        <v/>
      </c>
      <c r="F356" s="31"/>
      <c r="G356" s="31"/>
      <c r="H356" s="31"/>
      <c r="I356" s="32"/>
    </row>
    <row r="357" customFormat="false" ht="15" hidden="false" customHeight="false" outlineLevel="0" collapsed="false">
      <c r="A357" s="26" t="n">
        <f aca="false">'Daily Tracker'!A357</f>
        <v>46375</v>
      </c>
      <c r="B357" s="47" t="str">
        <f aca="false">IF('Daily Tracker'!F357="","",'Daily Tracker'!F357)</f>
        <v/>
      </c>
      <c r="C357" s="31"/>
      <c r="D357" s="31"/>
      <c r="E357" s="56" t="str">
        <f aca="false">IFERROR(IF(COUNT(B357,C357,D357,F357,G357,H357)=0,"",ROUND((IF(B357="",70,MIN(B357/SleepGoal,1)*100))*0.25+(IF(C357="",70,MIN(C357/HRVGoal,1)*100))*0.2+(IF(D357="",70,MAX(0,MIN(1,(RHRPoor-D357)/(RHRPoor-RHRExcellent)))*100))*0.2+(IF(F357="",70,(5-F357)/4*100))*0.15+(IF(G357="",70,(5-G357)/4*100))*0.1+(IF(H357="",70,(5-H357)/4*100))*0.1,0)),"")</f>
        <v/>
      </c>
      <c r="F357" s="31"/>
      <c r="G357" s="31"/>
      <c r="H357" s="31"/>
      <c r="I357" s="32"/>
    </row>
    <row r="358" customFormat="false" ht="15" hidden="false" customHeight="false" outlineLevel="0" collapsed="false">
      <c r="A358" s="35" t="n">
        <f aca="false">'Daily Tracker'!A358</f>
        <v>46376</v>
      </c>
      <c r="B358" s="48" t="str">
        <f aca="false">IF('Daily Tracker'!F358="","",'Daily Tracker'!F358)</f>
        <v/>
      </c>
      <c r="C358" s="31"/>
      <c r="D358" s="31"/>
      <c r="E358" s="56" t="str">
        <f aca="false">IFERROR(IF(COUNT(B358,C358,D358,F358,G358,H358)=0,"",ROUND((IF(B358="",70,MIN(B358/SleepGoal,1)*100))*0.25+(IF(C358="",70,MIN(C358/HRVGoal,1)*100))*0.2+(IF(D358="",70,MAX(0,MIN(1,(RHRPoor-D358)/(RHRPoor-RHRExcellent)))*100))*0.2+(IF(F358="",70,(5-F358)/4*100))*0.15+(IF(G358="",70,(5-G358)/4*100))*0.1+(IF(H358="",70,(5-H358)/4*100))*0.1,0)),"")</f>
        <v/>
      </c>
      <c r="F358" s="31"/>
      <c r="G358" s="31"/>
      <c r="H358" s="31"/>
      <c r="I358" s="32"/>
    </row>
    <row r="359" customFormat="false" ht="15" hidden="false" customHeight="false" outlineLevel="0" collapsed="false">
      <c r="A359" s="26" t="n">
        <f aca="false">'Daily Tracker'!A359</f>
        <v>46377</v>
      </c>
      <c r="B359" s="47" t="str">
        <f aca="false">IF('Daily Tracker'!F359="","",'Daily Tracker'!F359)</f>
        <v/>
      </c>
      <c r="C359" s="31"/>
      <c r="D359" s="31"/>
      <c r="E359" s="56" t="str">
        <f aca="false">IFERROR(IF(COUNT(B359,C359,D359,F359,G359,H359)=0,"",ROUND((IF(B359="",70,MIN(B359/SleepGoal,1)*100))*0.25+(IF(C359="",70,MIN(C359/HRVGoal,1)*100))*0.2+(IF(D359="",70,MAX(0,MIN(1,(RHRPoor-D359)/(RHRPoor-RHRExcellent)))*100))*0.2+(IF(F359="",70,(5-F359)/4*100))*0.15+(IF(G359="",70,(5-G359)/4*100))*0.1+(IF(H359="",70,(5-H359)/4*100))*0.1,0)),"")</f>
        <v/>
      </c>
      <c r="F359" s="31"/>
      <c r="G359" s="31"/>
      <c r="H359" s="31"/>
      <c r="I359" s="32"/>
    </row>
    <row r="360" customFormat="false" ht="15" hidden="false" customHeight="false" outlineLevel="0" collapsed="false">
      <c r="A360" s="35" t="n">
        <f aca="false">'Daily Tracker'!A360</f>
        <v>46378</v>
      </c>
      <c r="B360" s="48" t="str">
        <f aca="false">IF('Daily Tracker'!F360="","",'Daily Tracker'!F360)</f>
        <v/>
      </c>
      <c r="C360" s="31"/>
      <c r="D360" s="31"/>
      <c r="E360" s="56" t="str">
        <f aca="false">IFERROR(IF(COUNT(B360,C360,D360,F360,G360,H360)=0,"",ROUND((IF(B360="",70,MIN(B360/SleepGoal,1)*100))*0.25+(IF(C360="",70,MIN(C360/HRVGoal,1)*100))*0.2+(IF(D360="",70,MAX(0,MIN(1,(RHRPoor-D360)/(RHRPoor-RHRExcellent)))*100))*0.2+(IF(F360="",70,(5-F360)/4*100))*0.15+(IF(G360="",70,(5-G360)/4*100))*0.1+(IF(H360="",70,(5-H360)/4*100))*0.1,0)),"")</f>
        <v/>
      </c>
      <c r="F360" s="31"/>
      <c r="G360" s="31"/>
      <c r="H360" s="31"/>
      <c r="I360" s="32"/>
    </row>
    <row r="361" customFormat="false" ht="15" hidden="false" customHeight="false" outlineLevel="0" collapsed="false">
      <c r="A361" s="26" t="n">
        <f aca="false">'Daily Tracker'!A361</f>
        <v>46379</v>
      </c>
      <c r="B361" s="47" t="str">
        <f aca="false">IF('Daily Tracker'!F361="","",'Daily Tracker'!F361)</f>
        <v/>
      </c>
      <c r="C361" s="31"/>
      <c r="D361" s="31"/>
      <c r="E361" s="56" t="str">
        <f aca="false">IFERROR(IF(COUNT(B361,C361,D361,F361,G361,H361)=0,"",ROUND((IF(B361="",70,MIN(B361/SleepGoal,1)*100))*0.25+(IF(C361="",70,MIN(C361/HRVGoal,1)*100))*0.2+(IF(D361="",70,MAX(0,MIN(1,(RHRPoor-D361)/(RHRPoor-RHRExcellent)))*100))*0.2+(IF(F361="",70,(5-F361)/4*100))*0.15+(IF(G361="",70,(5-G361)/4*100))*0.1+(IF(H361="",70,(5-H361)/4*100))*0.1,0)),"")</f>
        <v/>
      </c>
      <c r="F361" s="31"/>
      <c r="G361" s="31"/>
      <c r="H361" s="31"/>
      <c r="I361" s="32"/>
    </row>
    <row r="362" customFormat="false" ht="15" hidden="false" customHeight="false" outlineLevel="0" collapsed="false">
      <c r="A362" s="35" t="n">
        <f aca="false">'Daily Tracker'!A362</f>
        <v>46380</v>
      </c>
      <c r="B362" s="48" t="str">
        <f aca="false">IF('Daily Tracker'!F362="","",'Daily Tracker'!F362)</f>
        <v/>
      </c>
      <c r="C362" s="31"/>
      <c r="D362" s="31"/>
      <c r="E362" s="56" t="str">
        <f aca="false">IFERROR(IF(COUNT(B362,C362,D362,F362,G362,H362)=0,"",ROUND((IF(B362="",70,MIN(B362/SleepGoal,1)*100))*0.25+(IF(C362="",70,MIN(C362/HRVGoal,1)*100))*0.2+(IF(D362="",70,MAX(0,MIN(1,(RHRPoor-D362)/(RHRPoor-RHRExcellent)))*100))*0.2+(IF(F362="",70,(5-F362)/4*100))*0.15+(IF(G362="",70,(5-G362)/4*100))*0.1+(IF(H362="",70,(5-H362)/4*100))*0.1,0)),"")</f>
        <v/>
      </c>
      <c r="F362" s="31"/>
      <c r="G362" s="31"/>
      <c r="H362" s="31"/>
      <c r="I362" s="32"/>
    </row>
    <row r="363" customFormat="false" ht="15" hidden="false" customHeight="false" outlineLevel="0" collapsed="false">
      <c r="A363" s="26" t="n">
        <f aca="false">'Daily Tracker'!A363</f>
        <v>46381</v>
      </c>
      <c r="B363" s="47" t="str">
        <f aca="false">IF('Daily Tracker'!F363="","",'Daily Tracker'!F363)</f>
        <v/>
      </c>
      <c r="C363" s="31"/>
      <c r="D363" s="31"/>
      <c r="E363" s="56" t="str">
        <f aca="false">IFERROR(IF(COUNT(B363,C363,D363,F363,G363,H363)=0,"",ROUND((IF(B363="",70,MIN(B363/SleepGoal,1)*100))*0.25+(IF(C363="",70,MIN(C363/HRVGoal,1)*100))*0.2+(IF(D363="",70,MAX(0,MIN(1,(RHRPoor-D363)/(RHRPoor-RHRExcellent)))*100))*0.2+(IF(F363="",70,(5-F363)/4*100))*0.15+(IF(G363="",70,(5-G363)/4*100))*0.1+(IF(H363="",70,(5-H363)/4*100))*0.1,0)),"")</f>
        <v/>
      </c>
      <c r="F363" s="31"/>
      <c r="G363" s="31"/>
      <c r="H363" s="31"/>
      <c r="I363" s="32"/>
    </row>
    <row r="364" customFormat="false" ht="15" hidden="false" customHeight="false" outlineLevel="0" collapsed="false">
      <c r="A364" s="35" t="n">
        <f aca="false">'Daily Tracker'!A364</f>
        <v>46382</v>
      </c>
      <c r="B364" s="48" t="str">
        <f aca="false">IF('Daily Tracker'!F364="","",'Daily Tracker'!F364)</f>
        <v/>
      </c>
      <c r="C364" s="31"/>
      <c r="D364" s="31"/>
      <c r="E364" s="56" t="str">
        <f aca="false">IFERROR(IF(COUNT(B364,C364,D364,F364,G364,H364)=0,"",ROUND((IF(B364="",70,MIN(B364/SleepGoal,1)*100))*0.25+(IF(C364="",70,MIN(C364/HRVGoal,1)*100))*0.2+(IF(D364="",70,MAX(0,MIN(1,(RHRPoor-D364)/(RHRPoor-RHRExcellent)))*100))*0.2+(IF(F364="",70,(5-F364)/4*100))*0.15+(IF(G364="",70,(5-G364)/4*100))*0.1+(IF(H364="",70,(5-H364)/4*100))*0.1,0)),"")</f>
        <v/>
      </c>
      <c r="F364" s="31"/>
      <c r="G364" s="31"/>
      <c r="H364" s="31"/>
      <c r="I364" s="32"/>
    </row>
    <row r="365" customFormat="false" ht="15" hidden="false" customHeight="false" outlineLevel="0" collapsed="false">
      <c r="A365" s="26" t="n">
        <f aca="false">'Daily Tracker'!A365</f>
        <v>46383</v>
      </c>
      <c r="B365" s="47" t="str">
        <f aca="false">IF('Daily Tracker'!F365="","",'Daily Tracker'!F365)</f>
        <v/>
      </c>
      <c r="C365" s="31"/>
      <c r="D365" s="31"/>
      <c r="E365" s="56" t="str">
        <f aca="false">IFERROR(IF(COUNT(B365,C365,D365,F365,G365,H365)=0,"",ROUND((IF(B365="",70,MIN(B365/SleepGoal,1)*100))*0.25+(IF(C365="",70,MIN(C365/HRVGoal,1)*100))*0.2+(IF(D365="",70,MAX(0,MIN(1,(RHRPoor-D365)/(RHRPoor-RHRExcellent)))*100))*0.2+(IF(F365="",70,(5-F365)/4*100))*0.15+(IF(G365="",70,(5-G365)/4*100))*0.1+(IF(H365="",70,(5-H365)/4*100))*0.1,0)),"")</f>
        <v/>
      </c>
      <c r="F365" s="31"/>
      <c r="G365" s="31"/>
      <c r="H365" s="31"/>
      <c r="I365" s="32"/>
    </row>
    <row r="366" customFormat="false" ht="15" hidden="false" customHeight="false" outlineLevel="0" collapsed="false">
      <c r="A366" s="35" t="n">
        <f aca="false">'Daily Tracker'!A366</f>
        <v>46384</v>
      </c>
      <c r="B366" s="48" t="str">
        <f aca="false">IF('Daily Tracker'!F366="","",'Daily Tracker'!F366)</f>
        <v/>
      </c>
      <c r="C366" s="31"/>
      <c r="D366" s="31"/>
      <c r="E366" s="56" t="str">
        <f aca="false">IFERROR(IF(COUNT(B366,C366,D366,F366,G366,H366)=0,"",ROUND((IF(B366="",70,MIN(B366/SleepGoal,1)*100))*0.25+(IF(C366="",70,MIN(C366/HRVGoal,1)*100))*0.2+(IF(D366="",70,MAX(0,MIN(1,(RHRPoor-D366)/(RHRPoor-RHRExcellent)))*100))*0.2+(IF(F366="",70,(5-F366)/4*100))*0.15+(IF(G366="",70,(5-G366)/4*100))*0.1+(IF(H366="",70,(5-H366)/4*100))*0.1,0)),"")</f>
        <v/>
      </c>
      <c r="F366" s="31"/>
      <c r="G366" s="31"/>
      <c r="H366" s="31"/>
      <c r="I366" s="32"/>
    </row>
    <row r="367" customFormat="false" ht="15" hidden="false" customHeight="false" outlineLevel="0" collapsed="false">
      <c r="A367" s="26" t="n">
        <f aca="false">'Daily Tracker'!A367</f>
        <v>46385</v>
      </c>
      <c r="B367" s="47" t="str">
        <f aca="false">IF('Daily Tracker'!F367="","",'Daily Tracker'!F367)</f>
        <v/>
      </c>
      <c r="C367" s="31"/>
      <c r="D367" s="31"/>
      <c r="E367" s="56" t="str">
        <f aca="false">IFERROR(IF(COUNT(B367,C367,D367,F367,G367,H367)=0,"",ROUND((IF(B367="",70,MIN(B367/SleepGoal,1)*100))*0.25+(IF(C367="",70,MIN(C367/HRVGoal,1)*100))*0.2+(IF(D367="",70,MAX(0,MIN(1,(RHRPoor-D367)/(RHRPoor-RHRExcellent)))*100))*0.2+(IF(F367="",70,(5-F367)/4*100))*0.15+(IF(G367="",70,(5-G367)/4*100))*0.1+(IF(H367="",70,(5-H367)/4*100))*0.1,0)),"")</f>
        <v/>
      </c>
      <c r="F367" s="31"/>
      <c r="G367" s="31"/>
      <c r="H367" s="31"/>
      <c r="I367" s="32"/>
    </row>
    <row r="368" customFormat="false" ht="15" hidden="false" customHeight="false" outlineLevel="0" collapsed="false">
      <c r="A368" s="35" t="n">
        <f aca="false">'Daily Tracker'!A368</f>
        <v>46386</v>
      </c>
      <c r="B368" s="48" t="str">
        <f aca="false">IF('Daily Tracker'!F368="","",'Daily Tracker'!F368)</f>
        <v/>
      </c>
      <c r="C368" s="31"/>
      <c r="D368" s="31"/>
      <c r="E368" s="56" t="str">
        <f aca="false">IFERROR(IF(COUNT(B368,C368,D368,F368,G368,H368)=0,"",ROUND((IF(B368="",70,MIN(B368/SleepGoal,1)*100))*0.25+(IF(C368="",70,MIN(C368/HRVGoal,1)*100))*0.2+(IF(D368="",70,MAX(0,MIN(1,(RHRPoor-D368)/(RHRPoor-RHRExcellent)))*100))*0.2+(IF(F368="",70,(5-F368)/4*100))*0.15+(IF(G368="",70,(5-G368)/4*100))*0.1+(IF(H368="",70,(5-H368)/4*100))*0.1,0)),"")</f>
        <v/>
      </c>
      <c r="F368" s="31"/>
      <c r="G368" s="31"/>
      <c r="H368" s="31"/>
      <c r="I368" s="32"/>
    </row>
    <row r="369" customFormat="false" ht="15" hidden="false" customHeight="false" outlineLevel="0" collapsed="false">
      <c r="A369" s="26" t="n">
        <f aca="false">'Daily Tracker'!A369</f>
        <v>46387</v>
      </c>
      <c r="B369" s="47" t="str">
        <f aca="false">IF('Daily Tracker'!F369="","",'Daily Tracker'!F369)</f>
        <v/>
      </c>
      <c r="C369" s="31"/>
      <c r="D369" s="31"/>
      <c r="E369" s="56" t="str">
        <f aca="false">IFERROR(IF(COUNT(B369,C369,D369,F369,G369,H369)=0,"",ROUND((IF(B369="",70,MIN(B369/SleepGoal,1)*100))*0.25+(IF(C369="",70,MIN(C369/HRVGoal,1)*100))*0.2+(IF(D369="",70,MAX(0,MIN(1,(RHRPoor-D369)/(RHRPoor-RHRExcellent)))*100))*0.2+(IF(F369="",70,(5-F369)/4*100))*0.15+(IF(G369="",70,(5-G369)/4*100))*0.1+(IF(H369="",70,(5-H369)/4*100))*0.1,0)),"")</f>
        <v/>
      </c>
      <c r="F369" s="31"/>
      <c r="G369" s="31"/>
      <c r="H369" s="31"/>
      <c r="I369" s="32"/>
    </row>
  </sheetData>
  <mergeCells count="2">
    <mergeCell ref="A1:I1"/>
    <mergeCell ref="A2:I2"/>
  </mergeCells>
  <conditionalFormatting sqref="E5:E369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dataValidations count="1">
    <dataValidation allowBlank="true" errorStyle="stop" operator="between" showDropDown="false" showErrorMessage="false" showInputMessage="false" sqref="F5:H369" type="list">
      <formula1>"1,2,3,4,5"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&amp;N&amp;R&amp;F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true"/>
  </sheetPr>
  <dimension ref="A1:M3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7" min="5" style="0" width="8"/>
    <col collapsed="false" customWidth="true" hidden="false" outlineLevel="0" max="13" min="8" style="0" width="10"/>
  </cols>
  <sheetData>
    <row r="1" customFormat="false" ht="39.7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30" hidden="false" customHeight="true" outlineLevel="0" collapsed="false">
      <c r="A4" s="24" t="s">
        <v>37</v>
      </c>
      <c r="B4" s="24" t="s">
        <v>112</v>
      </c>
      <c r="C4" s="24" t="s">
        <v>133</v>
      </c>
      <c r="D4" s="24" t="s">
        <v>134</v>
      </c>
      <c r="E4" s="24" t="s">
        <v>135</v>
      </c>
      <c r="F4" s="24" t="s">
        <v>136</v>
      </c>
      <c r="G4" s="24" t="s">
        <v>45</v>
      </c>
      <c r="H4" s="24" t="s">
        <v>137</v>
      </c>
      <c r="I4" s="24" t="s">
        <v>138</v>
      </c>
      <c r="J4" s="24" t="s">
        <v>139</v>
      </c>
      <c r="K4" s="24" t="s">
        <v>140</v>
      </c>
      <c r="L4" s="24" t="s">
        <v>141</v>
      </c>
      <c r="M4" s="24" t="s">
        <v>142</v>
      </c>
    </row>
    <row r="5" customFormat="false" ht="15" hidden="false" customHeight="false" outlineLevel="0" collapsed="false">
      <c r="A5" s="26" t="n">
        <f aca="false">'Daily Tracker'!A5</f>
        <v>46023</v>
      </c>
      <c r="B5" s="28" t="n">
        <v>2850</v>
      </c>
      <c r="C5" s="28" t="n">
        <v>185</v>
      </c>
      <c r="D5" s="28" t="n">
        <v>310</v>
      </c>
      <c r="E5" s="28" t="n">
        <v>82</v>
      </c>
      <c r="F5" s="28" t="n">
        <v>29</v>
      </c>
      <c r="G5" s="47" t="n">
        <f aca="false">IF('Daily Tracker'!I5="","",'Daily Tracker'!I5)</f>
        <v>4.2</v>
      </c>
      <c r="H5" s="33" t="n">
        <f aca="false">IF(B5="","",B5/CalorieGoal)</f>
        <v>1.01785714285714</v>
      </c>
      <c r="I5" s="33" t="n">
        <f aca="false">IF(C5="","",C5/ProteinGoal)</f>
        <v>1.15625</v>
      </c>
      <c r="J5" s="33" t="n">
        <f aca="false">IF(D5="","",D5/CarbGoal)</f>
        <v>1.03333333333333</v>
      </c>
      <c r="K5" s="33" t="n">
        <f aca="false">IF(E5="","",E5/FatGoal)</f>
        <v>1.025</v>
      </c>
      <c r="L5" s="33" t="n">
        <f aca="false">IF(F5="","",F5/FiberGoal)</f>
        <v>0.966666666666667</v>
      </c>
      <c r="M5" s="33" t="n">
        <f aca="false">IF(G5="","",G5/WaterGoal)</f>
        <v>1.05</v>
      </c>
    </row>
    <row r="6" customFormat="false" ht="15" hidden="false" customHeight="false" outlineLevel="0" collapsed="false">
      <c r="A6" s="35" t="n">
        <f aca="false">'Daily Tracker'!A6</f>
        <v>46024</v>
      </c>
      <c r="B6" s="28"/>
      <c r="C6" s="28"/>
      <c r="D6" s="28"/>
      <c r="E6" s="28"/>
      <c r="F6" s="28"/>
      <c r="G6" s="48" t="str">
        <f aca="false">IF('Daily Tracker'!I6="","",'Daily Tracker'!I6)</f>
        <v/>
      </c>
      <c r="H6" s="37" t="str">
        <f aca="false">IF(B6="","",B6/CalorieGoal)</f>
        <v/>
      </c>
      <c r="I6" s="37" t="str">
        <f aca="false">IF(C6="","",C6/ProteinGoal)</f>
        <v/>
      </c>
      <c r="J6" s="37" t="str">
        <f aca="false">IF(D6="","",D6/CarbGoal)</f>
        <v/>
      </c>
      <c r="K6" s="37" t="str">
        <f aca="false">IF(E6="","",E6/FatGoal)</f>
        <v/>
      </c>
      <c r="L6" s="37" t="str">
        <f aca="false">IF(F6="","",F6/FiberGoal)</f>
        <v/>
      </c>
      <c r="M6" s="37" t="str">
        <f aca="false">IF(G6="","",G6/WaterGoal)</f>
        <v/>
      </c>
    </row>
    <row r="7" customFormat="false" ht="15" hidden="false" customHeight="false" outlineLevel="0" collapsed="false">
      <c r="A7" s="26" t="n">
        <f aca="false">'Daily Tracker'!A7</f>
        <v>46025</v>
      </c>
      <c r="B7" s="28"/>
      <c r="C7" s="28"/>
      <c r="D7" s="28"/>
      <c r="E7" s="28"/>
      <c r="F7" s="28"/>
      <c r="G7" s="47" t="str">
        <f aca="false">IF('Daily Tracker'!I7="","",'Daily Tracker'!I7)</f>
        <v/>
      </c>
      <c r="H7" s="33" t="str">
        <f aca="false">IF(B7="","",B7/CalorieGoal)</f>
        <v/>
      </c>
      <c r="I7" s="33" t="str">
        <f aca="false">IF(C7="","",C7/ProteinGoal)</f>
        <v/>
      </c>
      <c r="J7" s="33" t="str">
        <f aca="false">IF(D7="","",D7/CarbGoal)</f>
        <v/>
      </c>
      <c r="K7" s="33" t="str">
        <f aca="false">IF(E7="","",E7/FatGoal)</f>
        <v/>
      </c>
      <c r="L7" s="33" t="str">
        <f aca="false">IF(F7="","",F7/FiberGoal)</f>
        <v/>
      </c>
      <c r="M7" s="33" t="str">
        <f aca="false">IF(G7="","",G7/WaterGoal)</f>
        <v/>
      </c>
    </row>
    <row r="8" customFormat="false" ht="15" hidden="false" customHeight="false" outlineLevel="0" collapsed="false">
      <c r="A8" s="35" t="n">
        <f aca="false">'Daily Tracker'!A8</f>
        <v>46026</v>
      </c>
      <c r="B8" s="28"/>
      <c r="C8" s="28"/>
      <c r="D8" s="28"/>
      <c r="E8" s="28"/>
      <c r="F8" s="28"/>
      <c r="G8" s="48" t="str">
        <f aca="false">IF('Daily Tracker'!I8="","",'Daily Tracker'!I8)</f>
        <v/>
      </c>
      <c r="H8" s="37" t="str">
        <f aca="false">IF(B8="","",B8/CalorieGoal)</f>
        <v/>
      </c>
      <c r="I8" s="37" t="str">
        <f aca="false">IF(C8="","",C8/ProteinGoal)</f>
        <v/>
      </c>
      <c r="J8" s="37" t="str">
        <f aca="false">IF(D8="","",D8/CarbGoal)</f>
        <v/>
      </c>
      <c r="K8" s="37" t="str">
        <f aca="false">IF(E8="","",E8/FatGoal)</f>
        <v/>
      </c>
      <c r="L8" s="37" t="str">
        <f aca="false">IF(F8="","",F8/FiberGoal)</f>
        <v/>
      </c>
      <c r="M8" s="37" t="str">
        <f aca="false">IF(G8="","",G8/WaterGoal)</f>
        <v/>
      </c>
    </row>
    <row r="9" customFormat="false" ht="15" hidden="false" customHeight="false" outlineLevel="0" collapsed="false">
      <c r="A9" s="26" t="n">
        <f aca="false">'Daily Tracker'!A9</f>
        <v>46027</v>
      </c>
      <c r="B9" s="28"/>
      <c r="C9" s="28"/>
      <c r="D9" s="28"/>
      <c r="E9" s="28"/>
      <c r="F9" s="28"/>
      <c r="G9" s="47" t="str">
        <f aca="false">IF('Daily Tracker'!I9="","",'Daily Tracker'!I9)</f>
        <v/>
      </c>
      <c r="H9" s="33" t="str">
        <f aca="false">IF(B9="","",B9/CalorieGoal)</f>
        <v/>
      </c>
      <c r="I9" s="33" t="str">
        <f aca="false">IF(C9="","",C9/ProteinGoal)</f>
        <v/>
      </c>
      <c r="J9" s="33" t="str">
        <f aca="false">IF(D9="","",D9/CarbGoal)</f>
        <v/>
      </c>
      <c r="K9" s="33" t="str">
        <f aca="false">IF(E9="","",E9/FatGoal)</f>
        <v/>
      </c>
      <c r="L9" s="33" t="str">
        <f aca="false">IF(F9="","",F9/FiberGoal)</f>
        <v/>
      </c>
      <c r="M9" s="33" t="str">
        <f aca="false">IF(G9="","",G9/WaterGoal)</f>
        <v/>
      </c>
    </row>
    <row r="10" customFormat="false" ht="15" hidden="false" customHeight="false" outlineLevel="0" collapsed="false">
      <c r="A10" s="35" t="n">
        <f aca="false">'Daily Tracker'!A10</f>
        <v>46028</v>
      </c>
      <c r="B10" s="28"/>
      <c r="C10" s="28"/>
      <c r="D10" s="28"/>
      <c r="E10" s="28"/>
      <c r="F10" s="28"/>
      <c r="G10" s="48" t="str">
        <f aca="false">IF('Daily Tracker'!I10="","",'Daily Tracker'!I10)</f>
        <v/>
      </c>
      <c r="H10" s="37" t="str">
        <f aca="false">IF(B10="","",B10/CalorieGoal)</f>
        <v/>
      </c>
      <c r="I10" s="37" t="str">
        <f aca="false">IF(C10="","",C10/ProteinGoal)</f>
        <v/>
      </c>
      <c r="J10" s="37" t="str">
        <f aca="false">IF(D10="","",D10/CarbGoal)</f>
        <v/>
      </c>
      <c r="K10" s="37" t="str">
        <f aca="false">IF(E10="","",E10/FatGoal)</f>
        <v/>
      </c>
      <c r="L10" s="37" t="str">
        <f aca="false">IF(F10="","",F10/FiberGoal)</f>
        <v/>
      </c>
      <c r="M10" s="37" t="str">
        <f aca="false">IF(G10="","",G10/WaterGoal)</f>
        <v/>
      </c>
    </row>
    <row r="11" customFormat="false" ht="15" hidden="false" customHeight="false" outlineLevel="0" collapsed="false">
      <c r="A11" s="26" t="n">
        <f aca="false">'Daily Tracker'!A11</f>
        <v>46029</v>
      </c>
      <c r="B11" s="28"/>
      <c r="C11" s="28"/>
      <c r="D11" s="28"/>
      <c r="E11" s="28"/>
      <c r="F11" s="28"/>
      <c r="G11" s="47" t="str">
        <f aca="false">IF('Daily Tracker'!I11="","",'Daily Tracker'!I11)</f>
        <v/>
      </c>
      <c r="H11" s="33" t="str">
        <f aca="false">IF(B11="","",B11/CalorieGoal)</f>
        <v/>
      </c>
      <c r="I11" s="33" t="str">
        <f aca="false">IF(C11="","",C11/ProteinGoal)</f>
        <v/>
      </c>
      <c r="J11" s="33" t="str">
        <f aca="false">IF(D11="","",D11/CarbGoal)</f>
        <v/>
      </c>
      <c r="K11" s="33" t="str">
        <f aca="false">IF(E11="","",E11/FatGoal)</f>
        <v/>
      </c>
      <c r="L11" s="33" t="str">
        <f aca="false">IF(F11="","",F11/FiberGoal)</f>
        <v/>
      </c>
      <c r="M11" s="33" t="str">
        <f aca="false">IF(G11="","",G11/WaterGoal)</f>
        <v/>
      </c>
    </row>
    <row r="12" customFormat="false" ht="15" hidden="false" customHeight="false" outlineLevel="0" collapsed="false">
      <c r="A12" s="35" t="n">
        <f aca="false">'Daily Tracker'!A12</f>
        <v>46030</v>
      </c>
      <c r="B12" s="28"/>
      <c r="C12" s="28"/>
      <c r="D12" s="28"/>
      <c r="E12" s="28"/>
      <c r="F12" s="28"/>
      <c r="G12" s="48" t="str">
        <f aca="false">IF('Daily Tracker'!I12="","",'Daily Tracker'!I12)</f>
        <v/>
      </c>
      <c r="H12" s="37" t="str">
        <f aca="false">IF(B12="","",B12/CalorieGoal)</f>
        <v/>
      </c>
      <c r="I12" s="37" t="str">
        <f aca="false">IF(C12="","",C12/ProteinGoal)</f>
        <v/>
      </c>
      <c r="J12" s="37" t="str">
        <f aca="false">IF(D12="","",D12/CarbGoal)</f>
        <v/>
      </c>
      <c r="K12" s="37" t="str">
        <f aca="false">IF(E12="","",E12/FatGoal)</f>
        <v/>
      </c>
      <c r="L12" s="37" t="str">
        <f aca="false">IF(F12="","",F12/FiberGoal)</f>
        <v/>
      </c>
      <c r="M12" s="37" t="str">
        <f aca="false">IF(G12="","",G12/WaterGoal)</f>
        <v/>
      </c>
    </row>
    <row r="13" customFormat="false" ht="15" hidden="false" customHeight="false" outlineLevel="0" collapsed="false">
      <c r="A13" s="26" t="n">
        <f aca="false">'Daily Tracker'!A13</f>
        <v>46031</v>
      </c>
      <c r="B13" s="28"/>
      <c r="C13" s="28"/>
      <c r="D13" s="28"/>
      <c r="E13" s="28"/>
      <c r="F13" s="28"/>
      <c r="G13" s="47" t="str">
        <f aca="false">IF('Daily Tracker'!I13="","",'Daily Tracker'!I13)</f>
        <v/>
      </c>
      <c r="H13" s="33" t="str">
        <f aca="false">IF(B13="","",B13/CalorieGoal)</f>
        <v/>
      </c>
      <c r="I13" s="33" t="str">
        <f aca="false">IF(C13="","",C13/ProteinGoal)</f>
        <v/>
      </c>
      <c r="J13" s="33" t="str">
        <f aca="false">IF(D13="","",D13/CarbGoal)</f>
        <v/>
      </c>
      <c r="K13" s="33" t="str">
        <f aca="false">IF(E13="","",E13/FatGoal)</f>
        <v/>
      </c>
      <c r="L13" s="33" t="str">
        <f aca="false">IF(F13="","",F13/FiberGoal)</f>
        <v/>
      </c>
      <c r="M13" s="33" t="str">
        <f aca="false">IF(G13="","",G13/WaterGoal)</f>
        <v/>
      </c>
    </row>
    <row r="14" customFormat="false" ht="15" hidden="false" customHeight="false" outlineLevel="0" collapsed="false">
      <c r="A14" s="35" t="n">
        <f aca="false">'Daily Tracker'!A14</f>
        <v>46032</v>
      </c>
      <c r="B14" s="28"/>
      <c r="C14" s="28"/>
      <c r="D14" s="28"/>
      <c r="E14" s="28"/>
      <c r="F14" s="28"/>
      <c r="G14" s="48" t="str">
        <f aca="false">IF('Daily Tracker'!I14="","",'Daily Tracker'!I14)</f>
        <v/>
      </c>
      <c r="H14" s="37" t="str">
        <f aca="false">IF(B14="","",B14/CalorieGoal)</f>
        <v/>
      </c>
      <c r="I14" s="37" t="str">
        <f aca="false">IF(C14="","",C14/ProteinGoal)</f>
        <v/>
      </c>
      <c r="J14" s="37" t="str">
        <f aca="false">IF(D14="","",D14/CarbGoal)</f>
        <v/>
      </c>
      <c r="K14" s="37" t="str">
        <f aca="false">IF(E14="","",E14/FatGoal)</f>
        <v/>
      </c>
      <c r="L14" s="37" t="str">
        <f aca="false">IF(F14="","",F14/FiberGoal)</f>
        <v/>
      </c>
      <c r="M14" s="37" t="str">
        <f aca="false">IF(G14="","",G14/WaterGoal)</f>
        <v/>
      </c>
    </row>
    <row r="15" customFormat="false" ht="15" hidden="false" customHeight="false" outlineLevel="0" collapsed="false">
      <c r="A15" s="26" t="n">
        <f aca="false">'Daily Tracker'!A15</f>
        <v>46033</v>
      </c>
      <c r="B15" s="28"/>
      <c r="C15" s="28"/>
      <c r="D15" s="28"/>
      <c r="E15" s="28"/>
      <c r="F15" s="28"/>
      <c r="G15" s="47" t="str">
        <f aca="false">IF('Daily Tracker'!I15="","",'Daily Tracker'!I15)</f>
        <v/>
      </c>
      <c r="H15" s="33" t="str">
        <f aca="false">IF(B15="","",B15/CalorieGoal)</f>
        <v/>
      </c>
      <c r="I15" s="33" t="str">
        <f aca="false">IF(C15="","",C15/ProteinGoal)</f>
        <v/>
      </c>
      <c r="J15" s="33" t="str">
        <f aca="false">IF(D15="","",D15/CarbGoal)</f>
        <v/>
      </c>
      <c r="K15" s="33" t="str">
        <f aca="false">IF(E15="","",E15/FatGoal)</f>
        <v/>
      </c>
      <c r="L15" s="33" t="str">
        <f aca="false">IF(F15="","",F15/FiberGoal)</f>
        <v/>
      </c>
      <c r="M15" s="33" t="str">
        <f aca="false">IF(G15="","",G15/WaterGoal)</f>
        <v/>
      </c>
    </row>
    <row r="16" customFormat="false" ht="15" hidden="false" customHeight="false" outlineLevel="0" collapsed="false">
      <c r="A16" s="35" t="n">
        <f aca="false">'Daily Tracker'!A16</f>
        <v>46034</v>
      </c>
      <c r="B16" s="28"/>
      <c r="C16" s="28"/>
      <c r="D16" s="28"/>
      <c r="E16" s="28"/>
      <c r="F16" s="28"/>
      <c r="G16" s="48" t="str">
        <f aca="false">IF('Daily Tracker'!I16="","",'Daily Tracker'!I16)</f>
        <v/>
      </c>
      <c r="H16" s="37" t="str">
        <f aca="false">IF(B16="","",B16/CalorieGoal)</f>
        <v/>
      </c>
      <c r="I16" s="37" t="str">
        <f aca="false">IF(C16="","",C16/ProteinGoal)</f>
        <v/>
      </c>
      <c r="J16" s="37" t="str">
        <f aca="false">IF(D16="","",D16/CarbGoal)</f>
        <v/>
      </c>
      <c r="K16" s="37" t="str">
        <f aca="false">IF(E16="","",E16/FatGoal)</f>
        <v/>
      </c>
      <c r="L16" s="37" t="str">
        <f aca="false">IF(F16="","",F16/FiberGoal)</f>
        <v/>
      </c>
      <c r="M16" s="37" t="str">
        <f aca="false">IF(G16="","",G16/WaterGoal)</f>
        <v/>
      </c>
    </row>
    <row r="17" customFormat="false" ht="15" hidden="false" customHeight="false" outlineLevel="0" collapsed="false">
      <c r="A17" s="26" t="n">
        <f aca="false">'Daily Tracker'!A17</f>
        <v>46035</v>
      </c>
      <c r="B17" s="28"/>
      <c r="C17" s="28"/>
      <c r="D17" s="28"/>
      <c r="E17" s="28"/>
      <c r="F17" s="28"/>
      <c r="G17" s="47" t="str">
        <f aca="false">IF('Daily Tracker'!I17="","",'Daily Tracker'!I17)</f>
        <v/>
      </c>
      <c r="H17" s="33" t="str">
        <f aca="false">IF(B17="","",B17/CalorieGoal)</f>
        <v/>
      </c>
      <c r="I17" s="33" t="str">
        <f aca="false">IF(C17="","",C17/ProteinGoal)</f>
        <v/>
      </c>
      <c r="J17" s="33" t="str">
        <f aca="false">IF(D17="","",D17/CarbGoal)</f>
        <v/>
      </c>
      <c r="K17" s="33" t="str">
        <f aca="false">IF(E17="","",E17/FatGoal)</f>
        <v/>
      </c>
      <c r="L17" s="33" t="str">
        <f aca="false">IF(F17="","",F17/FiberGoal)</f>
        <v/>
      </c>
      <c r="M17" s="33" t="str">
        <f aca="false">IF(G17="","",G17/WaterGoal)</f>
        <v/>
      </c>
    </row>
    <row r="18" customFormat="false" ht="15" hidden="false" customHeight="false" outlineLevel="0" collapsed="false">
      <c r="A18" s="35" t="n">
        <f aca="false">'Daily Tracker'!A18</f>
        <v>46036</v>
      </c>
      <c r="B18" s="28"/>
      <c r="C18" s="28"/>
      <c r="D18" s="28"/>
      <c r="E18" s="28"/>
      <c r="F18" s="28"/>
      <c r="G18" s="48" t="str">
        <f aca="false">IF('Daily Tracker'!I18="","",'Daily Tracker'!I18)</f>
        <v/>
      </c>
      <c r="H18" s="37" t="str">
        <f aca="false">IF(B18="","",B18/CalorieGoal)</f>
        <v/>
      </c>
      <c r="I18" s="37" t="str">
        <f aca="false">IF(C18="","",C18/ProteinGoal)</f>
        <v/>
      </c>
      <c r="J18" s="37" t="str">
        <f aca="false">IF(D18="","",D18/CarbGoal)</f>
        <v/>
      </c>
      <c r="K18" s="37" t="str">
        <f aca="false">IF(E18="","",E18/FatGoal)</f>
        <v/>
      </c>
      <c r="L18" s="37" t="str">
        <f aca="false">IF(F18="","",F18/FiberGoal)</f>
        <v/>
      </c>
      <c r="M18" s="37" t="str">
        <f aca="false">IF(G18="","",G18/WaterGoal)</f>
        <v/>
      </c>
    </row>
    <row r="19" customFormat="false" ht="15" hidden="false" customHeight="false" outlineLevel="0" collapsed="false">
      <c r="A19" s="26" t="n">
        <f aca="false">'Daily Tracker'!A19</f>
        <v>46037</v>
      </c>
      <c r="B19" s="28"/>
      <c r="C19" s="28"/>
      <c r="D19" s="28"/>
      <c r="E19" s="28"/>
      <c r="F19" s="28"/>
      <c r="G19" s="47" t="str">
        <f aca="false">IF('Daily Tracker'!I19="","",'Daily Tracker'!I19)</f>
        <v/>
      </c>
      <c r="H19" s="33" t="str">
        <f aca="false">IF(B19="","",B19/CalorieGoal)</f>
        <v/>
      </c>
      <c r="I19" s="33" t="str">
        <f aca="false">IF(C19="","",C19/ProteinGoal)</f>
        <v/>
      </c>
      <c r="J19" s="33" t="str">
        <f aca="false">IF(D19="","",D19/CarbGoal)</f>
        <v/>
      </c>
      <c r="K19" s="33" t="str">
        <f aca="false">IF(E19="","",E19/FatGoal)</f>
        <v/>
      </c>
      <c r="L19" s="33" t="str">
        <f aca="false">IF(F19="","",F19/FiberGoal)</f>
        <v/>
      </c>
      <c r="M19" s="33" t="str">
        <f aca="false">IF(G19="","",G19/WaterGoal)</f>
        <v/>
      </c>
    </row>
    <row r="20" customFormat="false" ht="15" hidden="false" customHeight="false" outlineLevel="0" collapsed="false">
      <c r="A20" s="35" t="n">
        <f aca="false">'Daily Tracker'!A20</f>
        <v>46038</v>
      </c>
      <c r="B20" s="28"/>
      <c r="C20" s="28"/>
      <c r="D20" s="28"/>
      <c r="E20" s="28"/>
      <c r="F20" s="28"/>
      <c r="G20" s="48" t="str">
        <f aca="false">IF('Daily Tracker'!I20="","",'Daily Tracker'!I20)</f>
        <v/>
      </c>
      <c r="H20" s="37" t="str">
        <f aca="false">IF(B20="","",B20/CalorieGoal)</f>
        <v/>
      </c>
      <c r="I20" s="37" t="str">
        <f aca="false">IF(C20="","",C20/ProteinGoal)</f>
        <v/>
      </c>
      <c r="J20" s="37" t="str">
        <f aca="false">IF(D20="","",D20/CarbGoal)</f>
        <v/>
      </c>
      <c r="K20" s="37" t="str">
        <f aca="false">IF(E20="","",E20/FatGoal)</f>
        <v/>
      </c>
      <c r="L20" s="37" t="str">
        <f aca="false">IF(F20="","",F20/FiberGoal)</f>
        <v/>
      </c>
      <c r="M20" s="37" t="str">
        <f aca="false">IF(G20="","",G20/WaterGoal)</f>
        <v/>
      </c>
    </row>
    <row r="21" customFormat="false" ht="15" hidden="false" customHeight="false" outlineLevel="0" collapsed="false">
      <c r="A21" s="26" t="n">
        <f aca="false">'Daily Tracker'!A21</f>
        <v>46039</v>
      </c>
      <c r="B21" s="28"/>
      <c r="C21" s="28"/>
      <c r="D21" s="28"/>
      <c r="E21" s="28"/>
      <c r="F21" s="28"/>
      <c r="G21" s="47" t="str">
        <f aca="false">IF('Daily Tracker'!I21="","",'Daily Tracker'!I21)</f>
        <v/>
      </c>
      <c r="H21" s="33" t="str">
        <f aca="false">IF(B21="","",B21/CalorieGoal)</f>
        <v/>
      </c>
      <c r="I21" s="33" t="str">
        <f aca="false">IF(C21="","",C21/ProteinGoal)</f>
        <v/>
      </c>
      <c r="J21" s="33" t="str">
        <f aca="false">IF(D21="","",D21/CarbGoal)</f>
        <v/>
      </c>
      <c r="K21" s="33" t="str">
        <f aca="false">IF(E21="","",E21/FatGoal)</f>
        <v/>
      </c>
      <c r="L21" s="33" t="str">
        <f aca="false">IF(F21="","",F21/FiberGoal)</f>
        <v/>
      </c>
      <c r="M21" s="33" t="str">
        <f aca="false">IF(G21="","",G21/WaterGoal)</f>
        <v/>
      </c>
    </row>
    <row r="22" customFormat="false" ht="15" hidden="false" customHeight="false" outlineLevel="0" collapsed="false">
      <c r="A22" s="35" t="n">
        <f aca="false">'Daily Tracker'!A22</f>
        <v>46040</v>
      </c>
      <c r="B22" s="28"/>
      <c r="C22" s="28"/>
      <c r="D22" s="28"/>
      <c r="E22" s="28"/>
      <c r="F22" s="28"/>
      <c r="G22" s="48" t="str">
        <f aca="false">IF('Daily Tracker'!I22="","",'Daily Tracker'!I22)</f>
        <v/>
      </c>
      <c r="H22" s="37" t="str">
        <f aca="false">IF(B22="","",B22/CalorieGoal)</f>
        <v/>
      </c>
      <c r="I22" s="37" t="str">
        <f aca="false">IF(C22="","",C22/ProteinGoal)</f>
        <v/>
      </c>
      <c r="J22" s="37" t="str">
        <f aca="false">IF(D22="","",D22/CarbGoal)</f>
        <v/>
      </c>
      <c r="K22" s="37" t="str">
        <f aca="false">IF(E22="","",E22/FatGoal)</f>
        <v/>
      </c>
      <c r="L22" s="37" t="str">
        <f aca="false">IF(F22="","",F22/FiberGoal)</f>
        <v/>
      </c>
      <c r="M22" s="37" t="str">
        <f aca="false">IF(G22="","",G22/WaterGoal)</f>
        <v/>
      </c>
    </row>
    <row r="23" customFormat="false" ht="15" hidden="false" customHeight="false" outlineLevel="0" collapsed="false">
      <c r="A23" s="26" t="n">
        <f aca="false">'Daily Tracker'!A23</f>
        <v>46041</v>
      </c>
      <c r="B23" s="28"/>
      <c r="C23" s="28"/>
      <c r="D23" s="28"/>
      <c r="E23" s="28"/>
      <c r="F23" s="28"/>
      <c r="G23" s="47" t="str">
        <f aca="false">IF('Daily Tracker'!I23="","",'Daily Tracker'!I23)</f>
        <v/>
      </c>
      <c r="H23" s="33" t="str">
        <f aca="false">IF(B23="","",B23/CalorieGoal)</f>
        <v/>
      </c>
      <c r="I23" s="33" t="str">
        <f aca="false">IF(C23="","",C23/ProteinGoal)</f>
        <v/>
      </c>
      <c r="J23" s="33" t="str">
        <f aca="false">IF(D23="","",D23/CarbGoal)</f>
        <v/>
      </c>
      <c r="K23" s="33" t="str">
        <f aca="false">IF(E23="","",E23/FatGoal)</f>
        <v/>
      </c>
      <c r="L23" s="33" t="str">
        <f aca="false">IF(F23="","",F23/FiberGoal)</f>
        <v/>
      </c>
      <c r="M23" s="33" t="str">
        <f aca="false">IF(G23="","",G23/WaterGoal)</f>
        <v/>
      </c>
    </row>
    <row r="24" customFormat="false" ht="15" hidden="false" customHeight="false" outlineLevel="0" collapsed="false">
      <c r="A24" s="35" t="n">
        <f aca="false">'Daily Tracker'!A24</f>
        <v>46042</v>
      </c>
      <c r="B24" s="28"/>
      <c r="C24" s="28"/>
      <c r="D24" s="28"/>
      <c r="E24" s="28"/>
      <c r="F24" s="28"/>
      <c r="G24" s="48" t="str">
        <f aca="false">IF('Daily Tracker'!I24="","",'Daily Tracker'!I24)</f>
        <v/>
      </c>
      <c r="H24" s="37" t="str">
        <f aca="false">IF(B24="","",B24/CalorieGoal)</f>
        <v/>
      </c>
      <c r="I24" s="37" t="str">
        <f aca="false">IF(C24="","",C24/ProteinGoal)</f>
        <v/>
      </c>
      <c r="J24" s="37" t="str">
        <f aca="false">IF(D24="","",D24/CarbGoal)</f>
        <v/>
      </c>
      <c r="K24" s="37" t="str">
        <f aca="false">IF(E24="","",E24/FatGoal)</f>
        <v/>
      </c>
      <c r="L24" s="37" t="str">
        <f aca="false">IF(F24="","",F24/FiberGoal)</f>
        <v/>
      </c>
      <c r="M24" s="37" t="str">
        <f aca="false">IF(G24="","",G24/WaterGoal)</f>
        <v/>
      </c>
    </row>
    <row r="25" customFormat="false" ht="15" hidden="false" customHeight="false" outlineLevel="0" collapsed="false">
      <c r="A25" s="26" t="n">
        <f aca="false">'Daily Tracker'!A25</f>
        <v>46043</v>
      </c>
      <c r="B25" s="28"/>
      <c r="C25" s="28"/>
      <c r="D25" s="28"/>
      <c r="E25" s="28"/>
      <c r="F25" s="28"/>
      <c r="G25" s="47" t="str">
        <f aca="false">IF('Daily Tracker'!I25="","",'Daily Tracker'!I25)</f>
        <v/>
      </c>
      <c r="H25" s="33" t="str">
        <f aca="false">IF(B25="","",B25/CalorieGoal)</f>
        <v/>
      </c>
      <c r="I25" s="33" t="str">
        <f aca="false">IF(C25="","",C25/ProteinGoal)</f>
        <v/>
      </c>
      <c r="J25" s="33" t="str">
        <f aca="false">IF(D25="","",D25/CarbGoal)</f>
        <v/>
      </c>
      <c r="K25" s="33" t="str">
        <f aca="false">IF(E25="","",E25/FatGoal)</f>
        <v/>
      </c>
      <c r="L25" s="33" t="str">
        <f aca="false">IF(F25="","",F25/FiberGoal)</f>
        <v/>
      </c>
      <c r="M25" s="33" t="str">
        <f aca="false">IF(G25="","",G25/WaterGoal)</f>
        <v/>
      </c>
    </row>
    <row r="26" customFormat="false" ht="15" hidden="false" customHeight="false" outlineLevel="0" collapsed="false">
      <c r="A26" s="35" t="n">
        <f aca="false">'Daily Tracker'!A26</f>
        <v>46044</v>
      </c>
      <c r="B26" s="28"/>
      <c r="C26" s="28"/>
      <c r="D26" s="28"/>
      <c r="E26" s="28"/>
      <c r="F26" s="28"/>
      <c r="G26" s="48" t="str">
        <f aca="false">IF('Daily Tracker'!I26="","",'Daily Tracker'!I26)</f>
        <v/>
      </c>
      <c r="H26" s="37" t="str">
        <f aca="false">IF(B26="","",B26/CalorieGoal)</f>
        <v/>
      </c>
      <c r="I26" s="37" t="str">
        <f aca="false">IF(C26="","",C26/ProteinGoal)</f>
        <v/>
      </c>
      <c r="J26" s="37" t="str">
        <f aca="false">IF(D26="","",D26/CarbGoal)</f>
        <v/>
      </c>
      <c r="K26" s="37" t="str">
        <f aca="false">IF(E26="","",E26/FatGoal)</f>
        <v/>
      </c>
      <c r="L26" s="37" t="str">
        <f aca="false">IF(F26="","",F26/FiberGoal)</f>
        <v/>
      </c>
      <c r="M26" s="37" t="str">
        <f aca="false">IF(G26="","",G26/WaterGoal)</f>
        <v/>
      </c>
    </row>
    <row r="27" customFormat="false" ht="15" hidden="false" customHeight="false" outlineLevel="0" collapsed="false">
      <c r="A27" s="26" t="n">
        <f aca="false">'Daily Tracker'!A27</f>
        <v>46045</v>
      </c>
      <c r="B27" s="28"/>
      <c r="C27" s="28"/>
      <c r="D27" s="28"/>
      <c r="E27" s="28"/>
      <c r="F27" s="28"/>
      <c r="G27" s="47" t="str">
        <f aca="false">IF('Daily Tracker'!I27="","",'Daily Tracker'!I27)</f>
        <v/>
      </c>
      <c r="H27" s="33" t="str">
        <f aca="false">IF(B27="","",B27/CalorieGoal)</f>
        <v/>
      </c>
      <c r="I27" s="33" t="str">
        <f aca="false">IF(C27="","",C27/ProteinGoal)</f>
        <v/>
      </c>
      <c r="J27" s="33" t="str">
        <f aca="false">IF(D27="","",D27/CarbGoal)</f>
        <v/>
      </c>
      <c r="K27" s="33" t="str">
        <f aca="false">IF(E27="","",E27/FatGoal)</f>
        <v/>
      </c>
      <c r="L27" s="33" t="str">
        <f aca="false">IF(F27="","",F27/FiberGoal)</f>
        <v/>
      </c>
      <c r="M27" s="33" t="str">
        <f aca="false">IF(G27="","",G27/WaterGoal)</f>
        <v/>
      </c>
    </row>
    <row r="28" customFormat="false" ht="15" hidden="false" customHeight="false" outlineLevel="0" collapsed="false">
      <c r="A28" s="35" t="n">
        <f aca="false">'Daily Tracker'!A28</f>
        <v>46046</v>
      </c>
      <c r="B28" s="28"/>
      <c r="C28" s="28"/>
      <c r="D28" s="28"/>
      <c r="E28" s="28"/>
      <c r="F28" s="28"/>
      <c r="G28" s="48" t="str">
        <f aca="false">IF('Daily Tracker'!I28="","",'Daily Tracker'!I28)</f>
        <v/>
      </c>
      <c r="H28" s="37" t="str">
        <f aca="false">IF(B28="","",B28/CalorieGoal)</f>
        <v/>
      </c>
      <c r="I28" s="37" t="str">
        <f aca="false">IF(C28="","",C28/ProteinGoal)</f>
        <v/>
      </c>
      <c r="J28" s="37" t="str">
        <f aca="false">IF(D28="","",D28/CarbGoal)</f>
        <v/>
      </c>
      <c r="K28" s="37" t="str">
        <f aca="false">IF(E28="","",E28/FatGoal)</f>
        <v/>
      </c>
      <c r="L28" s="37" t="str">
        <f aca="false">IF(F28="","",F28/FiberGoal)</f>
        <v/>
      </c>
      <c r="M28" s="37" t="str">
        <f aca="false">IF(G28="","",G28/WaterGoal)</f>
        <v/>
      </c>
    </row>
    <row r="29" customFormat="false" ht="15" hidden="false" customHeight="false" outlineLevel="0" collapsed="false">
      <c r="A29" s="26" t="n">
        <f aca="false">'Daily Tracker'!A29</f>
        <v>46047</v>
      </c>
      <c r="B29" s="28"/>
      <c r="C29" s="28"/>
      <c r="D29" s="28"/>
      <c r="E29" s="28"/>
      <c r="F29" s="28"/>
      <c r="G29" s="47" t="str">
        <f aca="false">IF('Daily Tracker'!I29="","",'Daily Tracker'!I29)</f>
        <v/>
      </c>
      <c r="H29" s="33" t="str">
        <f aca="false">IF(B29="","",B29/CalorieGoal)</f>
        <v/>
      </c>
      <c r="I29" s="33" t="str">
        <f aca="false">IF(C29="","",C29/ProteinGoal)</f>
        <v/>
      </c>
      <c r="J29" s="33" t="str">
        <f aca="false">IF(D29="","",D29/CarbGoal)</f>
        <v/>
      </c>
      <c r="K29" s="33" t="str">
        <f aca="false">IF(E29="","",E29/FatGoal)</f>
        <v/>
      </c>
      <c r="L29" s="33" t="str">
        <f aca="false">IF(F29="","",F29/FiberGoal)</f>
        <v/>
      </c>
      <c r="M29" s="33" t="str">
        <f aca="false">IF(G29="","",G29/WaterGoal)</f>
        <v/>
      </c>
    </row>
    <row r="30" customFormat="false" ht="15" hidden="false" customHeight="false" outlineLevel="0" collapsed="false">
      <c r="A30" s="35" t="n">
        <f aca="false">'Daily Tracker'!A30</f>
        <v>46048</v>
      </c>
      <c r="B30" s="28"/>
      <c r="C30" s="28"/>
      <c r="D30" s="28"/>
      <c r="E30" s="28"/>
      <c r="F30" s="28"/>
      <c r="G30" s="48" t="str">
        <f aca="false">IF('Daily Tracker'!I30="","",'Daily Tracker'!I30)</f>
        <v/>
      </c>
      <c r="H30" s="37" t="str">
        <f aca="false">IF(B30="","",B30/CalorieGoal)</f>
        <v/>
      </c>
      <c r="I30" s="37" t="str">
        <f aca="false">IF(C30="","",C30/ProteinGoal)</f>
        <v/>
      </c>
      <c r="J30" s="37" t="str">
        <f aca="false">IF(D30="","",D30/CarbGoal)</f>
        <v/>
      </c>
      <c r="K30" s="37" t="str">
        <f aca="false">IF(E30="","",E30/FatGoal)</f>
        <v/>
      </c>
      <c r="L30" s="37" t="str">
        <f aca="false">IF(F30="","",F30/FiberGoal)</f>
        <v/>
      </c>
      <c r="M30" s="37" t="str">
        <f aca="false">IF(G30="","",G30/WaterGoal)</f>
        <v/>
      </c>
    </row>
    <row r="31" customFormat="false" ht="15" hidden="false" customHeight="false" outlineLevel="0" collapsed="false">
      <c r="A31" s="26" t="n">
        <f aca="false">'Daily Tracker'!A31</f>
        <v>46049</v>
      </c>
      <c r="B31" s="28"/>
      <c r="C31" s="28"/>
      <c r="D31" s="28"/>
      <c r="E31" s="28"/>
      <c r="F31" s="28"/>
      <c r="G31" s="47" t="str">
        <f aca="false">IF('Daily Tracker'!I31="","",'Daily Tracker'!I31)</f>
        <v/>
      </c>
      <c r="H31" s="33" t="str">
        <f aca="false">IF(B31="","",B31/CalorieGoal)</f>
        <v/>
      </c>
      <c r="I31" s="33" t="str">
        <f aca="false">IF(C31="","",C31/ProteinGoal)</f>
        <v/>
      </c>
      <c r="J31" s="33" t="str">
        <f aca="false">IF(D31="","",D31/CarbGoal)</f>
        <v/>
      </c>
      <c r="K31" s="33" t="str">
        <f aca="false">IF(E31="","",E31/FatGoal)</f>
        <v/>
      </c>
      <c r="L31" s="33" t="str">
        <f aca="false">IF(F31="","",F31/FiberGoal)</f>
        <v/>
      </c>
      <c r="M31" s="33" t="str">
        <f aca="false">IF(G31="","",G31/WaterGoal)</f>
        <v/>
      </c>
    </row>
    <row r="32" customFormat="false" ht="15" hidden="false" customHeight="false" outlineLevel="0" collapsed="false">
      <c r="A32" s="35" t="n">
        <f aca="false">'Daily Tracker'!A32</f>
        <v>46050</v>
      </c>
      <c r="B32" s="28"/>
      <c r="C32" s="28"/>
      <c r="D32" s="28"/>
      <c r="E32" s="28"/>
      <c r="F32" s="28"/>
      <c r="G32" s="48" t="str">
        <f aca="false">IF('Daily Tracker'!I32="","",'Daily Tracker'!I32)</f>
        <v/>
      </c>
      <c r="H32" s="37" t="str">
        <f aca="false">IF(B32="","",B32/CalorieGoal)</f>
        <v/>
      </c>
      <c r="I32" s="37" t="str">
        <f aca="false">IF(C32="","",C32/ProteinGoal)</f>
        <v/>
      </c>
      <c r="J32" s="37" t="str">
        <f aca="false">IF(D32="","",D32/CarbGoal)</f>
        <v/>
      </c>
      <c r="K32" s="37" t="str">
        <f aca="false">IF(E32="","",E32/FatGoal)</f>
        <v/>
      </c>
      <c r="L32" s="37" t="str">
        <f aca="false">IF(F32="","",F32/FiberGoal)</f>
        <v/>
      </c>
      <c r="M32" s="37" t="str">
        <f aca="false">IF(G32="","",G32/WaterGoal)</f>
        <v/>
      </c>
    </row>
    <row r="33" customFormat="false" ht="15" hidden="false" customHeight="false" outlineLevel="0" collapsed="false">
      <c r="A33" s="26" t="n">
        <f aca="false">'Daily Tracker'!A33</f>
        <v>46051</v>
      </c>
      <c r="B33" s="28"/>
      <c r="C33" s="28"/>
      <c r="D33" s="28"/>
      <c r="E33" s="28"/>
      <c r="F33" s="28"/>
      <c r="G33" s="47" t="str">
        <f aca="false">IF('Daily Tracker'!I33="","",'Daily Tracker'!I33)</f>
        <v/>
      </c>
      <c r="H33" s="33" t="str">
        <f aca="false">IF(B33="","",B33/CalorieGoal)</f>
        <v/>
      </c>
      <c r="I33" s="33" t="str">
        <f aca="false">IF(C33="","",C33/ProteinGoal)</f>
        <v/>
      </c>
      <c r="J33" s="33" t="str">
        <f aca="false">IF(D33="","",D33/CarbGoal)</f>
        <v/>
      </c>
      <c r="K33" s="33" t="str">
        <f aca="false">IF(E33="","",E33/FatGoal)</f>
        <v/>
      </c>
      <c r="L33" s="33" t="str">
        <f aca="false">IF(F33="","",F33/FiberGoal)</f>
        <v/>
      </c>
      <c r="M33" s="33" t="str">
        <f aca="false">IF(G33="","",G33/WaterGoal)</f>
        <v/>
      </c>
    </row>
    <row r="34" customFormat="false" ht="15" hidden="false" customHeight="false" outlineLevel="0" collapsed="false">
      <c r="A34" s="35" t="n">
        <f aca="false">'Daily Tracker'!A34</f>
        <v>46052</v>
      </c>
      <c r="B34" s="28"/>
      <c r="C34" s="28"/>
      <c r="D34" s="28"/>
      <c r="E34" s="28"/>
      <c r="F34" s="28"/>
      <c r="G34" s="48" t="str">
        <f aca="false">IF('Daily Tracker'!I34="","",'Daily Tracker'!I34)</f>
        <v/>
      </c>
      <c r="H34" s="37" t="str">
        <f aca="false">IF(B34="","",B34/CalorieGoal)</f>
        <v/>
      </c>
      <c r="I34" s="37" t="str">
        <f aca="false">IF(C34="","",C34/ProteinGoal)</f>
        <v/>
      </c>
      <c r="J34" s="37" t="str">
        <f aca="false">IF(D34="","",D34/CarbGoal)</f>
        <v/>
      </c>
      <c r="K34" s="37" t="str">
        <f aca="false">IF(E34="","",E34/FatGoal)</f>
        <v/>
      </c>
      <c r="L34" s="37" t="str">
        <f aca="false">IF(F34="","",F34/FiberGoal)</f>
        <v/>
      </c>
      <c r="M34" s="37" t="str">
        <f aca="false">IF(G34="","",G34/WaterGoal)</f>
        <v/>
      </c>
    </row>
    <row r="35" customFormat="false" ht="15" hidden="false" customHeight="false" outlineLevel="0" collapsed="false">
      <c r="A35" s="26" t="n">
        <f aca="false">'Daily Tracker'!A35</f>
        <v>46053</v>
      </c>
      <c r="B35" s="28"/>
      <c r="C35" s="28"/>
      <c r="D35" s="28"/>
      <c r="E35" s="28"/>
      <c r="F35" s="28"/>
      <c r="G35" s="47" t="str">
        <f aca="false">IF('Daily Tracker'!I35="","",'Daily Tracker'!I35)</f>
        <v/>
      </c>
      <c r="H35" s="33" t="str">
        <f aca="false">IF(B35="","",B35/CalorieGoal)</f>
        <v/>
      </c>
      <c r="I35" s="33" t="str">
        <f aca="false">IF(C35="","",C35/ProteinGoal)</f>
        <v/>
      </c>
      <c r="J35" s="33" t="str">
        <f aca="false">IF(D35="","",D35/CarbGoal)</f>
        <v/>
      </c>
      <c r="K35" s="33" t="str">
        <f aca="false">IF(E35="","",E35/FatGoal)</f>
        <v/>
      </c>
      <c r="L35" s="33" t="str">
        <f aca="false">IF(F35="","",F35/FiberGoal)</f>
        <v/>
      </c>
      <c r="M35" s="33" t="str">
        <f aca="false">IF(G35="","",G35/WaterGoal)</f>
        <v/>
      </c>
    </row>
    <row r="36" customFormat="false" ht="15" hidden="false" customHeight="false" outlineLevel="0" collapsed="false">
      <c r="A36" s="35" t="n">
        <f aca="false">'Daily Tracker'!A36</f>
        <v>46054</v>
      </c>
      <c r="B36" s="28"/>
      <c r="C36" s="28"/>
      <c r="D36" s="28"/>
      <c r="E36" s="28"/>
      <c r="F36" s="28"/>
      <c r="G36" s="48" t="str">
        <f aca="false">IF('Daily Tracker'!I36="","",'Daily Tracker'!I36)</f>
        <v/>
      </c>
      <c r="H36" s="37" t="str">
        <f aca="false">IF(B36="","",B36/CalorieGoal)</f>
        <v/>
      </c>
      <c r="I36" s="37" t="str">
        <f aca="false">IF(C36="","",C36/ProteinGoal)</f>
        <v/>
      </c>
      <c r="J36" s="37" t="str">
        <f aca="false">IF(D36="","",D36/CarbGoal)</f>
        <v/>
      </c>
      <c r="K36" s="37" t="str">
        <f aca="false">IF(E36="","",E36/FatGoal)</f>
        <v/>
      </c>
      <c r="L36" s="37" t="str">
        <f aca="false">IF(F36="","",F36/FiberGoal)</f>
        <v/>
      </c>
      <c r="M36" s="37" t="str">
        <f aca="false">IF(G36="","",G36/WaterGoal)</f>
        <v/>
      </c>
    </row>
    <row r="37" customFormat="false" ht="15" hidden="false" customHeight="false" outlineLevel="0" collapsed="false">
      <c r="A37" s="26" t="n">
        <f aca="false">'Daily Tracker'!A37</f>
        <v>46055</v>
      </c>
      <c r="B37" s="28"/>
      <c r="C37" s="28"/>
      <c r="D37" s="28"/>
      <c r="E37" s="28"/>
      <c r="F37" s="28"/>
      <c r="G37" s="47" t="str">
        <f aca="false">IF('Daily Tracker'!I37="","",'Daily Tracker'!I37)</f>
        <v/>
      </c>
      <c r="H37" s="33" t="str">
        <f aca="false">IF(B37="","",B37/CalorieGoal)</f>
        <v/>
      </c>
      <c r="I37" s="33" t="str">
        <f aca="false">IF(C37="","",C37/ProteinGoal)</f>
        <v/>
      </c>
      <c r="J37" s="33" t="str">
        <f aca="false">IF(D37="","",D37/CarbGoal)</f>
        <v/>
      </c>
      <c r="K37" s="33" t="str">
        <f aca="false">IF(E37="","",E37/FatGoal)</f>
        <v/>
      </c>
      <c r="L37" s="33" t="str">
        <f aca="false">IF(F37="","",F37/FiberGoal)</f>
        <v/>
      </c>
      <c r="M37" s="33" t="str">
        <f aca="false">IF(G37="","",G37/WaterGoal)</f>
        <v/>
      </c>
    </row>
    <row r="38" customFormat="false" ht="15" hidden="false" customHeight="false" outlineLevel="0" collapsed="false">
      <c r="A38" s="35" t="n">
        <f aca="false">'Daily Tracker'!A38</f>
        <v>46056</v>
      </c>
      <c r="B38" s="28"/>
      <c r="C38" s="28"/>
      <c r="D38" s="28"/>
      <c r="E38" s="28"/>
      <c r="F38" s="28"/>
      <c r="G38" s="48" t="str">
        <f aca="false">IF('Daily Tracker'!I38="","",'Daily Tracker'!I38)</f>
        <v/>
      </c>
      <c r="H38" s="37" t="str">
        <f aca="false">IF(B38="","",B38/CalorieGoal)</f>
        <v/>
      </c>
      <c r="I38" s="37" t="str">
        <f aca="false">IF(C38="","",C38/ProteinGoal)</f>
        <v/>
      </c>
      <c r="J38" s="37" t="str">
        <f aca="false">IF(D38="","",D38/CarbGoal)</f>
        <v/>
      </c>
      <c r="K38" s="37" t="str">
        <f aca="false">IF(E38="","",E38/FatGoal)</f>
        <v/>
      </c>
      <c r="L38" s="37" t="str">
        <f aca="false">IF(F38="","",F38/FiberGoal)</f>
        <v/>
      </c>
      <c r="M38" s="37" t="str">
        <f aca="false">IF(G38="","",G38/WaterGoal)</f>
        <v/>
      </c>
    </row>
    <row r="39" customFormat="false" ht="15" hidden="false" customHeight="false" outlineLevel="0" collapsed="false">
      <c r="A39" s="26" t="n">
        <f aca="false">'Daily Tracker'!A39</f>
        <v>46057</v>
      </c>
      <c r="B39" s="28"/>
      <c r="C39" s="28"/>
      <c r="D39" s="28"/>
      <c r="E39" s="28"/>
      <c r="F39" s="28"/>
      <c r="G39" s="47" t="str">
        <f aca="false">IF('Daily Tracker'!I39="","",'Daily Tracker'!I39)</f>
        <v/>
      </c>
      <c r="H39" s="33" t="str">
        <f aca="false">IF(B39="","",B39/CalorieGoal)</f>
        <v/>
      </c>
      <c r="I39" s="33" t="str">
        <f aca="false">IF(C39="","",C39/ProteinGoal)</f>
        <v/>
      </c>
      <c r="J39" s="33" t="str">
        <f aca="false">IF(D39="","",D39/CarbGoal)</f>
        <v/>
      </c>
      <c r="K39" s="33" t="str">
        <f aca="false">IF(E39="","",E39/FatGoal)</f>
        <v/>
      </c>
      <c r="L39" s="33" t="str">
        <f aca="false">IF(F39="","",F39/FiberGoal)</f>
        <v/>
      </c>
      <c r="M39" s="33" t="str">
        <f aca="false">IF(G39="","",G39/WaterGoal)</f>
        <v/>
      </c>
    </row>
    <row r="40" customFormat="false" ht="15" hidden="false" customHeight="false" outlineLevel="0" collapsed="false">
      <c r="A40" s="35" t="n">
        <f aca="false">'Daily Tracker'!A40</f>
        <v>46058</v>
      </c>
      <c r="B40" s="28"/>
      <c r="C40" s="28"/>
      <c r="D40" s="28"/>
      <c r="E40" s="28"/>
      <c r="F40" s="28"/>
      <c r="G40" s="48" t="str">
        <f aca="false">IF('Daily Tracker'!I40="","",'Daily Tracker'!I40)</f>
        <v/>
      </c>
      <c r="H40" s="37" t="str">
        <f aca="false">IF(B40="","",B40/CalorieGoal)</f>
        <v/>
      </c>
      <c r="I40" s="37" t="str">
        <f aca="false">IF(C40="","",C40/ProteinGoal)</f>
        <v/>
      </c>
      <c r="J40" s="37" t="str">
        <f aca="false">IF(D40="","",D40/CarbGoal)</f>
        <v/>
      </c>
      <c r="K40" s="37" t="str">
        <f aca="false">IF(E40="","",E40/FatGoal)</f>
        <v/>
      </c>
      <c r="L40" s="37" t="str">
        <f aca="false">IF(F40="","",F40/FiberGoal)</f>
        <v/>
      </c>
      <c r="M40" s="37" t="str">
        <f aca="false">IF(G40="","",G40/WaterGoal)</f>
        <v/>
      </c>
    </row>
    <row r="41" customFormat="false" ht="15" hidden="false" customHeight="false" outlineLevel="0" collapsed="false">
      <c r="A41" s="26" t="n">
        <f aca="false">'Daily Tracker'!A41</f>
        <v>46059</v>
      </c>
      <c r="B41" s="28"/>
      <c r="C41" s="28"/>
      <c r="D41" s="28"/>
      <c r="E41" s="28"/>
      <c r="F41" s="28"/>
      <c r="G41" s="47" t="str">
        <f aca="false">IF('Daily Tracker'!I41="","",'Daily Tracker'!I41)</f>
        <v/>
      </c>
      <c r="H41" s="33" t="str">
        <f aca="false">IF(B41="","",B41/CalorieGoal)</f>
        <v/>
      </c>
      <c r="I41" s="33" t="str">
        <f aca="false">IF(C41="","",C41/ProteinGoal)</f>
        <v/>
      </c>
      <c r="J41" s="33" t="str">
        <f aca="false">IF(D41="","",D41/CarbGoal)</f>
        <v/>
      </c>
      <c r="K41" s="33" t="str">
        <f aca="false">IF(E41="","",E41/FatGoal)</f>
        <v/>
      </c>
      <c r="L41" s="33" t="str">
        <f aca="false">IF(F41="","",F41/FiberGoal)</f>
        <v/>
      </c>
      <c r="M41" s="33" t="str">
        <f aca="false">IF(G41="","",G41/WaterGoal)</f>
        <v/>
      </c>
    </row>
    <row r="42" customFormat="false" ht="15" hidden="false" customHeight="false" outlineLevel="0" collapsed="false">
      <c r="A42" s="35" t="n">
        <f aca="false">'Daily Tracker'!A42</f>
        <v>46060</v>
      </c>
      <c r="B42" s="28"/>
      <c r="C42" s="28"/>
      <c r="D42" s="28"/>
      <c r="E42" s="28"/>
      <c r="F42" s="28"/>
      <c r="G42" s="48" t="str">
        <f aca="false">IF('Daily Tracker'!I42="","",'Daily Tracker'!I42)</f>
        <v/>
      </c>
      <c r="H42" s="37" t="str">
        <f aca="false">IF(B42="","",B42/CalorieGoal)</f>
        <v/>
      </c>
      <c r="I42" s="37" t="str">
        <f aca="false">IF(C42="","",C42/ProteinGoal)</f>
        <v/>
      </c>
      <c r="J42" s="37" t="str">
        <f aca="false">IF(D42="","",D42/CarbGoal)</f>
        <v/>
      </c>
      <c r="K42" s="37" t="str">
        <f aca="false">IF(E42="","",E42/FatGoal)</f>
        <v/>
      </c>
      <c r="L42" s="37" t="str">
        <f aca="false">IF(F42="","",F42/FiberGoal)</f>
        <v/>
      </c>
      <c r="M42" s="37" t="str">
        <f aca="false">IF(G42="","",G42/WaterGoal)</f>
        <v/>
      </c>
    </row>
    <row r="43" customFormat="false" ht="15" hidden="false" customHeight="false" outlineLevel="0" collapsed="false">
      <c r="A43" s="26" t="n">
        <f aca="false">'Daily Tracker'!A43</f>
        <v>46061</v>
      </c>
      <c r="B43" s="28"/>
      <c r="C43" s="28"/>
      <c r="D43" s="28"/>
      <c r="E43" s="28"/>
      <c r="F43" s="28"/>
      <c r="G43" s="47" t="str">
        <f aca="false">IF('Daily Tracker'!I43="","",'Daily Tracker'!I43)</f>
        <v/>
      </c>
      <c r="H43" s="33" t="str">
        <f aca="false">IF(B43="","",B43/CalorieGoal)</f>
        <v/>
      </c>
      <c r="I43" s="33" t="str">
        <f aca="false">IF(C43="","",C43/ProteinGoal)</f>
        <v/>
      </c>
      <c r="J43" s="33" t="str">
        <f aca="false">IF(D43="","",D43/CarbGoal)</f>
        <v/>
      </c>
      <c r="K43" s="33" t="str">
        <f aca="false">IF(E43="","",E43/FatGoal)</f>
        <v/>
      </c>
      <c r="L43" s="33" t="str">
        <f aca="false">IF(F43="","",F43/FiberGoal)</f>
        <v/>
      </c>
      <c r="M43" s="33" t="str">
        <f aca="false">IF(G43="","",G43/WaterGoal)</f>
        <v/>
      </c>
    </row>
    <row r="44" customFormat="false" ht="15" hidden="false" customHeight="false" outlineLevel="0" collapsed="false">
      <c r="A44" s="35" t="n">
        <f aca="false">'Daily Tracker'!A44</f>
        <v>46062</v>
      </c>
      <c r="B44" s="28"/>
      <c r="C44" s="28"/>
      <c r="D44" s="28"/>
      <c r="E44" s="28"/>
      <c r="F44" s="28"/>
      <c r="G44" s="48" t="str">
        <f aca="false">IF('Daily Tracker'!I44="","",'Daily Tracker'!I44)</f>
        <v/>
      </c>
      <c r="H44" s="37" t="str">
        <f aca="false">IF(B44="","",B44/CalorieGoal)</f>
        <v/>
      </c>
      <c r="I44" s="37" t="str">
        <f aca="false">IF(C44="","",C44/ProteinGoal)</f>
        <v/>
      </c>
      <c r="J44" s="37" t="str">
        <f aca="false">IF(D44="","",D44/CarbGoal)</f>
        <v/>
      </c>
      <c r="K44" s="37" t="str">
        <f aca="false">IF(E44="","",E44/FatGoal)</f>
        <v/>
      </c>
      <c r="L44" s="37" t="str">
        <f aca="false">IF(F44="","",F44/FiberGoal)</f>
        <v/>
      </c>
      <c r="M44" s="37" t="str">
        <f aca="false">IF(G44="","",G44/WaterGoal)</f>
        <v/>
      </c>
    </row>
    <row r="45" customFormat="false" ht="15" hidden="false" customHeight="false" outlineLevel="0" collapsed="false">
      <c r="A45" s="26" t="n">
        <f aca="false">'Daily Tracker'!A45</f>
        <v>46063</v>
      </c>
      <c r="B45" s="28"/>
      <c r="C45" s="28"/>
      <c r="D45" s="28"/>
      <c r="E45" s="28"/>
      <c r="F45" s="28"/>
      <c r="G45" s="47" t="str">
        <f aca="false">IF('Daily Tracker'!I45="","",'Daily Tracker'!I45)</f>
        <v/>
      </c>
      <c r="H45" s="33" t="str">
        <f aca="false">IF(B45="","",B45/CalorieGoal)</f>
        <v/>
      </c>
      <c r="I45" s="33" t="str">
        <f aca="false">IF(C45="","",C45/ProteinGoal)</f>
        <v/>
      </c>
      <c r="J45" s="33" t="str">
        <f aca="false">IF(D45="","",D45/CarbGoal)</f>
        <v/>
      </c>
      <c r="K45" s="33" t="str">
        <f aca="false">IF(E45="","",E45/FatGoal)</f>
        <v/>
      </c>
      <c r="L45" s="33" t="str">
        <f aca="false">IF(F45="","",F45/FiberGoal)</f>
        <v/>
      </c>
      <c r="M45" s="33" t="str">
        <f aca="false">IF(G45="","",G45/WaterGoal)</f>
        <v/>
      </c>
    </row>
    <row r="46" customFormat="false" ht="15" hidden="false" customHeight="false" outlineLevel="0" collapsed="false">
      <c r="A46" s="35" t="n">
        <f aca="false">'Daily Tracker'!A46</f>
        <v>46064</v>
      </c>
      <c r="B46" s="28"/>
      <c r="C46" s="28"/>
      <c r="D46" s="28"/>
      <c r="E46" s="28"/>
      <c r="F46" s="28"/>
      <c r="G46" s="48" t="str">
        <f aca="false">IF('Daily Tracker'!I46="","",'Daily Tracker'!I46)</f>
        <v/>
      </c>
      <c r="H46" s="37" t="str">
        <f aca="false">IF(B46="","",B46/CalorieGoal)</f>
        <v/>
      </c>
      <c r="I46" s="37" t="str">
        <f aca="false">IF(C46="","",C46/ProteinGoal)</f>
        <v/>
      </c>
      <c r="J46" s="37" t="str">
        <f aca="false">IF(D46="","",D46/CarbGoal)</f>
        <v/>
      </c>
      <c r="K46" s="37" t="str">
        <f aca="false">IF(E46="","",E46/FatGoal)</f>
        <v/>
      </c>
      <c r="L46" s="37" t="str">
        <f aca="false">IF(F46="","",F46/FiberGoal)</f>
        <v/>
      </c>
      <c r="M46" s="37" t="str">
        <f aca="false">IF(G46="","",G46/WaterGoal)</f>
        <v/>
      </c>
    </row>
    <row r="47" customFormat="false" ht="15" hidden="false" customHeight="false" outlineLevel="0" collapsed="false">
      <c r="A47" s="26" t="n">
        <f aca="false">'Daily Tracker'!A47</f>
        <v>46065</v>
      </c>
      <c r="B47" s="28"/>
      <c r="C47" s="28"/>
      <c r="D47" s="28"/>
      <c r="E47" s="28"/>
      <c r="F47" s="28"/>
      <c r="G47" s="47" t="str">
        <f aca="false">IF('Daily Tracker'!I47="","",'Daily Tracker'!I47)</f>
        <v/>
      </c>
      <c r="H47" s="33" t="str">
        <f aca="false">IF(B47="","",B47/CalorieGoal)</f>
        <v/>
      </c>
      <c r="I47" s="33" t="str">
        <f aca="false">IF(C47="","",C47/ProteinGoal)</f>
        <v/>
      </c>
      <c r="J47" s="33" t="str">
        <f aca="false">IF(D47="","",D47/CarbGoal)</f>
        <v/>
      </c>
      <c r="K47" s="33" t="str">
        <f aca="false">IF(E47="","",E47/FatGoal)</f>
        <v/>
      </c>
      <c r="L47" s="33" t="str">
        <f aca="false">IF(F47="","",F47/FiberGoal)</f>
        <v/>
      </c>
      <c r="M47" s="33" t="str">
        <f aca="false">IF(G47="","",G47/WaterGoal)</f>
        <v/>
      </c>
    </row>
    <row r="48" customFormat="false" ht="15" hidden="false" customHeight="false" outlineLevel="0" collapsed="false">
      <c r="A48" s="35" t="n">
        <f aca="false">'Daily Tracker'!A48</f>
        <v>46066</v>
      </c>
      <c r="B48" s="28"/>
      <c r="C48" s="28"/>
      <c r="D48" s="28"/>
      <c r="E48" s="28"/>
      <c r="F48" s="28"/>
      <c r="G48" s="48" t="str">
        <f aca="false">IF('Daily Tracker'!I48="","",'Daily Tracker'!I48)</f>
        <v/>
      </c>
      <c r="H48" s="37" t="str">
        <f aca="false">IF(B48="","",B48/CalorieGoal)</f>
        <v/>
      </c>
      <c r="I48" s="37" t="str">
        <f aca="false">IF(C48="","",C48/ProteinGoal)</f>
        <v/>
      </c>
      <c r="J48" s="37" t="str">
        <f aca="false">IF(D48="","",D48/CarbGoal)</f>
        <v/>
      </c>
      <c r="K48" s="37" t="str">
        <f aca="false">IF(E48="","",E48/FatGoal)</f>
        <v/>
      </c>
      <c r="L48" s="37" t="str">
        <f aca="false">IF(F48="","",F48/FiberGoal)</f>
        <v/>
      </c>
      <c r="M48" s="37" t="str">
        <f aca="false">IF(G48="","",G48/WaterGoal)</f>
        <v/>
      </c>
    </row>
    <row r="49" customFormat="false" ht="15" hidden="false" customHeight="false" outlineLevel="0" collapsed="false">
      <c r="A49" s="26" t="n">
        <f aca="false">'Daily Tracker'!A49</f>
        <v>46067</v>
      </c>
      <c r="B49" s="28"/>
      <c r="C49" s="28"/>
      <c r="D49" s="28"/>
      <c r="E49" s="28"/>
      <c r="F49" s="28"/>
      <c r="G49" s="47" t="str">
        <f aca="false">IF('Daily Tracker'!I49="","",'Daily Tracker'!I49)</f>
        <v/>
      </c>
      <c r="H49" s="33" t="str">
        <f aca="false">IF(B49="","",B49/CalorieGoal)</f>
        <v/>
      </c>
      <c r="I49" s="33" t="str">
        <f aca="false">IF(C49="","",C49/ProteinGoal)</f>
        <v/>
      </c>
      <c r="J49" s="33" t="str">
        <f aca="false">IF(D49="","",D49/CarbGoal)</f>
        <v/>
      </c>
      <c r="K49" s="33" t="str">
        <f aca="false">IF(E49="","",E49/FatGoal)</f>
        <v/>
      </c>
      <c r="L49" s="33" t="str">
        <f aca="false">IF(F49="","",F49/FiberGoal)</f>
        <v/>
      </c>
      <c r="M49" s="33" t="str">
        <f aca="false">IF(G49="","",G49/WaterGoal)</f>
        <v/>
      </c>
    </row>
    <row r="50" customFormat="false" ht="15" hidden="false" customHeight="false" outlineLevel="0" collapsed="false">
      <c r="A50" s="35" t="n">
        <f aca="false">'Daily Tracker'!A50</f>
        <v>46068</v>
      </c>
      <c r="B50" s="28"/>
      <c r="C50" s="28"/>
      <c r="D50" s="28"/>
      <c r="E50" s="28"/>
      <c r="F50" s="28"/>
      <c r="G50" s="48" t="str">
        <f aca="false">IF('Daily Tracker'!I50="","",'Daily Tracker'!I50)</f>
        <v/>
      </c>
      <c r="H50" s="37" t="str">
        <f aca="false">IF(B50="","",B50/CalorieGoal)</f>
        <v/>
      </c>
      <c r="I50" s="37" t="str">
        <f aca="false">IF(C50="","",C50/ProteinGoal)</f>
        <v/>
      </c>
      <c r="J50" s="37" t="str">
        <f aca="false">IF(D50="","",D50/CarbGoal)</f>
        <v/>
      </c>
      <c r="K50" s="37" t="str">
        <f aca="false">IF(E50="","",E50/FatGoal)</f>
        <v/>
      </c>
      <c r="L50" s="37" t="str">
        <f aca="false">IF(F50="","",F50/FiberGoal)</f>
        <v/>
      </c>
      <c r="M50" s="37" t="str">
        <f aca="false">IF(G50="","",G50/WaterGoal)</f>
        <v/>
      </c>
    </row>
    <row r="51" customFormat="false" ht="15" hidden="false" customHeight="false" outlineLevel="0" collapsed="false">
      <c r="A51" s="26" t="n">
        <f aca="false">'Daily Tracker'!A51</f>
        <v>46069</v>
      </c>
      <c r="B51" s="28"/>
      <c r="C51" s="28"/>
      <c r="D51" s="28"/>
      <c r="E51" s="28"/>
      <c r="F51" s="28"/>
      <c r="G51" s="47" t="str">
        <f aca="false">IF('Daily Tracker'!I51="","",'Daily Tracker'!I51)</f>
        <v/>
      </c>
      <c r="H51" s="33" t="str">
        <f aca="false">IF(B51="","",B51/CalorieGoal)</f>
        <v/>
      </c>
      <c r="I51" s="33" t="str">
        <f aca="false">IF(C51="","",C51/ProteinGoal)</f>
        <v/>
      </c>
      <c r="J51" s="33" t="str">
        <f aca="false">IF(D51="","",D51/CarbGoal)</f>
        <v/>
      </c>
      <c r="K51" s="33" t="str">
        <f aca="false">IF(E51="","",E51/FatGoal)</f>
        <v/>
      </c>
      <c r="L51" s="33" t="str">
        <f aca="false">IF(F51="","",F51/FiberGoal)</f>
        <v/>
      </c>
      <c r="M51" s="33" t="str">
        <f aca="false">IF(G51="","",G51/WaterGoal)</f>
        <v/>
      </c>
    </row>
    <row r="52" customFormat="false" ht="15" hidden="false" customHeight="false" outlineLevel="0" collapsed="false">
      <c r="A52" s="35" t="n">
        <f aca="false">'Daily Tracker'!A52</f>
        <v>46070</v>
      </c>
      <c r="B52" s="28"/>
      <c r="C52" s="28"/>
      <c r="D52" s="28"/>
      <c r="E52" s="28"/>
      <c r="F52" s="28"/>
      <c r="G52" s="48" t="str">
        <f aca="false">IF('Daily Tracker'!I52="","",'Daily Tracker'!I52)</f>
        <v/>
      </c>
      <c r="H52" s="37" t="str">
        <f aca="false">IF(B52="","",B52/CalorieGoal)</f>
        <v/>
      </c>
      <c r="I52" s="37" t="str">
        <f aca="false">IF(C52="","",C52/ProteinGoal)</f>
        <v/>
      </c>
      <c r="J52" s="37" t="str">
        <f aca="false">IF(D52="","",D52/CarbGoal)</f>
        <v/>
      </c>
      <c r="K52" s="37" t="str">
        <f aca="false">IF(E52="","",E52/FatGoal)</f>
        <v/>
      </c>
      <c r="L52" s="37" t="str">
        <f aca="false">IF(F52="","",F52/FiberGoal)</f>
        <v/>
      </c>
      <c r="M52" s="37" t="str">
        <f aca="false">IF(G52="","",G52/WaterGoal)</f>
        <v/>
      </c>
    </row>
    <row r="53" customFormat="false" ht="15" hidden="false" customHeight="false" outlineLevel="0" collapsed="false">
      <c r="A53" s="26" t="n">
        <f aca="false">'Daily Tracker'!A53</f>
        <v>46071</v>
      </c>
      <c r="B53" s="28"/>
      <c r="C53" s="28"/>
      <c r="D53" s="28"/>
      <c r="E53" s="28"/>
      <c r="F53" s="28"/>
      <c r="G53" s="47" t="str">
        <f aca="false">IF('Daily Tracker'!I53="","",'Daily Tracker'!I53)</f>
        <v/>
      </c>
      <c r="H53" s="33" t="str">
        <f aca="false">IF(B53="","",B53/CalorieGoal)</f>
        <v/>
      </c>
      <c r="I53" s="33" t="str">
        <f aca="false">IF(C53="","",C53/ProteinGoal)</f>
        <v/>
      </c>
      <c r="J53" s="33" t="str">
        <f aca="false">IF(D53="","",D53/CarbGoal)</f>
        <v/>
      </c>
      <c r="K53" s="33" t="str">
        <f aca="false">IF(E53="","",E53/FatGoal)</f>
        <v/>
      </c>
      <c r="L53" s="33" t="str">
        <f aca="false">IF(F53="","",F53/FiberGoal)</f>
        <v/>
      </c>
      <c r="M53" s="33" t="str">
        <f aca="false">IF(G53="","",G53/WaterGoal)</f>
        <v/>
      </c>
    </row>
    <row r="54" customFormat="false" ht="15" hidden="false" customHeight="false" outlineLevel="0" collapsed="false">
      <c r="A54" s="35" t="n">
        <f aca="false">'Daily Tracker'!A54</f>
        <v>46072</v>
      </c>
      <c r="B54" s="28"/>
      <c r="C54" s="28"/>
      <c r="D54" s="28"/>
      <c r="E54" s="28"/>
      <c r="F54" s="28"/>
      <c r="G54" s="48" t="str">
        <f aca="false">IF('Daily Tracker'!I54="","",'Daily Tracker'!I54)</f>
        <v/>
      </c>
      <c r="H54" s="37" t="str">
        <f aca="false">IF(B54="","",B54/CalorieGoal)</f>
        <v/>
      </c>
      <c r="I54" s="37" t="str">
        <f aca="false">IF(C54="","",C54/ProteinGoal)</f>
        <v/>
      </c>
      <c r="J54" s="37" t="str">
        <f aca="false">IF(D54="","",D54/CarbGoal)</f>
        <v/>
      </c>
      <c r="K54" s="37" t="str">
        <f aca="false">IF(E54="","",E54/FatGoal)</f>
        <v/>
      </c>
      <c r="L54" s="37" t="str">
        <f aca="false">IF(F54="","",F54/FiberGoal)</f>
        <v/>
      </c>
      <c r="M54" s="37" t="str">
        <f aca="false">IF(G54="","",G54/WaterGoal)</f>
        <v/>
      </c>
    </row>
    <row r="55" customFormat="false" ht="15" hidden="false" customHeight="false" outlineLevel="0" collapsed="false">
      <c r="A55" s="26" t="n">
        <f aca="false">'Daily Tracker'!A55</f>
        <v>46073</v>
      </c>
      <c r="B55" s="28"/>
      <c r="C55" s="28"/>
      <c r="D55" s="28"/>
      <c r="E55" s="28"/>
      <c r="F55" s="28"/>
      <c r="G55" s="47" t="str">
        <f aca="false">IF('Daily Tracker'!I55="","",'Daily Tracker'!I55)</f>
        <v/>
      </c>
      <c r="H55" s="33" t="str">
        <f aca="false">IF(B55="","",B55/CalorieGoal)</f>
        <v/>
      </c>
      <c r="I55" s="33" t="str">
        <f aca="false">IF(C55="","",C55/ProteinGoal)</f>
        <v/>
      </c>
      <c r="J55" s="33" t="str">
        <f aca="false">IF(D55="","",D55/CarbGoal)</f>
        <v/>
      </c>
      <c r="K55" s="33" t="str">
        <f aca="false">IF(E55="","",E55/FatGoal)</f>
        <v/>
      </c>
      <c r="L55" s="33" t="str">
        <f aca="false">IF(F55="","",F55/FiberGoal)</f>
        <v/>
      </c>
      <c r="M55" s="33" t="str">
        <f aca="false">IF(G55="","",G55/WaterGoal)</f>
        <v/>
      </c>
    </row>
    <row r="56" customFormat="false" ht="15" hidden="false" customHeight="false" outlineLevel="0" collapsed="false">
      <c r="A56" s="35" t="n">
        <f aca="false">'Daily Tracker'!A56</f>
        <v>46074</v>
      </c>
      <c r="B56" s="28"/>
      <c r="C56" s="28"/>
      <c r="D56" s="28"/>
      <c r="E56" s="28"/>
      <c r="F56" s="28"/>
      <c r="G56" s="48" t="str">
        <f aca="false">IF('Daily Tracker'!I56="","",'Daily Tracker'!I56)</f>
        <v/>
      </c>
      <c r="H56" s="37" t="str">
        <f aca="false">IF(B56="","",B56/CalorieGoal)</f>
        <v/>
      </c>
      <c r="I56" s="37" t="str">
        <f aca="false">IF(C56="","",C56/ProteinGoal)</f>
        <v/>
      </c>
      <c r="J56" s="37" t="str">
        <f aca="false">IF(D56="","",D56/CarbGoal)</f>
        <v/>
      </c>
      <c r="K56" s="37" t="str">
        <f aca="false">IF(E56="","",E56/FatGoal)</f>
        <v/>
      </c>
      <c r="L56" s="37" t="str">
        <f aca="false">IF(F56="","",F56/FiberGoal)</f>
        <v/>
      </c>
      <c r="M56" s="37" t="str">
        <f aca="false">IF(G56="","",G56/WaterGoal)</f>
        <v/>
      </c>
    </row>
    <row r="57" customFormat="false" ht="15" hidden="false" customHeight="false" outlineLevel="0" collapsed="false">
      <c r="A57" s="26" t="n">
        <f aca="false">'Daily Tracker'!A57</f>
        <v>46075</v>
      </c>
      <c r="B57" s="28"/>
      <c r="C57" s="28"/>
      <c r="D57" s="28"/>
      <c r="E57" s="28"/>
      <c r="F57" s="28"/>
      <c r="G57" s="47" t="str">
        <f aca="false">IF('Daily Tracker'!I57="","",'Daily Tracker'!I57)</f>
        <v/>
      </c>
      <c r="H57" s="33" t="str">
        <f aca="false">IF(B57="","",B57/CalorieGoal)</f>
        <v/>
      </c>
      <c r="I57" s="33" t="str">
        <f aca="false">IF(C57="","",C57/ProteinGoal)</f>
        <v/>
      </c>
      <c r="J57" s="33" t="str">
        <f aca="false">IF(D57="","",D57/CarbGoal)</f>
        <v/>
      </c>
      <c r="K57" s="33" t="str">
        <f aca="false">IF(E57="","",E57/FatGoal)</f>
        <v/>
      </c>
      <c r="L57" s="33" t="str">
        <f aca="false">IF(F57="","",F57/FiberGoal)</f>
        <v/>
      </c>
      <c r="M57" s="33" t="str">
        <f aca="false">IF(G57="","",G57/WaterGoal)</f>
        <v/>
      </c>
    </row>
    <row r="58" customFormat="false" ht="15" hidden="false" customHeight="false" outlineLevel="0" collapsed="false">
      <c r="A58" s="35" t="n">
        <f aca="false">'Daily Tracker'!A58</f>
        <v>46076</v>
      </c>
      <c r="B58" s="28"/>
      <c r="C58" s="28"/>
      <c r="D58" s="28"/>
      <c r="E58" s="28"/>
      <c r="F58" s="28"/>
      <c r="G58" s="48" t="str">
        <f aca="false">IF('Daily Tracker'!I58="","",'Daily Tracker'!I58)</f>
        <v/>
      </c>
      <c r="H58" s="37" t="str">
        <f aca="false">IF(B58="","",B58/CalorieGoal)</f>
        <v/>
      </c>
      <c r="I58" s="37" t="str">
        <f aca="false">IF(C58="","",C58/ProteinGoal)</f>
        <v/>
      </c>
      <c r="J58" s="37" t="str">
        <f aca="false">IF(D58="","",D58/CarbGoal)</f>
        <v/>
      </c>
      <c r="K58" s="37" t="str">
        <f aca="false">IF(E58="","",E58/FatGoal)</f>
        <v/>
      </c>
      <c r="L58" s="37" t="str">
        <f aca="false">IF(F58="","",F58/FiberGoal)</f>
        <v/>
      </c>
      <c r="M58" s="37" t="str">
        <f aca="false">IF(G58="","",G58/WaterGoal)</f>
        <v/>
      </c>
    </row>
    <row r="59" customFormat="false" ht="15" hidden="false" customHeight="false" outlineLevel="0" collapsed="false">
      <c r="A59" s="26" t="n">
        <f aca="false">'Daily Tracker'!A59</f>
        <v>46077</v>
      </c>
      <c r="B59" s="28"/>
      <c r="C59" s="28"/>
      <c r="D59" s="28"/>
      <c r="E59" s="28"/>
      <c r="F59" s="28"/>
      <c r="G59" s="47" t="str">
        <f aca="false">IF('Daily Tracker'!I59="","",'Daily Tracker'!I59)</f>
        <v/>
      </c>
      <c r="H59" s="33" t="str">
        <f aca="false">IF(B59="","",B59/CalorieGoal)</f>
        <v/>
      </c>
      <c r="I59" s="33" t="str">
        <f aca="false">IF(C59="","",C59/ProteinGoal)</f>
        <v/>
      </c>
      <c r="J59" s="33" t="str">
        <f aca="false">IF(D59="","",D59/CarbGoal)</f>
        <v/>
      </c>
      <c r="K59" s="33" t="str">
        <f aca="false">IF(E59="","",E59/FatGoal)</f>
        <v/>
      </c>
      <c r="L59" s="33" t="str">
        <f aca="false">IF(F59="","",F59/FiberGoal)</f>
        <v/>
      </c>
      <c r="M59" s="33" t="str">
        <f aca="false">IF(G59="","",G59/WaterGoal)</f>
        <v/>
      </c>
    </row>
    <row r="60" customFormat="false" ht="15" hidden="false" customHeight="false" outlineLevel="0" collapsed="false">
      <c r="A60" s="35" t="n">
        <f aca="false">'Daily Tracker'!A60</f>
        <v>46078</v>
      </c>
      <c r="B60" s="28"/>
      <c r="C60" s="28"/>
      <c r="D60" s="28"/>
      <c r="E60" s="28"/>
      <c r="F60" s="28"/>
      <c r="G60" s="48" t="str">
        <f aca="false">IF('Daily Tracker'!I60="","",'Daily Tracker'!I60)</f>
        <v/>
      </c>
      <c r="H60" s="37" t="str">
        <f aca="false">IF(B60="","",B60/CalorieGoal)</f>
        <v/>
      </c>
      <c r="I60" s="37" t="str">
        <f aca="false">IF(C60="","",C60/ProteinGoal)</f>
        <v/>
      </c>
      <c r="J60" s="37" t="str">
        <f aca="false">IF(D60="","",D60/CarbGoal)</f>
        <v/>
      </c>
      <c r="K60" s="37" t="str">
        <f aca="false">IF(E60="","",E60/FatGoal)</f>
        <v/>
      </c>
      <c r="L60" s="37" t="str">
        <f aca="false">IF(F60="","",F60/FiberGoal)</f>
        <v/>
      </c>
      <c r="M60" s="37" t="str">
        <f aca="false">IF(G60="","",G60/WaterGoal)</f>
        <v/>
      </c>
    </row>
    <row r="61" customFormat="false" ht="15" hidden="false" customHeight="false" outlineLevel="0" collapsed="false">
      <c r="A61" s="26" t="n">
        <f aca="false">'Daily Tracker'!A61</f>
        <v>46079</v>
      </c>
      <c r="B61" s="28"/>
      <c r="C61" s="28"/>
      <c r="D61" s="28"/>
      <c r="E61" s="28"/>
      <c r="F61" s="28"/>
      <c r="G61" s="47" t="str">
        <f aca="false">IF('Daily Tracker'!I61="","",'Daily Tracker'!I61)</f>
        <v/>
      </c>
      <c r="H61" s="33" t="str">
        <f aca="false">IF(B61="","",B61/CalorieGoal)</f>
        <v/>
      </c>
      <c r="I61" s="33" t="str">
        <f aca="false">IF(C61="","",C61/ProteinGoal)</f>
        <v/>
      </c>
      <c r="J61" s="33" t="str">
        <f aca="false">IF(D61="","",D61/CarbGoal)</f>
        <v/>
      </c>
      <c r="K61" s="33" t="str">
        <f aca="false">IF(E61="","",E61/FatGoal)</f>
        <v/>
      </c>
      <c r="L61" s="33" t="str">
        <f aca="false">IF(F61="","",F61/FiberGoal)</f>
        <v/>
      </c>
      <c r="M61" s="33" t="str">
        <f aca="false">IF(G61="","",G61/WaterGoal)</f>
        <v/>
      </c>
    </row>
    <row r="62" customFormat="false" ht="15" hidden="false" customHeight="false" outlineLevel="0" collapsed="false">
      <c r="A62" s="35" t="n">
        <f aca="false">'Daily Tracker'!A62</f>
        <v>46080</v>
      </c>
      <c r="B62" s="28"/>
      <c r="C62" s="28"/>
      <c r="D62" s="28"/>
      <c r="E62" s="28"/>
      <c r="F62" s="28"/>
      <c r="G62" s="48" t="str">
        <f aca="false">IF('Daily Tracker'!I62="","",'Daily Tracker'!I62)</f>
        <v/>
      </c>
      <c r="H62" s="37" t="str">
        <f aca="false">IF(B62="","",B62/CalorieGoal)</f>
        <v/>
      </c>
      <c r="I62" s="37" t="str">
        <f aca="false">IF(C62="","",C62/ProteinGoal)</f>
        <v/>
      </c>
      <c r="J62" s="37" t="str">
        <f aca="false">IF(D62="","",D62/CarbGoal)</f>
        <v/>
      </c>
      <c r="K62" s="37" t="str">
        <f aca="false">IF(E62="","",E62/FatGoal)</f>
        <v/>
      </c>
      <c r="L62" s="37" t="str">
        <f aca="false">IF(F62="","",F62/FiberGoal)</f>
        <v/>
      </c>
      <c r="M62" s="37" t="str">
        <f aca="false">IF(G62="","",G62/WaterGoal)</f>
        <v/>
      </c>
    </row>
    <row r="63" customFormat="false" ht="15" hidden="false" customHeight="false" outlineLevel="0" collapsed="false">
      <c r="A63" s="26" t="n">
        <f aca="false">'Daily Tracker'!A63</f>
        <v>46081</v>
      </c>
      <c r="B63" s="28"/>
      <c r="C63" s="28"/>
      <c r="D63" s="28"/>
      <c r="E63" s="28"/>
      <c r="F63" s="28"/>
      <c r="G63" s="47" t="str">
        <f aca="false">IF('Daily Tracker'!I63="","",'Daily Tracker'!I63)</f>
        <v/>
      </c>
      <c r="H63" s="33" t="str">
        <f aca="false">IF(B63="","",B63/CalorieGoal)</f>
        <v/>
      </c>
      <c r="I63" s="33" t="str">
        <f aca="false">IF(C63="","",C63/ProteinGoal)</f>
        <v/>
      </c>
      <c r="J63" s="33" t="str">
        <f aca="false">IF(D63="","",D63/CarbGoal)</f>
        <v/>
      </c>
      <c r="K63" s="33" t="str">
        <f aca="false">IF(E63="","",E63/FatGoal)</f>
        <v/>
      </c>
      <c r="L63" s="33" t="str">
        <f aca="false">IF(F63="","",F63/FiberGoal)</f>
        <v/>
      </c>
      <c r="M63" s="33" t="str">
        <f aca="false">IF(G63="","",G63/WaterGoal)</f>
        <v/>
      </c>
    </row>
    <row r="64" customFormat="false" ht="15" hidden="false" customHeight="false" outlineLevel="0" collapsed="false">
      <c r="A64" s="35" t="n">
        <f aca="false">'Daily Tracker'!A64</f>
        <v>46082</v>
      </c>
      <c r="B64" s="28"/>
      <c r="C64" s="28"/>
      <c r="D64" s="28"/>
      <c r="E64" s="28"/>
      <c r="F64" s="28"/>
      <c r="G64" s="48" t="str">
        <f aca="false">IF('Daily Tracker'!I64="","",'Daily Tracker'!I64)</f>
        <v/>
      </c>
      <c r="H64" s="37" t="str">
        <f aca="false">IF(B64="","",B64/CalorieGoal)</f>
        <v/>
      </c>
      <c r="I64" s="37" t="str">
        <f aca="false">IF(C64="","",C64/ProteinGoal)</f>
        <v/>
      </c>
      <c r="J64" s="37" t="str">
        <f aca="false">IF(D64="","",D64/CarbGoal)</f>
        <v/>
      </c>
      <c r="K64" s="37" t="str">
        <f aca="false">IF(E64="","",E64/FatGoal)</f>
        <v/>
      </c>
      <c r="L64" s="37" t="str">
        <f aca="false">IF(F64="","",F64/FiberGoal)</f>
        <v/>
      </c>
      <c r="M64" s="37" t="str">
        <f aca="false">IF(G64="","",G64/WaterGoal)</f>
        <v/>
      </c>
    </row>
    <row r="65" customFormat="false" ht="15" hidden="false" customHeight="false" outlineLevel="0" collapsed="false">
      <c r="A65" s="26" t="n">
        <f aca="false">'Daily Tracker'!A65</f>
        <v>46083</v>
      </c>
      <c r="B65" s="28"/>
      <c r="C65" s="28"/>
      <c r="D65" s="28"/>
      <c r="E65" s="28"/>
      <c r="F65" s="28"/>
      <c r="G65" s="47" t="str">
        <f aca="false">IF('Daily Tracker'!I65="","",'Daily Tracker'!I65)</f>
        <v/>
      </c>
      <c r="H65" s="33" t="str">
        <f aca="false">IF(B65="","",B65/CalorieGoal)</f>
        <v/>
      </c>
      <c r="I65" s="33" t="str">
        <f aca="false">IF(C65="","",C65/ProteinGoal)</f>
        <v/>
      </c>
      <c r="J65" s="33" t="str">
        <f aca="false">IF(D65="","",D65/CarbGoal)</f>
        <v/>
      </c>
      <c r="K65" s="33" t="str">
        <f aca="false">IF(E65="","",E65/FatGoal)</f>
        <v/>
      </c>
      <c r="L65" s="33" t="str">
        <f aca="false">IF(F65="","",F65/FiberGoal)</f>
        <v/>
      </c>
      <c r="M65" s="33" t="str">
        <f aca="false">IF(G65="","",G65/WaterGoal)</f>
        <v/>
      </c>
    </row>
    <row r="66" customFormat="false" ht="15" hidden="false" customHeight="false" outlineLevel="0" collapsed="false">
      <c r="A66" s="35" t="n">
        <f aca="false">'Daily Tracker'!A66</f>
        <v>46084</v>
      </c>
      <c r="B66" s="28"/>
      <c r="C66" s="28"/>
      <c r="D66" s="28"/>
      <c r="E66" s="28"/>
      <c r="F66" s="28"/>
      <c r="G66" s="48" t="str">
        <f aca="false">IF('Daily Tracker'!I66="","",'Daily Tracker'!I66)</f>
        <v/>
      </c>
      <c r="H66" s="37" t="str">
        <f aca="false">IF(B66="","",B66/CalorieGoal)</f>
        <v/>
      </c>
      <c r="I66" s="37" t="str">
        <f aca="false">IF(C66="","",C66/ProteinGoal)</f>
        <v/>
      </c>
      <c r="J66" s="37" t="str">
        <f aca="false">IF(D66="","",D66/CarbGoal)</f>
        <v/>
      </c>
      <c r="K66" s="37" t="str">
        <f aca="false">IF(E66="","",E66/FatGoal)</f>
        <v/>
      </c>
      <c r="L66" s="37" t="str">
        <f aca="false">IF(F66="","",F66/FiberGoal)</f>
        <v/>
      </c>
      <c r="M66" s="37" t="str">
        <f aca="false">IF(G66="","",G66/WaterGoal)</f>
        <v/>
      </c>
    </row>
    <row r="67" customFormat="false" ht="15" hidden="false" customHeight="false" outlineLevel="0" collapsed="false">
      <c r="A67" s="26" t="n">
        <f aca="false">'Daily Tracker'!A67</f>
        <v>46085</v>
      </c>
      <c r="B67" s="28"/>
      <c r="C67" s="28"/>
      <c r="D67" s="28"/>
      <c r="E67" s="28"/>
      <c r="F67" s="28"/>
      <c r="G67" s="47" t="str">
        <f aca="false">IF('Daily Tracker'!I67="","",'Daily Tracker'!I67)</f>
        <v/>
      </c>
      <c r="H67" s="33" t="str">
        <f aca="false">IF(B67="","",B67/CalorieGoal)</f>
        <v/>
      </c>
      <c r="I67" s="33" t="str">
        <f aca="false">IF(C67="","",C67/ProteinGoal)</f>
        <v/>
      </c>
      <c r="J67" s="33" t="str">
        <f aca="false">IF(D67="","",D67/CarbGoal)</f>
        <v/>
      </c>
      <c r="K67" s="33" t="str">
        <f aca="false">IF(E67="","",E67/FatGoal)</f>
        <v/>
      </c>
      <c r="L67" s="33" t="str">
        <f aca="false">IF(F67="","",F67/FiberGoal)</f>
        <v/>
      </c>
      <c r="M67" s="33" t="str">
        <f aca="false">IF(G67="","",G67/WaterGoal)</f>
        <v/>
      </c>
    </row>
    <row r="68" customFormat="false" ht="15" hidden="false" customHeight="false" outlineLevel="0" collapsed="false">
      <c r="A68" s="35" t="n">
        <f aca="false">'Daily Tracker'!A68</f>
        <v>46086</v>
      </c>
      <c r="B68" s="28"/>
      <c r="C68" s="28"/>
      <c r="D68" s="28"/>
      <c r="E68" s="28"/>
      <c r="F68" s="28"/>
      <c r="G68" s="48" t="str">
        <f aca="false">IF('Daily Tracker'!I68="","",'Daily Tracker'!I68)</f>
        <v/>
      </c>
      <c r="H68" s="37" t="str">
        <f aca="false">IF(B68="","",B68/CalorieGoal)</f>
        <v/>
      </c>
      <c r="I68" s="37" t="str">
        <f aca="false">IF(C68="","",C68/ProteinGoal)</f>
        <v/>
      </c>
      <c r="J68" s="37" t="str">
        <f aca="false">IF(D68="","",D68/CarbGoal)</f>
        <v/>
      </c>
      <c r="K68" s="37" t="str">
        <f aca="false">IF(E68="","",E68/FatGoal)</f>
        <v/>
      </c>
      <c r="L68" s="37" t="str">
        <f aca="false">IF(F68="","",F68/FiberGoal)</f>
        <v/>
      </c>
      <c r="M68" s="37" t="str">
        <f aca="false">IF(G68="","",G68/WaterGoal)</f>
        <v/>
      </c>
    </row>
    <row r="69" customFormat="false" ht="15" hidden="false" customHeight="false" outlineLevel="0" collapsed="false">
      <c r="A69" s="26" t="n">
        <f aca="false">'Daily Tracker'!A69</f>
        <v>46087</v>
      </c>
      <c r="B69" s="28"/>
      <c r="C69" s="28"/>
      <c r="D69" s="28"/>
      <c r="E69" s="28"/>
      <c r="F69" s="28"/>
      <c r="G69" s="47" t="str">
        <f aca="false">IF('Daily Tracker'!I69="","",'Daily Tracker'!I69)</f>
        <v/>
      </c>
      <c r="H69" s="33" t="str">
        <f aca="false">IF(B69="","",B69/CalorieGoal)</f>
        <v/>
      </c>
      <c r="I69" s="33" t="str">
        <f aca="false">IF(C69="","",C69/ProteinGoal)</f>
        <v/>
      </c>
      <c r="J69" s="33" t="str">
        <f aca="false">IF(D69="","",D69/CarbGoal)</f>
        <v/>
      </c>
      <c r="K69" s="33" t="str">
        <f aca="false">IF(E69="","",E69/FatGoal)</f>
        <v/>
      </c>
      <c r="L69" s="33" t="str">
        <f aca="false">IF(F69="","",F69/FiberGoal)</f>
        <v/>
      </c>
      <c r="M69" s="33" t="str">
        <f aca="false">IF(G69="","",G69/WaterGoal)</f>
        <v/>
      </c>
    </row>
    <row r="70" customFormat="false" ht="15" hidden="false" customHeight="false" outlineLevel="0" collapsed="false">
      <c r="A70" s="35" t="n">
        <f aca="false">'Daily Tracker'!A70</f>
        <v>46088</v>
      </c>
      <c r="B70" s="28"/>
      <c r="C70" s="28"/>
      <c r="D70" s="28"/>
      <c r="E70" s="28"/>
      <c r="F70" s="28"/>
      <c r="G70" s="48" t="str">
        <f aca="false">IF('Daily Tracker'!I70="","",'Daily Tracker'!I70)</f>
        <v/>
      </c>
      <c r="H70" s="37" t="str">
        <f aca="false">IF(B70="","",B70/CalorieGoal)</f>
        <v/>
      </c>
      <c r="I70" s="37" t="str">
        <f aca="false">IF(C70="","",C70/ProteinGoal)</f>
        <v/>
      </c>
      <c r="J70" s="37" t="str">
        <f aca="false">IF(D70="","",D70/CarbGoal)</f>
        <v/>
      </c>
      <c r="K70" s="37" t="str">
        <f aca="false">IF(E70="","",E70/FatGoal)</f>
        <v/>
      </c>
      <c r="L70" s="37" t="str">
        <f aca="false">IF(F70="","",F70/FiberGoal)</f>
        <v/>
      </c>
      <c r="M70" s="37" t="str">
        <f aca="false">IF(G70="","",G70/WaterGoal)</f>
        <v/>
      </c>
    </row>
    <row r="71" customFormat="false" ht="15" hidden="false" customHeight="false" outlineLevel="0" collapsed="false">
      <c r="A71" s="26" t="n">
        <f aca="false">'Daily Tracker'!A71</f>
        <v>46089</v>
      </c>
      <c r="B71" s="28"/>
      <c r="C71" s="28"/>
      <c r="D71" s="28"/>
      <c r="E71" s="28"/>
      <c r="F71" s="28"/>
      <c r="G71" s="47" t="str">
        <f aca="false">IF('Daily Tracker'!I71="","",'Daily Tracker'!I71)</f>
        <v/>
      </c>
      <c r="H71" s="33" t="str">
        <f aca="false">IF(B71="","",B71/CalorieGoal)</f>
        <v/>
      </c>
      <c r="I71" s="33" t="str">
        <f aca="false">IF(C71="","",C71/ProteinGoal)</f>
        <v/>
      </c>
      <c r="J71" s="33" t="str">
        <f aca="false">IF(D71="","",D71/CarbGoal)</f>
        <v/>
      </c>
      <c r="K71" s="33" t="str">
        <f aca="false">IF(E71="","",E71/FatGoal)</f>
        <v/>
      </c>
      <c r="L71" s="33" t="str">
        <f aca="false">IF(F71="","",F71/FiberGoal)</f>
        <v/>
      </c>
      <c r="M71" s="33" t="str">
        <f aca="false">IF(G71="","",G71/WaterGoal)</f>
        <v/>
      </c>
    </row>
    <row r="72" customFormat="false" ht="15" hidden="false" customHeight="false" outlineLevel="0" collapsed="false">
      <c r="A72" s="35" t="n">
        <f aca="false">'Daily Tracker'!A72</f>
        <v>46090</v>
      </c>
      <c r="B72" s="28"/>
      <c r="C72" s="28"/>
      <c r="D72" s="28"/>
      <c r="E72" s="28"/>
      <c r="F72" s="28"/>
      <c r="G72" s="48" t="str">
        <f aca="false">IF('Daily Tracker'!I72="","",'Daily Tracker'!I72)</f>
        <v/>
      </c>
      <c r="H72" s="37" t="str">
        <f aca="false">IF(B72="","",B72/CalorieGoal)</f>
        <v/>
      </c>
      <c r="I72" s="37" t="str">
        <f aca="false">IF(C72="","",C72/ProteinGoal)</f>
        <v/>
      </c>
      <c r="J72" s="37" t="str">
        <f aca="false">IF(D72="","",D72/CarbGoal)</f>
        <v/>
      </c>
      <c r="K72" s="37" t="str">
        <f aca="false">IF(E72="","",E72/FatGoal)</f>
        <v/>
      </c>
      <c r="L72" s="37" t="str">
        <f aca="false">IF(F72="","",F72/FiberGoal)</f>
        <v/>
      </c>
      <c r="M72" s="37" t="str">
        <f aca="false">IF(G72="","",G72/WaterGoal)</f>
        <v/>
      </c>
    </row>
    <row r="73" customFormat="false" ht="15" hidden="false" customHeight="false" outlineLevel="0" collapsed="false">
      <c r="A73" s="26" t="n">
        <f aca="false">'Daily Tracker'!A73</f>
        <v>46091</v>
      </c>
      <c r="B73" s="28"/>
      <c r="C73" s="28"/>
      <c r="D73" s="28"/>
      <c r="E73" s="28"/>
      <c r="F73" s="28"/>
      <c r="G73" s="47" t="str">
        <f aca="false">IF('Daily Tracker'!I73="","",'Daily Tracker'!I73)</f>
        <v/>
      </c>
      <c r="H73" s="33" t="str">
        <f aca="false">IF(B73="","",B73/CalorieGoal)</f>
        <v/>
      </c>
      <c r="I73" s="33" t="str">
        <f aca="false">IF(C73="","",C73/ProteinGoal)</f>
        <v/>
      </c>
      <c r="J73" s="33" t="str">
        <f aca="false">IF(D73="","",D73/CarbGoal)</f>
        <v/>
      </c>
      <c r="K73" s="33" t="str">
        <f aca="false">IF(E73="","",E73/FatGoal)</f>
        <v/>
      </c>
      <c r="L73" s="33" t="str">
        <f aca="false">IF(F73="","",F73/FiberGoal)</f>
        <v/>
      </c>
      <c r="M73" s="33" t="str">
        <f aca="false">IF(G73="","",G73/WaterGoal)</f>
        <v/>
      </c>
    </row>
    <row r="74" customFormat="false" ht="15" hidden="false" customHeight="false" outlineLevel="0" collapsed="false">
      <c r="A74" s="35" t="n">
        <f aca="false">'Daily Tracker'!A74</f>
        <v>46092</v>
      </c>
      <c r="B74" s="28"/>
      <c r="C74" s="28"/>
      <c r="D74" s="28"/>
      <c r="E74" s="28"/>
      <c r="F74" s="28"/>
      <c r="G74" s="48" t="str">
        <f aca="false">IF('Daily Tracker'!I74="","",'Daily Tracker'!I74)</f>
        <v/>
      </c>
      <c r="H74" s="37" t="str">
        <f aca="false">IF(B74="","",B74/CalorieGoal)</f>
        <v/>
      </c>
      <c r="I74" s="37" t="str">
        <f aca="false">IF(C74="","",C74/ProteinGoal)</f>
        <v/>
      </c>
      <c r="J74" s="37" t="str">
        <f aca="false">IF(D74="","",D74/CarbGoal)</f>
        <v/>
      </c>
      <c r="K74" s="37" t="str">
        <f aca="false">IF(E74="","",E74/FatGoal)</f>
        <v/>
      </c>
      <c r="L74" s="37" t="str">
        <f aca="false">IF(F74="","",F74/FiberGoal)</f>
        <v/>
      </c>
      <c r="M74" s="37" t="str">
        <f aca="false">IF(G74="","",G74/WaterGoal)</f>
        <v/>
      </c>
    </row>
    <row r="75" customFormat="false" ht="15" hidden="false" customHeight="false" outlineLevel="0" collapsed="false">
      <c r="A75" s="26" t="n">
        <f aca="false">'Daily Tracker'!A75</f>
        <v>46093</v>
      </c>
      <c r="B75" s="28"/>
      <c r="C75" s="28"/>
      <c r="D75" s="28"/>
      <c r="E75" s="28"/>
      <c r="F75" s="28"/>
      <c r="G75" s="47" t="str">
        <f aca="false">IF('Daily Tracker'!I75="","",'Daily Tracker'!I75)</f>
        <v/>
      </c>
      <c r="H75" s="33" t="str">
        <f aca="false">IF(B75="","",B75/CalorieGoal)</f>
        <v/>
      </c>
      <c r="I75" s="33" t="str">
        <f aca="false">IF(C75="","",C75/ProteinGoal)</f>
        <v/>
      </c>
      <c r="J75" s="33" t="str">
        <f aca="false">IF(D75="","",D75/CarbGoal)</f>
        <v/>
      </c>
      <c r="K75" s="33" t="str">
        <f aca="false">IF(E75="","",E75/FatGoal)</f>
        <v/>
      </c>
      <c r="L75" s="33" t="str">
        <f aca="false">IF(F75="","",F75/FiberGoal)</f>
        <v/>
      </c>
      <c r="M75" s="33" t="str">
        <f aca="false">IF(G75="","",G75/WaterGoal)</f>
        <v/>
      </c>
    </row>
    <row r="76" customFormat="false" ht="15" hidden="false" customHeight="false" outlineLevel="0" collapsed="false">
      <c r="A76" s="35" t="n">
        <f aca="false">'Daily Tracker'!A76</f>
        <v>46094</v>
      </c>
      <c r="B76" s="28"/>
      <c r="C76" s="28"/>
      <c r="D76" s="28"/>
      <c r="E76" s="28"/>
      <c r="F76" s="28"/>
      <c r="G76" s="48" t="str">
        <f aca="false">IF('Daily Tracker'!I76="","",'Daily Tracker'!I76)</f>
        <v/>
      </c>
      <c r="H76" s="37" t="str">
        <f aca="false">IF(B76="","",B76/CalorieGoal)</f>
        <v/>
      </c>
      <c r="I76" s="37" t="str">
        <f aca="false">IF(C76="","",C76/ProteinGoal)</f>
        <v/>
      </c>
      <c r="J76" s="37" t="str">
        <f aca="false">IF(D76="","",D76/CarbGoal)</f>
        <v/>
      </c>
      <c r="K76" s="37" t="str">
        <f aca="false">IF(E76="","",E76/FatGoal)</f>
        <v/>
      </c>
      <c r="L76" s="37" t="str">
        <f aca="false">IF(F76="","",F76/FiberGoal)</f>
        <v/>
      </c>
      <c r="M76" s="37" t="str">
        <f aca="false">IF(G76="","",G76/WaterGoal)</f>
        <v/>
      </c>
    </row>
    <row r="77" customFormat="false" ht="15" hidden="false" customHeight="false" outlineLevel="0" collapsed="false">
      <c r="A77" s="26" t="n">
        <f aca="false">'Daily Tracker'!A77</f>
        <v>46095</v>
      </c>
      <c r="B77" s="28"/>
      <c r="C77" s="28"/>
      <c r="D77" s="28"/>
      <c r="E77" s="28"/>
      <c r="F77" s="28"/>
      <c r="G77" s="47" t="str">
        <f aca="false">IF('Daily Tracker'!I77="","",'Daily Tracker'!I77)</f>
        <v/>
      </c>
      <c r="H77" s="33" t="str">
        <f aca="false">IF(B77="","",B77/CalorieGoal)</f>
        <v/>
      </c>
      <c r="I77" s="33" t="str">
        <f aca="false">IF(C77="","",C77/ProteinGoal)</f>
        <v/>
      </c>
      <c r="J77" s="33" t="str">
        <f aca="false">IF(D77="","",D77/CarbGoal)</f>
        <v/>
      </c>
      <c r="K77" s="33" t="str">
        <f aca="false">IF(E77="","",E77/FatGoal)</f>
        <v/>
      </c>
      <c r="L77" s="33" t="str">
        <f aca="false">IF(F77="","",F77/FiberGoal)</f>
        <v/>
      </c>
      <c r="M77" s="33" t="str">
        <f aca="false">IF(G77="","",G77/WaterGoal)</f>
        <v/>
      </c>
    </row>
    <row r="78" customFormat="false" ht="15" hidden="false" customHeight="false" outlineLevel="0" collapsed="false">
      <c r="A78" s="35" t="n">
        <f aca="false">'Daily Tracker'!A78</f>
        <v>46096</v>
      </c>
      <c r="B78" s="28"/>
      <c r="C78" s="28"/>
      <c r="D78" s="28"/>
      <c r="E78" s="28"/>
      <c r="F78" s="28"/>
      <c r="G78" s="48" t="str">
        <f aca="false">IF('Daily Tracker'!I78="","",'Daily Tracker'!I78)</f>
        <v/>
      </c>
      <c r="H78" s="37" t="str">
        <f aca="false">IF(B78="","",B78/CalorieGoal)</f>
        <v/>
      </c>
      <c r="I78" s="37" t="str">
        <f aca="false">IF(C78="","",C78/ProteinGoal)</f>
        <v/>
      </c>
      <c r="J78" s="37" t="str">
        <f aca="false">IF(D78="","",D78/CarbGoal)</f>
        <v/>
      </c>
      <c r="K78" s="37" t="str">
        <f aca="false">IF(E78="","",E78/FatGoal)</f>
        <v/>
      </c>
      <c r="L78" s="37" t="str">
        <f aca="false">IF(F78="","",F78/FiberGoal)</f>
        <v/>
      </c>
      <c r="M78" s="37" t="str">
        <f aca="false">IF(G78="","",G78/WaterGoal)</f>
        <v/>
      </c>
    </row>
    <row r="79" customFormat="false" ht="15" hidden="false" customHeight="false" outlineLevel="0" collapsed="false">
      <c r="A79" s="26" t="n">
        <f aca="false">'Daily Tracker'!A79</f>
        <v>46097</v>
      </c>
      <c r="B79" s="28"/>
      <c r="C79" s="28"/>
      <c r="D79" s="28"/>
      <c r="E79" s="28"/>
      <c r="F79" s="28"/>
      <c r="G79" s="47" t="str">
        <f aca="false">IF('Daily Tracker'!I79="","",'Daily Tracker'!I79)</f>
        <v/>
      </c>
      <c r="H79" s="33" t="str">
        <f aca="false">IF(B79="","",B79/CalorieGoal)</f>
        <v/>
      </c>
      <c r="I79" s="33" t="str">
        <f aca="false">IF(C79="","",C79/ProteinGoal)</f>
        <v/>
      </c>
      <c r="J79" s="33" t="str">
        <f aca="false">IF(D79="","",D79/CarbGoal)</f>
        <v/>
      </c>
      <c r="K79" s="33" t="str">
        <f aca="false">IF(E79="","",E79/FatGoal)</f>
        <v/>
      </c>
      <c r="L79" s="33" t="str">
        <f aca="false">IF(F79="","",F79/FiberGoal)</f>
        <v/>
      </c>
      <c r="M79" s="33" t="str">
        <f aca="false">IF(G79="","",G79/WaterGoal)</f>
        <v/>
      </c>
    </row>
    <row r="80" customFormat="false" ht="15" hidden="false" customHeight="false" outlineLevel="0" collapsed="false">
      <c r="A80" s="35" t="n">
        <f aca="false">'Daily Tracker'!A80</f>
        <v>46098</v>
      </c>
      <c r="B80" s="28"/>
      <c r="C80" s="28"/>
      <c r="D80" s="28"/>
      <c r="E80" s="28"/>
      <c r="F80" s="28"/>
      <c r="G80" s="48" t="str">
        <f aca="false">IF('Daily Tracker'!I80="","",'Daily Tracker'!I80)</f>
        <v/>
      </c>
      <c r="H80" s="37" t="str">
        <f aca="false">IF(B80="","",B80/CalorieGoal)</f>
        <v/>
      </c>
      <c r="I80" s="37" t="str">
        <f aca="false">IF(C80="","",C80/ProteinGoal)</f>
        <v/>
      </c>
      <c r="J80" s="37" t="str">
        <f aca="false">IF(D80="","",D80/CarbGoal)</f>
        <v/>
      </c>
      <c r="K80" s="37" t="str">
        <f aca="false">IF(E80="","",E80/FatGoal)</f>
        <v/>
      </c>
      <c r="L80" s="37" t="str">
        <f aca="false">IF(F80="","",F80/FiberGoal)</f>
        <v/>
      </c>
      <c r="M80" s="37" t="str">
        <f aca="false">IF(G80="","",G80/WaterGoal)</f>
        <v/>
      </c>
    </row>
    <row r="81" customFormat="false" ht="15" hidden="false" customHeight="false" outlineLevel="0" collapsed="false">
      <c r="A81" s="26" t="n">
        <f aca="false">'Daily Tracker'!A81</f>
        <v>46099</v>
      </c>
      <c r="B81" s="28"/>
      <c r="C81" s="28"/>
      <c r="D81" s="28"/>
      <c r="E81" s="28"/>
      <c r="F81" s="28"/>
      <c r="G81" s="47" t="str">
        <f aca="false">IF('Daily Tracker'!I81="","",'Daily Tracker'!I81)</f>
        <v/>
      </c>
      <c r="H81" s="33" t="str">
        <f aca="false">IF(B81="","",B81/CalorieGoal)</f>
        <v/>
      </c>
      <c r="I81" s="33" t="str">
        <f aca="false">IF(C81="","",C81/ProteinGoal)</f>
        <v/>
      </c>
      <c r="J81" s="33" t="str">
        <f aca="false">IF(D81="","",D81/CarbGoal)</f>
        <v/>
      </c>
      <c r="K81" s="33" t="str">
        <f aca="false">IF(E81="","",E81/FatGoal)</f>
        <v/>
      </c>
      <c r="L81" s="33" t="str">
        <f aca="false">IF(F81="","",F81/FiberGoal)</f>
        <v/>
      </c>
      <c r="M81" s="33" t="str">
        <f aca="false">IF(G81="","",G81/WaterGoal)</f>
        <v/>
      </c>
    </row>
    <row r="82" customFormat="false" ht="15" hidden="false" customHeight="false" outlineLevel="0" collapsed="false">
      <c r="A82" s="35" t="n">
        <f aca="false">'Daily Tracker'!A82</f>
        <v>46100</v>
      </c>
      <c r="B82" s="28"/>
      <c r="C82" s="28"/>
      <c r="D82" s="28"/>
      <c r="E82" s="28"/>
      <c r="F82" s="28"/>
      <c r="G82" s="48" t="str">
        <f aca="false">IF('Daily Tracker'!I82="","",'Daily Tracker'!I82)</f>
        <v/>
      </c>
      <c r="H82" s="37" t="str">
        <f aca="false">IF(B82="","",B82/CalorieGoal)</f>
        <v/>
      </c>
      <c r="I82" s="37" t="str">
        <f aca="false">IF(C82="","",C82/ProteinGoal)</f>
        <v/>
      </c>
      <c r="J82" s="37" t="str">
        <f aca="false">IF(D82="","",D82/CarbGoal)</f>
        <v/>
      </c>
      <c r="K82" s="37" t="str">
        <f aca="false">IF(E82="","",E82/FatGoal)</f>
        <v/>
      </c>
      <c r="L82" s="37" t="str">
        <f aca="false">IF(F82="","",F82/FiberGoal)</f>
        <v/>
      </c>
      <c r="M82" s="37" t="str">
        <f aca="false">IF(G82="","",G82/WaterGoal)</f>
        <v/>
      </c>
    </row>
    <row r="83" customFormat="false" ht="15" hidden="false" customHeight="false" outlineLevel="0" collapsed="false">
      <c r="A83" s="26" t="n">
        <f aca="false">'Daily Tracker'!A83</f>
        <v>46101</v>
      </c>
      <c r="B83" s="28"/>
      <c r="C83" s="28"/>
      <c r="D83" s="28"/>
      <c r="E83" s="28"/>
      <c r="F83" s="28"/>
      <c r="G83" s="47" t="str">
        <f aca="false">IF('Daily Tracker'!I83="","",'Daily Tracker'!I83)</f>
        <v/>
      </c>
      <c r="H83" s="33" t="str">
        <f aca="false">IF(B83="","",B83/CalorieGoal)</f>
        <v/>
      </c>
      <c r="I83" s="33" t="str">
        <f aca="false">IF(C83="","",C83/ProteinGoal)</f>
        <v/>
      </c>
      <c r="J83" s="33" t="str">
        <f aca="false">IF(D83="","",D83/CarbGoal)</f>
        <v/>
      </c>
      <c r="K83" s="33" t="str">
        <f aca="false">IF(E83="","",E83/FatGoal)</f>
        <v/>
      </c>
      <c r="L83" s="33" t="str">
        <f aca="false">IF(F83="","",F83/FiberGoal)</f>
        <v/>
      </c>
      <c r="M83" s="33" t="str">
        <f aca="false">IF(G83="","",G83/WaterGoal)</f>
        <v/>
      </c>
    </row>
    <row r="84" customFormat="false" ht="15" hidden="false" customHeight="false" outlineLevel="0" collapsed="false">
      <c r="A84" s="35" t="n">
        <f aca="false">'Daily Tracker'!A84</f>
        <v>46102</v>
      </c>
      <c r="B84" s="28"/>
      <c r="C84" s="28"/>
      <c r="D84" s="28"/>
      <c r="E84" s="28"/>
      <c r="F84" s="28"/>
      <c r="G84" s="48" t="str">
        <f aca="false">IF('Daily Tracker'!I84="","",'Daily Tracker'!I84)</f>
        <v/>
      </c>
      <c r="H84" s="37" t="str">
        <f aca="false">IF(B84="","",B84/CalorieGoal)</f>
        <v/>
      </c>
      <c r="I84" s="37" t="str">
        <f aca="false">IF(C84="","",C84/ProteinGoal)</f>
        <v/>
      </c>
      <c r="J84" s="37" t="str">
        <f aca="false">IF(D84="","",D84/CarbGoal)</f>
        <v/>
      </c>
      <c r="K84" s="37" t="str">
        <f aca="false">IF(E84="","",E84/FatGoal)</f>
        <v/>
      </c>
      <c r="L84" s="37" t="str">
        <f aca="false">IF(F84="","",F84/FiberGoal)</f>
        <v/>
      </c>
      <c r="M84" s="37" t="str">
        <f aca="false">IF(G84="","",G84/WaterGoal)</f>
        <v/>
      </c>
    </row>
    <row r="85" customFormat="false" ht="15" hidden="false" customHeight="false" outlineLevel="0" collapsed="false">
      <c r="A85" s="26" t="n">
        <f aca="false">'Daily Tracker'!A85</f>
        <v>46103</v>
      </c>
      <c r="B85" s="28"/>
      <c r="C85" s="28"/>
      <c r="D85" s="28"/>
      <c r="E85" s="28"/>
      <c r="F85" s="28"/>
      <c r="G85" s="47" t="str">
        <f aca="false">IF('Daily Tracker'!I85="","",'Daily Tracker'!I85)</f>
        <v/>
      </c>
      <c r="H85" s="33" t="str">
        <f aca="false">IF(B85="","",B85/CalorieGoal)</f>
        <v/>
      </c>
      <c r="I85" s="33" t="str">
        <f aca="false">IF(C85="","",C85/ProteinGoal)</f>
        <v/>
      </c>
      <c r="J85" s="33" t="str">
        <f aca="false">IF(D85="","",D85/CarbGoal)</f>
        <v/>
      </c>
      <c r="K85" s="33" t="str">
        <f aca="false">IF(E85="","",E85/FatGoal)</f>
        <v/>
      </c>
      <c r="L85" s="33" t="str">
        <f aca="false">IF(F85="","",F85/FiberGoal)</f>
        <v/>
      </c>
      <c r="M85" s="33" t="str">
        <f aca="false">IF(G85="","",G85/WaterGoal)</f>
        <v/>
      </c>
    </row>
    <row r="86" customFormat="false" ht="15" hidden="false" customHeight="false" outlineLevel="0" collapsed="false">
      <c r="A86" s="35" t="n">
        <f aca="false">'Daily Tracker'!A86</f>
        <v>46104</v>
      </c>
      <c r="B86" s="28"/>
      <c r="C86" s="28"/>
      <c r="D86" s="28"/>
      <c r="E86" s="28"/>
      <c r="F86" s="28"/>
      <c r="G86" s="48" t="str">
        <f aca="false">IF('Daily Tracker'!I86="","",'Daily Tracker'!I86)</f>
        <v/>
      </c>
      <c r="H86" s="37" t="str">
        <f aca="false">IF(B86="","",B86/CalorieGoal)</f>
        <v/>
      </c>
      <c r="I86" s="37" t="str">
        <f aca="false">IF(C86="","",C86/ProteinGoal)</f>
        <v/>
      </c>
      <c r="J86" s="37" t="str">
        <f aca="false">IF(D86="","",D86/CarbGoal)</f>
        <v/>
      </c>
      <c r="K86" s="37" t="str">
        <f aca="false">IF(E86="","",E86/FatGoal)</f>
        <v/>
      </c>
      <c r="L86" s="37" t="str">
        <f aca="false">IF(F86="","",F86/FiberGoal)</f>
        <v/>
      </c>
      <c r="M86" s="37" t="str">
        <f aca="false">IF(G86="","",G86/WaterGoal)</f>
        <v/>
      </c>
    </row>
    <row r="87" customFormat="false" ht="15" hidden="false" customHeight="false" outlineLevel="0" collapsed="false">
      <c r="A87" s="26" t="n">
        <f aca="false">'Daily Tracker'!A87</f>
        <v>46105</v>
      </c>
      <c r="B87" s="28"/>
      <c r="C87" s="28"/>
      <c r="D87" s="28"/>
      <c r="E87" s="28"/>
      <c r="F87" s="28"/>
      <c r="G87" s="47" t="str">
        <f aca="false">IF('Daily Tracker'!I87="","",'Daily Tracker'!I87)</f>
        <v/>
      </c>
      <c r="H87" s="33" t="str">
        <f aca="false">IF(B87="","",B87/CalorieGoal)</f>
        <v/>
      </c>
      <c r="I87" s="33" t="str">
        <f aca="false">IF(C87="","",C87/ProteinGoal)</f>
        <v/>
      </c>
      <c r="J87" s="33" t="str">
        <f aca="false">IF(D87="","",D87/CarbGoal)</f>
        <v/>
      </c>
      <c r="K87" s="33" t="str">
        <f aca="false">IF(E87="","",E87/FatGoal)</f>
        <v/>
      </c>
      <c r="L87" s="33" t="str">
        <f aca="false">IF(F87="","",F87/FiberGoal)</f>
        <v/>
      </c>
      <c r="M87" s="33" t="str">
        <f aca="false">IF(G87="","",G87/WaterGoal)</f>
        <v/>
      </c>
    </row>
    <row r="88" customFormat="false" ht="15" hidden="false" customHeight="false" outlineLevel="0" collapsed="false">
      <c r="A88" s="35" t="n">
        <f aca="false">'Daily Tracker'!A88</f>
        <v>46106</v>
      </c>
      <c r="B88" s="28"/>
      <c r="C88" s="28"/>
      <c r="D88" s="28"/>
      <c r="E88" s="28"/>
      <c r="F88" s="28"/>
      <c r="G88" s="48" t="str">
        <f aca="false">IF('Daily Tracker'!I88="","",'Daily Tracker'!I88)</f>
        <v/>
      </c>
      <c r="H88" s="37" t="str">
        <f aca="false">IF(B88="","",B88/CalorieGoal)</f>
        <v/>
      </c>
      <c r="I88" s="37" t="str">
        <f aca="false">IF(C88="","",C88/ProteinGoal)</f>
        <v/>
      </c>
      <c r="J88" s="37" t="str">
        <f aca="false">IF(D88="","",D88/CarbGoal)</f>
        <v/>
      </c>
      <c r="K88" s="37" t="str">
        <f aca="false">IF(E88="","",E88/FatGoal)</f>
        <v/>
      </c>
      <c r="L88" s="37" t="str">
        <f aca="false">IF(F88="","",F88/FiberGoal)</f>
        <v/>
      </c>
      <c r="M88" s="37" t="str">
        <f aca="false">IF(G88="","",G88/WaterGoal)</f>
        <v/>
      </c>
    </row>
    <row r="89" customFormat="false" ht="15" hidden="false" customHeight="false" outlineLevel="0" collapsed="false">
      <c r="A89" s="26" t="n">
        <f aca="false">'Daily Tracker'!A89</f>
        <v>46107</v>
      </c>
      <c r="B89" s="28"/>
      <c r="C89" s="28"/>
      <c r="D89" s="28"/>
      <c r="E89" s="28"/>
      <c r="F89" s="28"/>
      <c r="G89" s="47" t="str">
        <f aca="false">IF('Daily Tracker'!I89="","",'Daily Tracker'!I89)</f>
        <v/>
      </c>
      <c r="H89" s="33" t="str">
        <f aca="false">IF(B89="","",B89/CalorieGoal)</f>
        <v/>
      </c>
      <c r="I89" s="33" t="str">
        <f aca="false">IF(C89="","",C89/ProteinGoal)</f>
        <v/>
      </c>
      <c r="J89" s="33" t="str">
        <f aca="false">IF(D89="","",D89/CarbGoal)</f>
        <v/>
      </c>
      <c r="K89" s="33" t="str">
        <f aca="false">IF(E89="","",E89/FatGoal)</f>
        <v/>
      </c>
      <c r="L89" s="33" t="str">
        <f aca="false">IF(F89="","",F89/FiberGoal)</f>
        <v/>
      </c>
      <c r="M89" s="33" t="str">
        <f aca="false">IF(G89="","",G89/WaterGoal)</f>
        <v/>
      </c>
    </row>
    <row r="90" customFormat="false" ht="15" hidden="false" customHeight="false" outlineLevel="0" collapsed="false">
      <c r="A90" s="35" t="n">
        <f aca="false">'Daily Tracker'!A90</f>
        <v>46108</v>
      </c>
      <c r="B90" s="28"/>
      <c r="C90" s="28"/>
      <c r="D90" s="28"/>
      <c r="E90" s="28"/>
      <c r="F90" s="28"/>
      <c r="G90" s="48" t="str">
        <f aca="false">IF('Daily Tracker'!I90="","",'Daily Tracker'!I90)</f>
        <v/>
      </c>
      <c r="H90" s="37" t="str">
        <f aca="false">IF(B90="","",B90/CalorieGoal)</f>
        <v/>
      </c>
      <c r="I90" s="37" t="str">
        <f aca="false">IF(C90="","",C90/ProteinGoal)</f>
        <v/>
      </c>
      <c r="J90" s="37" t="str">
        <f aca="false">IF(D90="","",D90/CarbGoal)</f>
        <v/>
      </c>
      <c r="K90" s="37" t="str">
        <f aca="false">IF(E90="","",E90/FatGoal)</f>
        <v/>
      </c>
      <c r="L90" s="37" t="str">
        <f aca="false">IF(F90="","",F90/FiberGoal)</f>
        <v/>
      </c>
      <c r="M90" s="37" t="str">
        <f aca="false">IF(G90="","",G90/WaterGoal)</f>
        <v/>
      </c>
    </row>
    <row r="91" customFormat="false" ht="15" hidden="false" customHeight="false" outlineLevel="0" collapsed="false">
      <c r="A91" s="26" t="n">
        <f aca="false">'Daily Tracker'!A91</f>
        <v>46109</v>
      </c>
      <c r="B91" s="28"/>
      <c r="C91" s="28"/>
      <c r="D91" s="28"/>
      <c r="E91" s="28"/>
      <c r="F91" s="28"/>
      <c r="G91" s="47" t="str">
        <f aca="false">IF('Daily Tracker'!I91="","",'Daily Tracker'!I91)</f>
        <v/>
      </c>
      <c r="H91" s="33" t="str">
        <f aca="false">IF(B91="","",B91/CalorieGoal)</f>
        <v/>
      </c>
      <c r="I91" s="33" t="str">
        <f aca="false">IF(C91="","",C91/ProteinGoal)</f>
        <v/>
      </c>
      <c r="J91" s="33" t="str">
        <f aca="false">IF(D91="","",D91/CarbGoal)</f>
        <v/>
      </c>
      <c r="K91" s="33" t="str">
        <f aca="false">IF(E91="","",E91/FatGoal)</f>
        <v/>
      </c>
      <c r="L91" s="33" t="str">
        <f aca="false">IF(F91="","",F91/FiberGoal)</f>
        <v/>
      </c>
      <c r="M91" s="33" t="str">
        <f aca="false">IF(G91="","",G91/WaterGoal)</f>
        <v/>
      </c>
    </row>
    <row r="92" customFormat="false" ht="15" hidden="false" customHeight="false" outlineLevel="0" collapsed="false">
      <c r="A92" s="35" t="n">
        <f aca="false">'Daily Tracker'!A92</f>
        <v>46110</v>
      </c>
      <c r="B92" s="28"/>
      <c r="C92" s="28"/>
      <c r="D92" s="28"/>
      <c r="E92" s="28"/>
      <c r="F92" s="28"/>
      <c r="G92" s="48" t="str">
        <f aca="false">IF('Daily Tracker'!I92="","",'Daily Tracker'!I92)</f>
        <v/>
      </c>
      <c r="H92" s="37" t="str">
        <f aca="false">IF(B92="","",B92/CalorieGoal)</f>
        <v/>
      </c>
      <c r="I92" s="37" t="str">
        <f aca="false">IF(C92="","",C92/ProteinGoal)</f>
        <v/>
      </c>
      <c r="J92" s="37" t="str">
        <f aca="false">IF(D92="","",D92/CarbGoal)</f>
        <v/>
      </c>
      <c r="K92" s="37" t="str">
        <f aca="false">IF(E92="","",E92/FatGoal)</f>
        <v/>
      </c>
      <c r="L92" s="37" t="str">
        <f aca="false">IF(F92="","",F92/FiberGoal)</f>
        <v/>
      </c>
      <c r="M92" s="37" t="str">
        <f aca="false">IF(G92="","",G92/WaterGoal)</f>
        <v/>
      </c>
    </row>
    <row r="93" customFormat="false" ht="15" hidden="false" customHeight="false" outlineLevel="0" collapsed="false">
      <c r="A93" s="26" t="n">
        <f aca="false">'Daily Tracker'!A93</f>
        <v>46111</v>
      </c>
      <c r="B93" s="28"/>
      <c r="C93" s="28"/>
      <c r="D93" s="28"/>
      <c r="E93" s="28"/>
      <c r="F93" s="28"/>
      <c r="G93" s="47" t="str">
        <f aca="false">IF('Daily Tracker'!I93="","",'Daily Tracker'!I93)</f>
        <v/>
      </c>
      <c r="H93" s="33" t="str">
        <f aca="false">IF(B93="","",B93/CalorieGoal)</f>
        <v/>
      </c>
      <c r="I93" s="33" t="str">
        <f aca="false">IF(C93="","",C93/ProteinGoal)</f>
        <v/>
      </c>
      <c r="J93" s="33" t="str">
        <f aca="false">IF(D93="","",D93/CarbGoal)</f>
        <v/>
      </c>
      <c r="K93" s="33" t="str">
        <f aca="false">IF(E93="","",E93/FatGoal)</f>
        <v/>
      </c>
      <c r="L93" s="33" t="str">
        <f aca="false">IF(F93="","",F93/FiberGoal)</f>
        <v/>
      </c>
      <c r="M93" s="33" t="str">
        <f aca="false">IF(G93="","",G93/WaterGoal)</f>
        <v/>
      </c>
    </row>
    <row r="94" customFormat="false" ht="15" hidden="false" customHeight="false" outlineLevel="0" collapsed="false">
      <c r="A94" s="35" t="n">
        <f aca="false">'Daily Tracker'!A94</f>
        <v>46112</v>
      </c>
      <c r="B94" s="28"/>
      <c r="C94" s="28"/>
      <c r="D94" s="28"/>
      <c r="E94" s="28"/>
      <c r="F94" s="28"/>
      <c r="G94" s="48" t="str">
        <f aca="false">IF('Daily Tracker'!I94="","",'Daily Tracker'!I94)</f>
        <v/>
      </c>
      <c r="H94" s="37" t="str">
        <f aca="false">IF(B94="","",B94/CalorieGoal)</f>
        <v/>
      </c>
      <c r="I94" s="37" t="str">
        <f aca="false">IF(C94="","",C94/ProteinGoal)</f>
        <v/>
      </c>
      <c r="J94" s="37" t="str">
        <f aca="false">IF(D94="","",D94/CarbGoal)</f>
        <v/>
      </c>
      <c r="K94" s="37" t="str">
        <f aca="false">IF(E94="","",E94/FatGoal)</f>
        <v/>
      </c>
      <c r="L94" s="37" t="str">
        <f aca="false">IF(F94="","",F94/FiberGoal)</f>
        <v/>
      </c>
      <c r="M94" s="37" t="str">
        <f aca="false">IF(G94="","",G94/WaterGoal)</f>
        <v/>
      </c>
    </row>
    <row r="95" customFormat="false" ht="15" hidden="false" customHeight="false" outlineLevel="0" collapsed="false">
      <c r="A95" s="26" t="n">
        <f aca="false">'Daily Tracker'!A95</f>
        <v>46113</v>
      </c>
      <c r="B95" s="28"/>
      <c r="C95" s="28"/>
      <c r="D95" s="28"/>
      <c r="E95" s="28"/>
      <c r="F95" s="28"/>
      <c r="G95" s="47" t="str">
        <f aca="false">IF('Daily Tracker'!I95="","",'Daily Tracker'!I95)</f>
        <v/>
      </c>
      <c r="H95" s="33" t="str">
        <f aca="false">IF(B95="","",B95/CalorieGoal)</f>
        <v/>
      </c>
      <c r="I95" s="33" t="str">
        <f aca="false">IF(C95="","",C95/ProteinGoal)</f>
        <v/>
      </c>
      <c r="J95" s="33" t="str">
        <f aca="false">IF(D95="","",D95/CarbGoal)</f>
        <v/>
      </c>
      <c r="K95" s="33" t="str">
        <f aca="false">IF(E95="","",E95/FatGoal)</f>
        <v/>
      </c>
      <c r="L95" s="33" t="str">
        <f aca="false">IF(F95="","",F95/FiberGoal)</f>
        <v/>
      </c>
      <c r="M95" s="33" t="str">
        <f aca="false">IF(G95="","",G95/WaterGoal)</f>
        <v/>
      </c>
    </row>
    <row r="96" customFormat="false" ht="15" hidden="false" customHeight="false" outlineLevel="0" collapsed="false">
      <c r="A96" s="35" t="n">
        <f aca="false">'Daily Tracker'!A96</f>
        <v>46114</v>
      </c>
      <c r="B96" s="28"/>
      <c r="C96" s="28"/>
      <c r="D96" s="28"/>
      <c r="E96" s="28"/>
      <c r="F96" s="28"/>
      <c r="G96" s="48" t="str">
        <f aca="false">IF('Daily Tracker'!I96="","",'Daily Tracker'!I96)</f>
        <v/>
      </c>
      <c r="H96" s="37" t="str">
        <f aca="false">IF(B96="","",B96/CalorieGoal)</f>
        <v/>
      </c>
      <c r="I96" s="37" t="str">
        <f aca="false">IF(C96="","",C96/ProteinGoal)</f>
        <v/>
      </c>
      <c r="J96" s="37" t="str">
        <f aca="false">IF(D96="","",D96/CarbGoal)</f>
        <v/>
      </c>
      <c r="K96" s="37" t="str">
        <f aca="false">IF(E96="","",E96/FatGoal)</f>
        <v/>
      </c>
      <c r="L96" s="37" t="str">
        <f aca="false">IF(F96="","",F96/FiberGoal)</f>
        <v/>
      </c>
      <c r="M96" s="37" t="str">
        <f aca="false">IF(G96="","",G96/WaterGoal)</f>
        <v/>
      </c>
    </row>
    <row r="97" customFormat="false" ht="15" hidden="false" customHeight="false" outlineLevel="0" collapsed="false">
      <c r="A97" s="26" t="n">
        <f aca="false">'Daily Tracker'!A97</f>
        <v>46115</v>
      </c>
      <c r="B97" s="28"/>
      <c r="C97" s="28"/>
      <c r="D97" s="28"/>
      <c r="E97" s="28"/>
      <c r="F97" s="28"/>
      <c r="G97" s="47" t="str">
        <f aca="false">IF('Daily Tracker'!I97="","",'Daily Tracker'!I97)</f>
        <v/>
      </c>
      <c r="H97" s="33" t="str">
        <f aca="false">IF(B97="","",B97/CalorieGoal)</f>
        <v/>
      </c>
      <c r="I97" s="33" t="str">
        <f aca="false">IF(C97="","",C97/ProteinGoal)</f>
        <v/>
      </c>
      <c r="J97" s="33" t="str">
        <f aca="false">IF(D97="","",D97/CarbGoal)</f>
        <v/>
      </c>
      <c r="K97" s="33" t="str">
        <f aca="false">IF(E97="","",E97/FatGoal)</f>
        <v/>
      </c>
      <c r="L97" s="33" t="str">
        <f aca="false">IF(F97="","",F97/FiberGoal)</f>
        <v/>
      </c>
      <c r="M97" s="33" t="str">
        <f aca="false">IF(G97="","",G97/WaterGoal)</f>
        <v/>
      </c>
    </row>
    <row r="98" customFormat="false" ht="15" hidden="false" customHeight="false" outlineLevel="0" collapsed="false">
      <c r="A98" s="35" t="n">
        <f aca="false">'Daily Tracker'!A98</f>
        <v>46116</v>
      </c>
      <c r="B98" s="28"/>
      <c r="C98" s="28"/>
      <c r="D98" s="28"/>
      <c r="E98" s="28"/>
      <c r="F98" s="28"/>
      <c r="G98" s="48" t="str">
        <f aca="false">IF('Daily Tracker'!I98="","",'Daily Tracker'!I98)</f>
        <v/>
      </c>
      <c r="H98" s="37" t="str">
        <f aca="false">IF(B98="","",B98/CalorieGoal)</f>
        <v/>
      </c>
      <c r="I98" s="37" t="str">
        <f aca="false">IF(C98="","",C98/ProteinGoal)</f>
        <v/>
      </c>
      <c r="J98" s="37" t="str">
        <f aca="false">IF(D98="","",D98/CarbGoal)</f>
        <v/>
      </c>
      <c r="K98" s="37" t="str">
        <f aca="false">IF(E98="","",E98/FatGoal)</f>
        <v/>
      </c>
      <c r="L98" s="37" t="str">
        <f aca="false">IF(F98="","",F98/FiberGoal)</f>
        <v/>
      </c>
      <c r="M98" s="37" t="str">
        <f aca="false">IF(G98="","",G98/WaterGoal)</f>
        <v/>
      </c>
    </row>
    <row r="99" customFormat="false" ht="15" hidden="false" customHeight="false" outlineLevel="0" collapsed="false">
      <c r="A99" s="26" t="n">
        <f aca="false">'Daily Tracker'!A99</f>
        <v>46117</v>
      </c>
      <c r="B99" s="28"/>
      <c r="C99" s="28"/>
      <c r="D99" s="28"/>
      <c r="E99" s="28"/>
      <c r="F99" s="28"/>
      <c r="G99" s="47" t="str">
        <f aca="false">IF('Daily Tracker'!I99="","",'Daily Tracker'!I99)</f>
        <v/>
      </c>
      <c r="H99" s="33" t="str">
        <f aca="false">IF(B99="","",B99/CalorieGoal)</f>
        <v/>
      </c>
      <c r="I99" s="33" t="str">
        <f aca="false">IF(C99="","",C99/ProteinGoal)</f>
        <v/>
      </c>
      <c r="J99" s="33" t="str">
        <f aca="false">IF(D99="","",D99/CarbGoal)</f>
        <v/>
      </c>
      <c r="K99" s="33" t="str">
        <f aca="false">IF(E99="","",E99/FatGoal)</f>
        <v/>
      </c>
      <c r="L99" s="33" t="str">
        <f aca="false">IF(F99="","",F99/FiberGoal)</f>
        <v/>
      </c>
      <c r="M99" s="33" t="str">
        <f aca="false">IF(G99="","",G99/WaterGoal)</f>
        <v/>
      </c>
    </row>
    <row r="100" customFormat="false" ht="15" hidden="false" customHeight="false" outlineLevel="0" collapsed="false">
      <c r="A100" s="35" t="n">
        <f aca="false">'Daily Tracker'!A100</f>
        <v>46118</v>
      </c>
      <c r="B100" s="28"/>
      <c r="C100" s="28"/>
      <c r="D100" s="28"/>
      <c r="E100" s="28"/>
      <c r="F100" s="28"/>
      <c r="G100" s="48" t="str">
        <f aca="false">IF('Daily Tracker'!I100="","",'Daily Tracker'!I100)</f>
        <v/>
      </c>
      <c r="H100" s="37" t="str">
        <f aca="false">IF(B100="","",B100/CalorieGoal)</f>
        <v/>
      </c>
      <c r="I100" s="37" t="str">
        <f aca="false">IF(C100="","",C100/ProteinGoal)</f>
        <v/>
      </c>
      <c r="J100" s="37" t="str">
        <f aca="false">IF(D100="","",D100/CarbGoal)</f>
        <v/>
      </c>
      <c r="K100" s="37" t="str">
        <f aca="false">IF(E100="","",E100/FatGoal)</f>
        <v/>
      </c>
      <c r="L100" s="37" t="str">
        <f aca="false">IF(F100="","",F100/FiberGoal)</f>
        <v/>
      </c>
      <c r="M100" s="37" t="str">
        <f aca="false">IF(G100="","",G100/WaterGoal)</f>
        <v/>
      </c>
    </row>
    <row r="101" customFormat="false" ht="15" hidden="false" customHeight="false" outlineLevel="0" collapsed="false">
      <c r="A101" s="26" t="n">
        <f aca="false">'Daily Tracker'!A101</f>
        <v>46119</v>
      </c>
      <c r="B101" s="28"/>
      <c r="C101" s="28"/>
      <c r="D101" s="28"/>
      <c r="E101" s="28"/>
      <c r="F101" s="28"/>
      <c r="G101" s="47" t="str">
        <f aca="false">IF('Daily Tracker'!I101="","",'Daily Tracker'!I101)</f>
        <v/>
      </c>
      <c r="H101" s="33" t="str">
        <f aca="false">IF(B101="","",B101/CalorieGoal)</f>
        <v/>
      </c>
      <c r="I101" s="33" t="str">
        <f aca="false">IF(C101="","",C101/ProteinGoal)</f>
        <v/>
      </c>
      <c r="J101" s="33" t="str">
        <f aca="false">IF(D101="","",D101/CarbGoal)</f>
        <v/>
      </c>
      <c r="K101" s="33" t="str">
        <f aca="false">IF(E101="","",E101/FatGoal)</f>
        <v/>
      </c>
      <c r="L101" s="33" t="str">
        <f aca="false">IF(F101="","",F101/FiberGoal)</f>
        <v/>
      </c>
      <c r="M101" s="33" t="str">
        <f aca="false">IF(G101="","",G101/WaterGoal)</f>
        <v/>
      </c>
    </row>
    <row r="102" customFormat="false" ht="15" hidden="false" customHeight="false" outlineLevel="0" collapsed="false">
      <c r="A102" s="35" t="n">
        <f aca="false">'Daily Tracker'!A102</f>
        <v>46120</v>
      </c>
      <c r="B102" s="28"/>
      <c r="C102" s="28"/>
      <c r="D102" s="28"/>
      <c r="E102" s="28"/>
      <c r="F102" s="28"/>
      <c r="G102" s="48" t="str">
        <f aca="false">IF('Daily Tracker'!I102="","",'Daily Tracker'!I102)</f>
        <v/>
      </c>
      <c r="H102" s="37" t="str">
        <f aca="false">IF(B102="","",B102/CalorieGoal)</f>
        <v/>
      </c>
      <c r="I102" s="37" t="str">
        <f aca="false">IF(C102="","",C102/ProteinGoal)</f>
        <v/>
      </c>
      <c r="J102" s="37" t="str">
        <f aca="false">IF(D102="","",D102/CarbGoal)</f>
        <v/>
      </c>
      <c r="K102" s="37" t="str">
        <f aca="false">IF(E102="","",E102/FatGoal)</f>
        <v/>
      </c>
      <c r="L102" s="37" t="str">
        <f aca="false">IF(F102="","",F102/FiberGoal)</f>
        <v/>
      </c>
      <c r="M102" s="37" t="str">
        <f aca="false">IF(G102="","",G102/WaterGoal)</f>
        <v/>
      </c>
    </row>
    <row r="103" customFormat="false" ht="15" hidden="false" customHeight="false" outlineLevel="0" collapsed="false">
      <c r="A103" s="26" t="n">
        <f aca="false">'Daily Tracker'!A103</f>
        <v>46121</v>
      </c>
      <c r="B103" s="28"/>
      <c r="C103" s="28"/>
      <c r="D103" s="28"/>
      <c r="E103" s="28"/>
      <c r="F103" s="28"/>
      <c r="G103" s="47" t="str">
        <f aca="false">IF('Daily Tracker'!I103="","",'Daily Tracker'!I103)</f>
        <v/>
      </c>
      <c r="H103" s="33" t="str">
        <f aca="false">IF(B103="","",B103/CalorieGoal)</f>
        <v/>
      </c>
      <c r="I103" s="33" t="str">
        <f aca="false">IF(C103="","",C103/ProteinGoal)</f>
        <v/>
      </c>
      <c r="J103" s="33" t="str">
        <f aca="false">IF(D103="","",D103/CarbGoal)</f>
        <v/>
      </c>
      <c r="K103" s="33" t="str">
        <f aca="false">IF(E103="","",E103/FatGoal)</f>
        <v/>
      </c>
      <c r="L103" s="33" t="str">
        <f aca="false">IF(F103="","",F103/FiberGoal)</f>
        <v/>
      </c>
      <c r="M103" s="33" t="str">
        <f aca="false">IF(G103="","",G103/WaterGoal)</f>
        <v/>
      </c>
    </row>
    <row r="104" customFormat="false" ht="15" hidden="false" customHeight="false" outlineLevel="0" collapsed="false">
      <c r="A104" s="35" t="n">
        <f aca="false">'Daily Tracker'!A104</f>
        <v>46122</v>
      </c>
      <c r="B104" s="28"/>
      <c r="C104" s="28"/>
      <c r="D104" s="28"/>
      <c r="E104" s="28"/>
      <c r="F104" s="28"/>
      <c r="G104" s="48" t="str">
        <f aca="false">IF('Daily Tracker'!I104="","",'Daily Tracker'!I104)</f>
        <v/>
      </c>
      <c r="H104" s="37" t="str">
        <f aca="false">IF(B104="","",B104/CalorieGoal)</f>
        <v/>
      </c>
      <c r="I104" s="37" t="str">
        <f aca="false">IF(C104="","",C104/ProteinGoal)</f>
        <v/>
      </c>
      <c r="J104" s="37" t="str">
        <f aca="false">IF(D104="","",D104/CarbGoal)</f>
        <v/>
      </c>
      <c r="K104" s="37" t="str">
        <f aca="false">IF(E104="","",E104/FatGoal)</f>
        <v/>
      </c>
      <c r="L104" s="37" t="str">
        <f aca="false">IF(F104="","",F104/FiberGoal)</f>
        <v/>
      </c>
      <c r="M104" s="37" t="str">
        <f aca="false">IF(G104="","",G104/WaterGoal)</f>
        <v/>
      </c>
    </row>
    <row r="105" customFormat="false" ht="15" hidden="false" customHeight="false" outlineLevel="0" collapsed="false">
      <c r="A105" s="26" t="n">
        <f aca="false">'Daily Tracker'!A105</f>
        <v>46123</v>
      </c>
      <c r="B105" s="28"/>
      <c r="C105" s="28"/>
      <c r="D105" s="28"/>
      <c r="E105" s="28"/>
      <c r="F105" s="28"/>
      <c r="G105" s="47" t="str">
        <f aca="false">IF('Daily Tracker'!I105="","",'Daily Tracker'!I105)</f>
        <v/>
      </c>
      <c r="H105" s="33" t="str">
        <f aca="false">IF(B105="","",B105/CalorieGoal)</f>
        <v/>
      </c>
      <c r="I105" s="33" t="str">
        <f aca="false">IF(C105="","",C105/ProteinGoal)</f>
        <v/>
      </c>
      <c r="J105" s="33" t="str">
        <f aca="false">IF(D105="","",D105/CarbGoal)</f>
        <v/>
      </c>
      <c r="K105" s="33" t="str">
        <f aca="false">IF(E105="","",E105/FatGoal)</f>
        <v/>
      </c>
      <c r="L105" s="33" t="str">
        <f aca="false">IF(F105="","",F105/FiberGoal)</f>
        <v/>
      </c>
      <c r="M105" s="33" t="str">
        <f aca="false">IF(G105="","",G105/WaterGoal)</f>
        <v/>
      </c>
    </row>
    <row r="106" customFormat="false" ht="15" hidden="false" customHeight="false" outlineLevel="0" collapsed="false">
      <c r="A106" s="35" t="n">
        <f aca="false">'Daily Tracker'!A106</f>
        <v>46124</v>
      </c>
      <c r="B106" s="28"/>
      <c r="C106" s="28"/>
      <c r="D106" s="28"/>
      <c r="E106" s="28"/>
      <c r="F106" s="28"/>
      <c r="G106" s="48" t="str">
        <f aca="false">IF('Daily Tracker'!I106="","",'Daily Tracker'!I106)</f>
        <v/>
      </c>
      <c r="H106" s="37" t="str">
        <f aca="false">IF(B106="","",B106/CalorieGoal)</f>
        <v/>
      </c>
      <c r="I106" s="37" t="str">
        <f aca="false">IF(C106="","",C106/ProteinGoal)</f>
        <v/>
      </c>
      <c r="J106" s="37" t="str">
        <f aca="false">IF(D106="","",D106/CarbGoal)</f>
        <v/>
      </c>
      <c r="K106" s="37" t="str">
        <f aca="false">IF(E106="","",E106/FatGoal)</f>
        <v/>
      </c>
      <c r="L106" s="37" t="str">
        <f aca="false">IF(F106="","",F106/FiberGoal)</f>
        <v/>
      </c>
      <c r="M106" s="37" t="str">
        <f aca="false">IF(G106="","",G106/WaterGoal)</f>
        <v/>
      </c>
    </row>
    <row r="107" customFormat="false" ht="15" hidden="false" customHeight="false" outlineLevel="0" collapsed="false">
      <c r="A107" s="26" t="n">
        <f aca="false">'Daily Tracker'!A107</f>
        <v>46125</v>
      </c>
      <c r="B107" s="28"/>
      <c r="C107" s="28"/>
      <c r="D107" s="28"/>
      <c r="E107" s="28"/>
      <c r="F107" s="28"/>
      <c r="G107" s="47" t="str">
        <f aca="false">IF('Daily Tracker'!I107="","",'Daily Tracker'!I107)</f>
        <v/>
      </c>
      <c r="H107" s="33" t="str">
        <f aca="false">IF(B107="","",B107/CalorieGoal)</f>
        <v/>
      </c>
      <c r="I107" s="33" t="str">
        <f aca="false">IF(C107="","",C107/ProteinGoal)</f>
        <v/>
      </c>
      <c r="J107" s="33" t="str">
        <f aca="false">IF(D107="","",D107/CarbGoal)</f>
        <v/>
      </c>
      <c r="K107" s="33" t="str">
        <f aca="false">IF(E107="","",E107/FatGoal)</f>
        <v/>
      </c>
      <c r="L107" s="33" t="str">
        <f aca="false">IF(F107="","",F107/FiberGoal)</f>
        <v/>
      </c>
      <c r="M107" s="33" t="str">
        <f aca="false">IF(G107="","",G107/WaterGoal)</f>
        <v/>
      </c>
    </row>
    <row r="108" customFormat="false" ht="15" hidden="false" customHeight="false" outlineLevel="0" collapsed="false">
      <c r="A108" s="35" t="n">
        <f aca="false">'Daily Tracker'!A108</f>
        <v>46126</v>
      </c>
      <c r="B108" s="28"/>
      <c r="C108" s="28"/>
      <c r="D108" s="28"/>
      <c r="E108" s="28"/>
      <c r="F108" s="28"/>
      <c r="G108" s="48" t="str">
        <f aca="false">IF('Daily Tracker'!I108="","",'Daily Tracker'!I108)</f>
        <v/>
      </c>
      <c r="H108" s="37" t="str">
        <f aca="false">IF(B108="","",B108/CalorieGoal)</f>
        <v/>
      </c>
      <c r="I108" s="37" t="str">
        <f aca="false">IF(C108="","",C108/ProteinGoal)</f>
        <v/>
      </c>
      <c r="J108" s="37" t="str">
        <f aca="false">IF(D108="","",D108/CarbGoal)</f>
        <v/>
      </c>
      <c r="K108" s="37" t="str">
        <f aca="false">IF(E108="","",E108/FatGoal)</f>
        <v/>
      </c>
      <c r="L108" s="37" t="str">
        <f aca="false">IF(F108="","",F108/FiberGoal)</f>
        <v/>
      </c>
      <c r="M108" s="37" t="str">
        <f aca="false">IF(G108="","",G108/WaterGoal)</f>
        <v/>
      </c>
    </row>
    <row r="109" customFormat="false" ht="15" hidden="false" customHeight="false" outlineLevel="0" collapsed="false">
      <c r="A109" s="26" t="n">
        <f aca="false">'Daily Tracker'!A109</f>
        <v>46127</v>
      </c>
      <c r="B109" s="28"/>
      <c r="C109" s="28"/>
      <c r="D109" s="28"/>
      <c r="E109" s="28"/>
      <c r="F109" s="28"/>
      <c r="G109" s="47" t="str">
        <f aca="false">IF('Daily Tracker'!I109="","",'Daily Tracker'!I109)</f>
        <v/>
      </c>
      <c r="H109" s="33" t="str">
        <f aca="false">IF(B109="","",B109/CalorieGoal)</f>
        <v/>
      </c>
      <c r="I109" s="33" t="str">
        <f aca="false">IF(C109="","",C109/ProteinGoal)</f>
        <v/>
      </c>
      <c r="J109" s="33" t="str">
        <f aca="false">IF(D109="","",D109/CarbGoal)</f>
        <v/>
      </c>
      <c r="K109" s="33" t="str">
        <f aca="false">IF(E109="","",E109/FatGoal)</f>
        <v/>
      </c>
      <c r="L109" s="33" t="str">
        <f aca="false">IF(F109="","",F109/FiberGoal)</f>
        <v/>
      </c>
      <c r="M109" s="33" t="str">
        <f aca="false">IF(G109="","",G109/WaterGoal)</f>
        <v/>
      </c>
    </row>
    <row r="110" customFormat="false" ht="15" hidden="false" customHeight="false" outlineLevel="0" collapsed="false">
      <c r="A110" s="35" t="n">
        <f aca="false">'Daily Tracker'!A110</f>
        <v>46128</v>
      </c>
      <c r="B110" s="28"/>
      <c r="C110" s="28"/>
      <c r="D110" s="28"/>
      <c r="E110" s="28"/>
      <c r="F110" s="28"/>
      <c r="G110" s="48" t="str">
        <f aca="false">IF('Daily Tracker'!I110="","",'Daily Tracker'!I110)</f>
        <v/>
      </c>
      <c r="H110" s="37" t="str">
        <f aca="false">IF(B110="","",B110/CalorieGoal)</f>
        <v/>
      </c>
      <c r="I110" s="37" t="str">
        <f aca="false">IF(C110="","",C110/ProteinGoal)</f>
        <v/>
      </c>
      <c r="J110" s="37" t="str">
        <f aca="false">IF(D110="","",D110/CarbGoal)</f>
        <v/>
      </c>
      <c r="K110" s="37" t="str">
        <f aca="false">IF(E110="","",E110/FatGoal)</f>
        <v/>
      </c>
      <c r="L110" s="37" t="str">
        <f aca="false">IF(F110="","",F110/FiberGoal)</f>
        <v/>
      </c>
      <c r="M110" s="37" t="str">
        <f aca="false">IF(G110="","",G110/WaterGoal)</f>
        <v/>
      </c>
    </row>
    <row r="111" customFormat="false" ht="15" hidden="false" customHeight="false" outlineLevel="0" collapsed="false">
      <c r="A111" s="26" t="n">
        <f aca="false">'Daily Tracker'!A111</f>
        <v>46129</v>
      </c>
      <c r="B111" s="28"/>
      <c r="C111" s="28"/>
      <c r="D111" s="28"/>
      <c r="E111" s="28"/>
      <c r="F111" s="28"/>
      <c r="G111" s="47" t="str">
        <f aca="false">IF('Daily Tracker'!I111="","",'Daily Tracker'!I111)</f>
        <v/>
      </c>
      <c r="H111" s="33" t="str">
        <f aca="false">IF(B111="","",B111/CalorieGoal)</f>
        <v/>
      </c>
      <c r="I111" s="33" t="str">
        <f aca="false">IF(C111="","",C111/ProteinGoal)</f>
        <v/>
      </c>
      <c r="J111" s="33" t="str">
        <f aca="false">IF(D111="","",D111/CarbGoal)</f>
        <v/>
      </c>
      <c r="K111" s="33" t="str">
        <f aca="false">IF(E111="","",E111/FatGoal)</f>
        <v/>
      </c>
      <c r="L111" s="33" t="str">
        <f aca="false">IF(F111="","",F111/FiberGoal)</f>
        <v/>
      </c>
      <c r="M111" s="33" t="str">
        <f aca="false">IF(G111="","",G111/WaterGoal)</f>
        <v/>
      </c>
    </row>
    <row r="112" customFormat="false" ht="15" hidden="false" customHeight="false" outlineLevel="0" collapsed="false">
      <c r="A112" s="35" t="n">
        <f aca="false">'Daily Tracker'!A112</f>
        <v>46130</v>
      </c>
      <c r="B112" s="28"/>
      <c r="C112" s="28"/>
      <c r="D112" s="28"/>
      <c r="E112" s="28"/>
      <c r="F112" s="28"/>
      <c r="G112" s="48" t="str">
        <f aca="false">IF('Daily Tracker'!I112="","",'Daily Tracker'!I112)</f>
        <v/>
      </c>
      <c r="H112" s="37" t="str">
        <f aca="false">IF(B112="","",B112/CalorieGoal)</f>
        <v/>
      </c>
      <c r="I112" s="37" t="str">
        <f aca="false">IF(C112="","",C112/ProteinGoal)</f>
        <v/>
      </c>
      <c r="J112" s="37" t="str">
        <f aca="false">IF(D112="","",D112/CarbGoal)</f>
        <v/>
      </c>
      <c r="K112" s="37" t="str">
        <f aca="false">IF(E112="","",E112/FatGoal)</f>
        <v/>
      </c>
      <c r="L112" s="37" t="str">
        <f aca="false">IF(F112="","",F112/FiberGoal)</f>
        <v/>
      </c>
      <c r="M112" s="37" t="str">
        <f aca="false">IF(G112="","",G112/WaterGoal)</f>
        <v/>
      </c>
    </row>
    <row r="113" customFormat="false" ht="15" hidden="false" customHeight="false" outlineLevel="0" collapsed="false">
      <c r="A113" s="26" t="n">
        <f aca="false">'Daily Tracker'!A113</f>
        <v>46131</v>
      </c>
      <c r="B113" s="28"/>
      <c r="C113" s="28"/>
      <c r="D113" s="28"/>
      <c r="E113" s="28"/>
      <c r="F113" s="28"/>
      <c r="G113" s="47" t="str">
        <f aca="false">IF('Daily Tracker'!I113="","",'Daily Tracker'!I113)</f>
        <v/>
      </c>
      <c r="H113" s="33" t="str">
        <f aca="false">IF(B113="","",B113/CalorieGoal)</f>
        <v/>
      </c>
      <c r="I113" s="33" t="str">
        <f aca="false">IF(C113="","",C113/ProteinGoal)</f>
        <v/>
      </c>
      <c r="J113" s="33" t="str">
        <f aca="false">IF(D113="","",D113/CarbGoal)</f>
        <v/>
      </c>
      <c r="K113" s="33" t="str">
        <f aca="false">IF(E113="","",E113/FatGoal)</f>
        <v/>
      </c>
      <c r="L113" s="33" t="str">
        <f aca="false">IF(F113="","",F113/FiberGoal)</f>
        <v/>
      </c>
      <c r="M113" s="33" t="str">
        <f aca="false">IF(G113="","",G113/WaterGoal)</f>
        <v/>
      </c>
    </row>
    <row r="114" customFormat="false" ht="15" hidden="false" customHeight="false" outlineLevel="0" collapsed="false">
      <c r="A114" s="35" t="n">
        <f aca="false">'Daily Tracker'!A114</f>
        <v>46132</v>
      </c>
      <c r="B114" s="28"/>
      <c r="C114" s="28"/>
      <c r="D114" s="28"/>
      <c r="E114" s="28"/>
      <c r="F114" s="28"/>
      <c r="G114" s="48" t="str">
        <f aca="false">IF('Daily Tracker'!I114="","",'Daily Tracker'!I114)</f>
        <v/>
      </c>
      <c r="H114" s="37" t="str">
        <f aca="false">IF(B114="","",B114/CalorieGoal)</f>
        <v/>
      </c>
      <c r="I114" s="37" t="str">
        <f aca="false">IF(C114="","",C114/ProteinGoal)</f>
        <v/>
      </c>
      <c r="J114" s="37" t="str">
        <f aca="false">IF(D114="","",D114/CarbGoal)</f>
        <v/>
      </c>
      <c r="K114" s="37" t="str">
        <f aca="false">IF(E114="","",E114/FatGoal)</f>
        <v/>
      </c>
      <c r="L114" s="37" t="str">
        <f aca="false">IF(F114="","",F114/FiberGoal)</f>
        <v/>
      </c>
      <c r="M114" s="37" t="str">
        <f aca="false">IF(G114="","",G114/WaterGoal)</f>
        <v/>
      </c>
    </row>
    <row r="115" customFormat="false" ht="15" hidden="false" customHeight="false" outlineLevel="0" collapsed="false">
      <c r="A115" s="26" t="n">
        <f aca="false">'Daily Tracker'!A115</f>
        <v>46133</v>
      </c>
      <c r="B115" s="28"/>
      <c r="C115" s="28"/>
      <c r="D115" s="28"/>
      <c r="E115" s="28"/>
      <c r="F115" s="28"/>
      <c r="G115" s="47" t="str">
        <f aca="false">IF('Daily Tracker'!I115="","",'Daily Tracker'!I115)</f>
        <v/>
      </c>
      <c r="H115" s="33" t="str">
        <f aca="false">IF(B115="","",B115/CalorieGoal)</f>
        <v/>
      </c>
      <c r="I115" s="33" t="str">
        <f aca="false">IF(C115="","",C115/ProteinGoal)</f>
        <v/>
      </c>
      <c r="J115" s="33" t="str">
        <f aca="false">IF(D115="","",D115/CarbGoal)</f>
        <v/>
      </c>
      <c r="K115" s="33" t="str">
        <f aca="false">IF(E115="","",E115/FatGoal)</f>
        <v/>
      </c>
      <c r="L115" s="33" t="str">
        <f aca="false">IF(F115="","",F115/FiberGoal)</f>
        <v/>
      </c>
      <c r="M115" s="33" t="str">
        <f aca="false">IF(G115="","",G115/WaterGoal)</f>
        <v/>
      </c>
    </row>
    <row r="116" customFormat="false" ht="15" hidden="false" customHeight="false" outlineLevel="0" collapsed="false">
      <c r="A116" s="35" t="n">
        <f aca="false">'Daily Tracker'!A116</f>
        <v>46134</v>
      </c>
      <c r="B116" s="28"/>
      <c r="C116" s="28"/>
      <c r="D116" s="28"/>
      <c r="E116" s="28"/>
      <c r="F116" s="28"/>
      <c r="G116" s="48" t="str">
        <f aca="false">IF('Daily Tracker'!I116="","",'Daily Tracker'!I116)</f>
        <v/>
      </c>
      <c r="H116" s="37" t="str">
        <f aca="false">IF(B116="","",B116/CalorieGoal)</f>
        <v/>
      </c>
      <c r="I116" s="37" t="str">
        <f aca="false">IF(C116="","",C116/ProteinGoal)</f>
        <v/>
      </c>
      <c r="J116" s="37" t="str">
        <f aca="false">IF(D116="","",D116/CarbGoal)</f>
        <v/>
      </c>
      <c r="K116" s="37" t="str">
        <f aca="false">IF(E116="","",E116/FatGoal)</f>
        <v/>
      </c>
      <c r="L116" s="37" t="str">
        <f aca="false">IF(F116="","",F116/FiberGoal)</f>
        <v/>
      </c>
      <c r="M116" s="37" t="str">
        <f aca="false">IF(G116="","",G116/WaterGoal)</f>
        <v/>
      </c>
    </row>
    <row r="117" customFormat="false" ht="15" hidden="false" customHeight="false" outlineLevel="0" collapsed="false">
      <c r="A117" s="26" t="n">
        <f aca="false">'Daily Tracker'!A117</f>
        <v>46135</v>
      </c>
      <c r="B117" s="28"/>
      <c r="C117" s="28"/>
      <c r="D117" s="28"/>
      <c r="E117" s="28"/>
      <c r="F117" s="28"/>
      <c r="G117" s="47" t="str">
        <f aca="false">IF('Daily Tracker'!I117="","",'Daily Tracker'!I117)</f>
        <v/>
      </c>
      <c r="H117" s="33" t="str">
        <f aca="false">IF(B117="","",B117/CalorieGoal)</f>
        <v/>
      </c>
      <c r="I117" s="33" t="str">
        <f aca="false">IF(C117="","",C117/ProteinGoal)</f>
        <v/>
      </c>
      <c r="J117" s="33" t="str">
        <f aca="false">IF(D117="","",D117/CarbGoal)</f>
        <v/>
      </c>
      <c r="K117" s="33" t="str">
        <f aca="false">IF(E117="","",E117/FatGoal)</f>
        <v/>
      </c>
      <c r="L117" s="33" t="str">
        <f aca="false">IF(F117="","",F117/FiberGoal)</f>
        <v/>
      </c>
      <c r="M117" s="33" t="str">
        <f aca="false">IF(G117="","",G117/WaterGoal)</f>
        <v/>
      </c>
    </row>
    <row r="118" customFormat="false" ht="15" hidden="false" customHeight="false" outlineLevel="0" collapsed="false">
      <c r="A118" s="35" t="n">
        <f aca="false">'Daily Tracker'!A118</f>
        <v>46136</v>
      </c>
      <c r="B118" s="28"/>
      <c r="C118" s="28"/>
      <c r="D118" s="28"/>
      <c r="E118" s="28"/>
      <c r="F118" s="28"/>
      <c r="G118" s="48" t="str">
        <f aca="false">IF('Daily Tracker'!I118="","",'Daily Tracker'!I118)</f>
        <v/>
      </c>
      <c r="H118" s="37" t="str">
        <f aca="false">IF(B118="","",B118/CalorieGoal)</f>
        <v/>
      </c>
      <c r="I118" s="37" t="str">
        <f aca="false">IF(C118="","",C118/ProteinGoal)</f>
        <v/>
      </c>
      <c r="J118" s="37" t="str">
        <f aca="false">IF(D118="","",D118/CarbGoal)</f>
        <v/>
      </c>
      <c r="K118" s="37" t="str">
        <f aca="false">IF(E118="","",E118/FatGoal)</f>
        <v/>
      </c>
      <c r="L118" s="37" t="str">
        <f aca="false">IF(F118="","",F118/FiberGoal)</f>
        <v/>
      </c>
      <c r="M118" s="37" t="str">
        <f aca="false">IF(G118="","",G118/WaterGoal)</f>
        <v/>
      </c>
    </row>
    <row r="119" customFormat="false" ht="15" hidden="false" customHeight="false" outlineLevel="0" collapsed="false">
      <c r="A119" s="26" t="n">
        <f aca="false">'Daily Tracker'!A119</f>
        <v>46137</v>
      </c>
      <c r="B119" s="28"/>
      <c r="C119" s="28"/>
      <c r="D119" s="28"/>
      <c r="E119" s="28"/>
      <c r="F119" s="28"/>
      <c r="G119" s="47" t="str">
        <f aca="false">IF('Daily Tracker'!I119="","",'Daily Tracker'!I119)</f>
        <v/>
      </c>
      <c r="H119" s="33" t="str">
        <f aca="false">IF(B119="","",B119/CalorieGoal)</f>
        <v/>
      </c>
      <c r="I119" s="33" t="str">
        <f aca="false">IF(C119="","",C119/ProteinGoal)</f>
        <v/>
      </c>
      <c r="J119" s="33" t="str">
        <f aca="false">IF(D119="","",D119/CarbGoal)</f>
        <v/>
      </c>
      <c r="K119" s="33" t="str">
        <f aca="false">IF(E119="","",E119/FatGoal)</f>
        <v/>
      </c>
      <c r="L119" s="33" t="str">
        <f aca="false">IF(F119="","",F119/FiberGoal)</f>
        <v/>
      </c>
      <c r="M119" s="33" t="str">
        <f aca="false">IF(G119="","",G119/WaterGoal)</f>
        <v/>
      </c>
    </row>
    <row r="120" customFormat="false" ht="15" hidden="false" customHeight="false" outlineLevel="0" collapsed="false">
      <c r="A120" s="35" t="n">
        <f aca="false">'Daily Tracker'!A120</f>
        <v>46138</v>
      </c>
      <c r="B120" s="28"/>
      <c r="C120" s="28"/>
      <c r="D120" s="28"/>
      <c r="E120" s="28"/>
      <c r="F120" s="28"/>
      <c r="G120" s="48" t="str">
        <f aca="false">IF('Daily Tracker'!I120="","",'Daily Tracker'!I120)</f>
        <v/>
      </c>
      <c r="H120" s="37" t="str">
        <f aca="false">IF(B120="","",B120/CalorieGoal)</f>
        <v/>
      </c>
      <c r="I120" s="37" t="str">
        <f aca="false">IF(C120="","",C120/ProteinGoal)</f>
        <v/>
      </c>
      <c r="J120" s="37" t="str">
        <f aca="false">IF(D120="","",D120/CarbGoal)</f>
        <v/>
      </c>
      <c r="K120" s="37" t="str">
        <f aca="false">IF(E120="","",E120/FatGoal)</f>
        <v/>
      </c>
      <c r="L120" s="37" t="str">
        <f aca="false">IF(F120="","",F120/FiberGoal)</f>
        <v/>
      </c>
      <c r="M120" s="37" t="str">
        <f aca="false">IF(G120="","",G120/WaterGoal)</f>
        <v/>
      </c>
    </row>
    <row r="121" customFormat="false" ht="15" hidden="false" customHeight="false" outlineLevel="0" collapsed="false">
      <c r="A121" s="26" t="n">
        <f aca="false">'Daily Tracker'!A121</f>
        <v>46139</v>
      </c>
      <c r="B121" s="28"/>
      <c r="C121" s="28"/>
      <c r="D121" s="28"/>
      <c r="E121" s="28"/>
      <c r="F121" s="28"/>
      <c r="G121" s="47" t="str">
        <f aca="false">IF('Daily Tracker'!I121="","",'Daily Tracker'!I121)</f>
        <v/>
      </c>
      <c r="H121" s="33" t="str">
        <f aca="false">IF(B121="","",B121/CalorieGoal)</f>
        <v/>
      </c>
      <c r="I121" s="33" t="str">
        <f aca="false">IF(C121="","",C121/ProteinGoal)</f>
        <v/>
      </c>
      <c r="J121" s="33" t="str">
        <f aca="false">IF(D121="","",D121/CarbGoal)</f>
        <v/>
      </c>
      <c r="K121" s="33" t="str">
        <f aca="false">IF(E121="","",E121/FatGoal)</f>
        <v/>
      </c>
      <c r="L121" s="33" t="str">
        <f aca="false">IF(F121="","",F121/FiberGoal)</f>
        <v/>
      </c>
      <c r="M121" s="33" t="str">
        <f aca="false">IF(G121="","",G121/WaterGoal)</f>
        <v/>
      </c>
    </row>
    <row r="122" customFormat="false" ht="15" hidden="false" customHeight="false" outlineLevel="0" collapsed="false">
      <c r="A122" s="35" t="n">
        <f aca="false">'Daily Tracker'!A122</f>
        <v>46140</v>
      </c>
      <c r="B122" s="28"/>
      <c r="C122" s="28"/>
      <c r="D122" s="28"/>
      <c r="E122" s="28"/>
      <c r="F122" s="28"/>
      <c r="G122" s="48" t="str">
        <f aca="false">IF('Daily Tracker'!I122="","",'Daily Tracker'!I122)</f>
        <v/>
      </c>
      <c r="H122" s="37" t="str">
        <f aca="false">IF(B122="","",B122/CalorieGoal)</f>
        <v/>
      </c>
      <c r="I122" s="37" t="str">
        <f aca="false">IF(C122="","",C122/ProteinGoal)</f>
        <v/>
      </c>
      <c r="J122" s="37" t="str">
        <f aca="false">IF(D122="","",D122/CarbGoal)</f>
        <v/>
      </c>
      <c r="K122" s="37" t="str">
        <f aca="false">IF(E122="","",E122/FatGoal)</f>
        <v/>
      </c>
      <c r="L122" s="37" t="str">
        <f aca="false">IF(F122="","",F122/FiberGoal)</f>
        <v/>
      </c>
      <c r="M122" s="37" t="str">
        <f aca="false">IF(G122="","",G122/WaterGoal)</f>
        <v/>
      </c>
    </row>
    <row r="123" customFormat="false" ht="15" hidden="false" customHeight="false" outlineLevel="0" collapsed="false">
      <c r="A123" s="26" t="n">
        <f aca="false">'Daily Tracker'!A123</f>
        <v>46141</v>
      </c>
      <c r="B123" s="28"/>
      <c r="C123" s="28"/>
      <c r="D123" s="28"/>
      <c r="E123" s="28"/>
      <c r="F123" s="28"/>
      <c r="G123" s="47" t="str">
        <f aca="false">IF('Daily Tracker'!I123="","",'Daily Tracker'!I123)</f>
        <v/>
      </c>
      <c r="H123" s="33" t="str">
        <f aca="false">IF(B123="","",B123/CalorieGoal)</f>
        <v/>
      </c>
      <c r="I123" s="33" t="str">
        <f aca="false">IF(C123="","",C123/ProteinGoal)</f>
        <v/>
      </c>
      <c r="J123" s="33" t="str">
        <f aca="false">IF(D123="","",D123/CarbGoal)</f>
        <v/>
      </c>
      <c r="K123" s="33" t="str">
        <f aca="false">IF(E123="","",E123/FatGoal)</f>
        <v/>
      </c>
      <c r="L123" s="33" t="str">
        <f aca="false">IF(F123="","",F123/FiberGoal)</f>
        <v/>
      </c>
      <c r="M123" s="33" t="str">
        <f aca="false">IF(G123="","",G123/WaterGoal)</f>
        <v/>
      </c>
    </row>
    <row r="124" customFormat="false" ht="15" hidden="false" customHeight="false" outlineLevel="0" collapsed="false">
      <c r="A124" s="35" t="n">
        <f aca="false">'Daily Tracker'!A124</f>
        <v>46142</v>
      </c>
      <c r="B124" s="28"/>
      <c r="C124" s="28"/>
      <c r="D124" s="28"/>
      <c r="E124" s="28"/>
      <c r="F124" s="28"/>
      <c r="G124" s="48" t="str">
        <f aca="false">IF('Daily Tracker'!I124="","",'Daily Tracker'!I124)</f>
        <v/>
      </c>
      <c r="H124" s="37" t="str">
        <f aca="false">IF(B124="","",B124/CalorieGoal)</f>
        <v/>
      </c>
      <c r="I124" s="37" t="str">
        <f aca="false">IF(C124="","",C124/ProteinGoal)</f>
        <v/>
      </c>
      <c r="J124" s="37" t="str">
        <f aca="false">IF(D124="","",D124/CarbGoal)</f>
        <v/>
      </c>
      <c r="K124" s="37" t="str">
        <f aca="false">IF(E124="","",E124/FatGoal)</f>
        <v/>
      </c>
      <c r="L124" s="37" t="str">
        <f aca="false">IF(F124="","",F124/FiberGoal)</f>
        <v/>
      </c>
      <c r="M124" s="37" t="str">
        <f aca="false">IF(G124="","",G124/WaterGoal)</f>
        <v/>
      </c>
    </row>
    <row r="125" customFormat="false" ht="15" hidden="false" customHeight="false" outlineLevel="0" collapsed="false">
      <c r="A125" s="26" t="n">
        <f aca="false">'Daily Tracker'!A125</f>
        <v>46143</v>
      </c>
      <c r="B125" s="28"/>
      <c r="C125" s="28"/>
      <c r="D125" s="28"/>
      <c r="E125" s="28"/>
      <c r="F125" s="28"/>
      <c r="G125" s="47" t="str">
        <f aca="false">IF('Daily Tracker'!I125="","",'Daily Tracker'!I125)</f>
        <v/>
      </c>
      <c r="H125" s="33" t="str">
        <f aca="false">IF(B125="","",B125/CalorieGoal)</f>
        <v/>
      </c>
      <c r="I125" s="33" t="str">
        <f aca="false">IF(C125="","",C125/ProteinGoal)</f>
        <v/>
      </c>
      <c r="J125" s="33" t="str">
        <f aca="false">IF(D125="","",D125/CarbGoal)</f>
        <v/>
      </c>
      <c r="K125" s="33" t="str">
        <f aca="false">IF(E125="","",E125/FatGoal)</f>
        <v/>
      </c>
      <c r="L125" s="33" t="str">
        <f aca="false">IF(F125="","",F125/FiberGoal)</f>
        <v/>
      </c>
      <c r="M125" s="33" t="str">
        <f aca="false">IF(G125="","",G125/WaterGoal)</f>
        <v/>
      </c>
    </row>
    <row r="126" customFormat="false" ht="15" hidden="false" customHeight="false" outlineLevel="0" collapsed="false">
      <c r="A126" s="35" t="n">
        <f aca="false">'Daily Tracker'!A126</f>
        <v>46144</v>
      </c>
      <c r="B126" s="28"/>
      <c r="C126" s="28"/>
      <c r="D126" s="28"/>
      <c r="E126" s="28"/>
      <c r="F126" s="28"/>
      <c r="G126" s="48" t="str">
        <f aca="false">IF('Daily Tracker'!I126="","",'Daily Tracker'!I126)</f>
        <v/>
      </c>
      <c r="H126" s="37" t="str">
        <f aca="false">IF(B126="","",B126/CalorieGoal)</f>
        <v/>
      </c>
      <c r="I126" s="37" t="str">
        <f aca="false">IF(C126="","",C126/ProteinGoal)</f>
        <v/>
      </c>
      <c r="J126" s="37" t="str">
        <f aca="false">IF(D126="","",D126/CarbGoal)</f>
        <v/>
      </c>
      <c r="K126" s="37" t="str">
        <f aca="false">IF(E126="","",E126/FatGoal)</f>
        <v/>
      </c>
      <c r="L126" s="37" t="str">
        <f aca="false">IF(F126="","",F126/FiberGoal)</f>
        <v/>
      </c>
      <c r="M126" s="37" t="str">
        <f aca="false">IF(G126="","",G126/WaterGoal)</f>
        <v/>
      </c>
    </row>
    <row r="127" customFormat="false" ht="15" hidden="false" customHeight="false" outlineLevel="0" collapsed="false">
      <c r="A127" s="26" t="n">
        <f aca="false">'Daily Tracker'!A127</f>
        <v>46145</v>
      </c>
      <c r="B127" s="28"/>
      <c r="C127" s="28"/>
      <c r="D127" s="28"/>
      <c r="E127" s="28"/>
      <c r="F127" s="28"/>
      <c r="G127" s="47" t="str">
        <f aca="false">IF('Daily Tracker'!I127="","",'Daily Tracker'!I127)</f>
        <v/>
      </c>
      <c r="H127" s="33" t="str">
        <f aca="false">IF(B127="","",B127/CalorieGoal)</f>
        <v/>
      </c>
      <c r="I127" s="33" t="str">
        <f aca="false">IF(C127="","",C127/ProteinGoal)</f>
        <v/>
      </c>
      <c r="J127" s="33" t="str">
        <f aca="false">IF(D127="","",D127/CarbGoal)</f>
        <v/>
      </c>
      <c r="K127" s="33" t="str">
        <f aca="false">IF(E127="","",E127/FatGoal)</f>
        <v/>
      </c>
      <c r="L127" s="33" t="str">
        <f aca="false">IF(F127="","",F127/FiberGoal)</f>
        <v/>
      </c>
      <c r="M127" s="33" t="str">
        <f aca="false">IF(G127="","",G127/WaterGoal)</f>
        <v/>
      </c>
    </row>
    <row r="128" customFormat="false" ht="15" hidden="false" customHeight="false" outlineLevel="0" collapsed="false">
      <c r="A128" s="35" t="n">
        <f aca="false">'Daily Tracker'!A128</f>
        <v>46146</v>
      </c>
      <c r="B128" s="28"/>
      <c r="C128" s="28"/>
      <c r="D128" s="28"/>
      <c r="E128" s="28"/>
      <c r="F128" s="28"/>
      <c r="G128" s="48" t="str">
        <f aca="false">IF('Daily Tracker'!I128="","",'Daily Tracker'!I128)</f>
        <v/>
      </c>
      <c r="H128" s="37" t="str">
        <f aca="false">IF(B128="","",B128/CalorieGoal)</f>
        <v/>
      </c>
      <c r="I128" s="37" t="str">
        <f aca="false">IF(C128="","",C128/ProteinGoal)</f>
        <v/>
      </c>
      <c r="J128" s="37" t="str">
        <f aca="false">IF(D128="","",D128/CarbGoal)</f>
        <v/>
      </c>
      <c r="K128" s="37" t="str">
        <f aca="false">IF(E128="","",E128/FatGoal)</f>
        <v/>
      </c>
      <c r="L128" s="37" t="str">
        <f aca="false">IF(F128="","",F128/FiberGoal)</f>
        <v/>
      </c>
      <c r="M128" s="37" t="str">
        <f aca="false">IF(G128="","",G128/WaterGoal)</f>
        <v/>
      </c>
    </row>
    <row r="129" customFormat="false" ht="15" hidden="false" customHeight="false" outlineLevel="0" collapsed="false">
      <c r="A129" s="26" t="n">
        <f aca="false">'Daily Tracker'!A129</f>
        <v>46147</v>
      </c>
      <c r="B129" s="28"/>
      <c r="C129" s="28"/>
      <c r="D129" s="28"/>
      <c r="E129" s="28"/>
      <c r="F129" s="28"/>
      <c r="G129" s="47" t="str">
        <f aca="false">IF('Daily Tracker'!I129="","",'Daily Tracker'!I129)</f>
        <v/>
      </c>
      <c r="H129" s="33" t="str">
        <f aca="false">IF(B129="","",B129/CalorieGoal)</f>
        <v/>
      </c>
      <c r="I129" s="33" t="str">
        <f aca="false">IF(C129="","",C129/ProteinGoal)</f>
        <v/>
      </c>
      <c r="J129" s="33" t="str">
        <f aca="false">IF(D129="","",D129/CarbGoal)</f>
        <v/>
      </c>
      <c r="K129" s="33" t="str">
        <f aca="false">IF(E129="","",E129/FatGoal)</f>
        <v/>
      </c>
      <c r="L129" s="33" t="str">
        <f aca="false">IF(F129="","",F129/FiberGoal)</f>
        <v/>
      </c>
      <c r="M129" s="33" t="str">
        <f aca="false">IF(G129="","",G129/WaterGoal)</f>
        <v/>
      </c>
    </row>
    <row r="130" customFormat="false" ht="15" hidden="false" customHeight="false" outlineLevel="0" collapsed="false">
      <c r="A130" s="35" t="n">
        <f aca="false">'Daily Tracker'!A130</f>
        <v>46148</v>
      </c>
      <c r="B130" s="28"/>
      <c r="C130" s="28"/>
      <c r="D130" s="28"/>
      <c r="E130" s="28"/>
      <c r="F130" s="28"/>
      <c r="G130" s="48" t="str">
        <f aca="false">IF('Daily Tracker'!I130="","",'Daily Tracker'!I130)</f>
        <v/>
      </c>
      <c r="H130" s="37" t="str">
        <f aca="false">IF(B130="","",B130/CalorieGoal)</f>
        <v/>
      </c>
      <c r="I130" s="37" t="str">
        <f aca="false">IF(C130="","",C130/ProteinGoal)</f>
        <v/>
      </c>
      <c r="J130" s="37" t="str">
        <f aca="false">IF(D130="","",D130/CarbGoal)</f>
        <v/>
      </c>
      <c r="K130" s="37" t="str">
        <f aca="false">IF(E130="","",E130/FatGoal)</f>
        <v/>
      </c>
      <c r="L130" s="37" t="str">
        <f aca="false">IF(F130="","",F130/FiberGoal)</f>
        <v/>
      </c>
      <c r="M130" s="37" t="str">
        <f aca="false">IF(G130="","",G130/WaterGoal)</f>
        <v/>
      </c>
    </row>
    <row r="131" customFormat="false" ht="15" hidden="false" customHeight="false" outlineLevel="0" collapsed="false">
      <c r="A131" s="26" t="n">
        <f aca="false">'Daily Tracker'!A131</f>
        <v>46149</v>
      </c>
      <c r="B131" s="28"/>
      <c r="C131" s="28"/>
      <c r="D131" s="28"/>
      <c r="E131" s="28"/>
      <c r="F131" s="28"/>
      <c r="G131" s="47" t="str">
        <f aca="false">IF('Daily Tracker'!I131="","",'Daily Tracker'!I131)</f>
        <v/>
      </c>
      <c r="H131" s="33" t="str">
        <f aca="false">IF(B131="","",B131/CalorieGoal)</f>
        <v/>
      </c>
      <c r="I131" s="33" t="str">
        <f aca="false">IF(C131="","",C131/ProteinGoal)</f>
        <v/>
      </c>
      <c r="J131" s="33" t="str">
        <f aca="false">IF(D131="","",D131/CarbGoal)</f>
        <v/>
      </c>
      <c r="K131" s="33" t="str">
        <f aca="false">IF(E131="","",E131/FatGoal)</f>
        <v/>
      </c>
      <c r="L131" s="33" t="str">
        <f aca="false">IF(F131="","",F131/FiberGoal)</f>
        <v/>
      </c>
      <c r="M131" s="33" t="str">
        <f aca="false">IF(G131="","",G131/WaterGoal)</f>
        <v/>
      </c>
    </row>
    <row r="132" customFormat="false" ht="15" hidden="false" customHeight="false" outlineLevel="0" collapsed="false">
      <c r="A132" s="35" t="n">
        <f aca="false">'Daily Tracker'!A132</f>
        <v>46150</v>
      </c>
      <c r="B132" s="28"/>
      <c r="C132" s="28"/>
      <c r="D132" s="28"/>
      <c r="E132" s="28"/>
      <c r="F132" s="28"/>
      <c r="G132" s="48" t="str">
        <f aca="false">IF('Daily Tracker'!I132="","",'Daily Tracker'!I132)</f>
        <v/>
      </c>
      <c r="H132" s="37" t="str">
        <f aca="false">IF(B132="","",B132/CalorieGoal)</f>
        <v/>
      </c>
      <c r="I132" s="37" t="str">
        <f aca="false">IF(C132="","",C132/ProteinGoal)</f>
        <v/>
      </c>
      <c r="J132" s="37" t="str">
        <f aca="false">IF(D132="","",D132/CarbGoal)</f>
        <v/>
      </c>
      <c r="K132" s="37" t="str">
        <f aca="false">IF(E132="","",E132/FatGoal)</f>
        <v/>
      </c>
      <c r="L132" s="37" t="str">
        <f aca="false">IF(F132="","",F132/FiberGoal)</f>
        <v/>
      </c>
      <c r="M132" s="37" t="str">
        <f aca="false">IF(G132="","",G132/WaterGoal)</f>
        <v/>
      </c>
    </row>
    <row r="133" customFormat="false" ht="15" hidden="false" customHeight="false" outlineLevel="0" collapsed="false">
      <c r="A133" s="26" t="n">
        <f aca="false">'Daily Tracker'!A133</f>
        <v>46151</v>
      </c>
      <c r="B133" s="28"/>
      <c r="C133" s="28"/>
      <c r="D133" s="28"/>
      <c r="E133" s="28"/>
      <c r="F133" s="28"/>
      <c r="G133" s="47" t="str">
        <f aca="false">IF('Daily Tracker'!I133="","",'Daily Tracker'!I133)</f>
        <v/>
      </c>
      <c r="H133" s="33" t="str">
        <f aca="false">IF(B133="","",B133/CalorieGoal)</f>
        <v/>
      </c>
      <c r="I133" s="33" t="str">
        <f aca="false">IF(C133="","",C133/ProteinGoal)</f>
        <v/>
      </c>
      <c r="J133" s="33" t="str">
        <f aca="false">IF(D133="","",D133/CarbGoal)</f>
        <v/>
      </c>
      <c r="K133" s="33" t="str">
        <f aca="false">IF(E133="","",E133/FatGoal)</f>
        <v/>
      </c>
      <c r="L133" s="33" t="str">
        <f aca="false">IF(F133="","",F133/FiberGoal)</f>
        <v/>
      </c>
      <c r="M133" s="33" t="str">
        <f aca="false">IF(G133="","",G133/WaterGoal)</f>
        <v/>
      </c>
    </row>
    <row r="134" customFormat="false" ht="15" hidden="false" customHeight="false" outlineLevel="0" collapsed="false">
      <c r="A134" s="35" t="n">
        <f aca="false">'Daily Tracker'!A134</f>
        <v>46152</v>
      </c>
      <c r="B134" s="28"/>
      <c r="C134" s="28"/>
      <c r="D134" s="28"/>
      <c r="E134" s="28"/>
      <c r="F134" s="28"/>
      <c r="G134" s="48" t="str">
        <f aca="false">IF('Daily Tracker'!I134="","",'Daily Tracker'!I134)</f>
        <v/>
      </c>
      <c r="H134" s="37" t="str">
        <f aca="false">IF(B134="","",B134/CalorieGoal)</f>
        <v/>
      </c>
      <c r="I134" s="37" t="str">
        <f aca="false">IF(C134="","",C134/ProteinGoal)</f>
        <v/>
      </c>
      <c r="J134" s="37" t="str">
        <f aca="false">IF(D134="","",D134/CarbGoal)</f>
        <v/>
      </c>
      <c r="K134" s="37" t="str">
        <f aca="false">IF(E134="","",E134/FatGoal)</f>
        <v/>
      </c>
      <c r="L134" s="37" t="str">
        <f aca="false">IF(F134="","",F134/FiberGoal)</f>
        <v/>
      </c>
      <c r="M134" s="37" t="str">
        <f aca="false">IF(G134="","",G134/WaterGoal)</f>
        <v/>
      </c>
    </row>
    <row r="135" customFormat="false" ht="15" hidden="false" customHeight="false" outlineLevel="0" collapsed="false">
      <c r="A135" s="26" t="n">
        <f aca="false">'Daily Tracker'!A135</f>
        <v>46153</v>
      </c>
      <c r="B135" s="28"/>
      <c r="C135" s="28"/>
      <c r="D135" s="28"/>
      <c r="E135" s="28"/>
      <c r="F135" s="28"/>
      <c r="G135" s="47" t="str">
        <f aca="false">IF('Daily Tracker'!I135="","",'Daily Tracker'!I135)</f>
        <v/>
      </c>
      <c r="H135" s="33" t="str">
        <f aca="false">IF(B135="","",B135/CalorieGoal)</f>
        <v/>
      </c>
      <c r="I135" s="33" t="str">
        <f aca="false">IF(C135="","",C135/ProteinGoal)</f>
        <v/>
      </c>
      <c r="J135" s="33" t="str">
        <f aca="false">IF(D135="","",D135/CarbGoal)</f>
        <v/>
      </c>
      <c r="K135" s="33" t="str">
        <f aca="false">IF(E135="","",E135/FatGoal)</f>
        <v/>
      </c>
      <c r="L135" s="33" t="str">
        <f aca="false">IF(F135="","",F135/FiberGoal)</f>
        <v/>
      </c>
      <c r="M135" s="33" t="str">
        <f aca="false">IF(G135="","",G135/WaterGoal)</f>
        <v/>
      </c>
    </row>
    <row r="136" customFormat="false" ht="15" hidden="false" customHeight="false" outlineLevel="0" collapsed="false">
      <c r="A136" s="35" t="n">
        <f aca="false">'Daily Tracker'!A136</f>
        <v>46154</v>
      </c>
      <c r="B136" s="28"/>
      <c r="C136" s="28"/>
      <c r="D136" s="28"/>
      <c r="E136" s="28"/>
      <c r="F136" s="28"/>
      <c r="G136" s="48" t="str">
        <f aca="false">IF('Daily Tracker'!I136="","",'Daily Tracker'!I136)</f>
        <v/>
      </c>
      <c r="H136" s="37" t="str">
        <f aca="false">IF(B136="","",B136/CalorieGoal)</f>
        <v/>
      </c>
      <c r="I136" s="37" t="str">
        <f aca="false">IF(C136="","",C136/ProteinGoal)</f>
        <v/>
      </c>
      <c r="J136" s="37" t="str">
        <f aca="false">IF(D136="","",D136/CarbGoal)</f>
        <v/>
      </c>
      <c r="K136" s="37" t="str">
        <f aca="false">IF(E136="","",E136/FatGoal)</f>
        <v/>
      </c>
      <c r="L136" s="37" t="str">
        <f aca="false">IF(F136="","",F136/FiberGoal)</f>
        <v/>
      </c>
      <c r="M136" s="37" t="str">
        <f aca="false">IF(G136="","",G136/WaterGoal)</f>
        <v/>
      </c>
    </row>
    <row r="137" customFormat="false" ht="15" hidden="false" customHeight="false" outlineLevel="0" collapsed="false">
      <c r="A137" s="26" t="n">
        <f aca="false">'Daily Tracker'!A137</f>
        <v>46155</v>
      </c>
      <c r="B137" s="28"/>
      <c r="C137" s="28"/>
      <c r="D137" s="28"/>
      <c r="E137" s="28"/>
      <c r="F137" s="28"/>
      <c r="G137" s="47" t="str">
        <f aca="false">IF('Daily Tracker'!I137="","",'Daily Tracker'!I137)</f>
        <v/>
      </c>
      <c r="H137" s="33" t="str">
        <f aca="false">IF(B137="","",B137/CalorieGoal)</f>
        <v/>
      </c>
      <c r="I137" s="33" t="str">
        <f aca="false">IF(C137="","",C137/ProteinGoal)</f>
        <v/>
      </c>
      <c r="J137" s="33" t="str">
        <f aca="false">IF(D137="","",D137/CarbGoal)</f>
        <v/>
      </c>
      <c r="K137" s="33" t="str">
        <f aca="false">IF(E137="","",E137/FatGoal)</f>
        <v/>
      </c>
      <c r="L137" s="33" t="str">
        <f aca="false">IF(F137="","",F137/FiberGoal)</f>
        <v/>
      </c>
      <c r="M137" s="33" t="str">
        <f aca="false">IF(G137="","",G137/WaterGoal)</f>
        <v/>
      </c>
    </row>
    <row r="138" customFormat="false" ht="15" hidden="false" customHeight="false" outlineLevel="0" collapsed="false">
      <c r="A138" s="35" t="n">
        <f aca="false">'Daily Tracker'!A138</f>
        <v>46156</v>
      </c>
      <c r="B138" s="28"/>
      <c r="C138" s="28"/>
      <c r="D138" s="28"/>
      <c r="E138" s="28"/>
      <c r="F138" s="28"/>
      <c r="G138" s="48" t="str">
        <f aca="false">IF('Daily Tracker'!I138="","",'Daily Tracker'!I138)</f>
        <v/>
      </c>
      <c r="H138" s="37" t="str">
        <f aca="false">IF(B138="","",B138/CalorieGoal)</f>
        <v/>
      </c>
      <c r="I138" s="37" t="str">
        <f aca="false">IF(C138="","",C138/ProteinGoal)</f>
        <v/>
      </c>
      <c r="J138" s="37" t="str">
        <f aca="false">IF(D138="","",D138/CarbGoal)</f>
        <v/>
      </c>
      <c r="K138" s="37" t="str">
        <f aca="false">IF(E138="","",E138/FatGoal)</f>
        <v/>
      </c>
      <c r="L138" s="37" t="str">
        <f aca="false">IF(F138="","",F138/FiberGoal)</f>
        <v/>
      </c>
      <c r="M138" s="37" t="str">
        <f aca="false">IF(G138="","",G138/WaterGoal)</f>
        <v/>
      </c>
    </row>
    <row r="139" customFormat="false" ht="15" hidden="false" customHeight="false" outlineLevel="0" collapsed="false">
      <c r="A139" s="26" t="n">
        <f aca="false">'Daily Tracker'!A139</f>
        <v>46157</v>
      </c>
      <c r="B139" s="28"/>
      <c r="C139" s="28"/>
      <c r="D139" s="28"/>
      <c r="E139" s="28"/>
      <c r="F139" s="28"/>
      <c r="G139" s="47" t="str">
        <f aca="false">IF('Daily Tracker'!I139="","",'Daily Tracker'!I139)</f>
        <v/>
      </c>
      <c r="H139" s="33" t="str">
        <f aca="false">IF(B139="","",B139/CalorieGoal)</f>
        <v/>
      </c>
      <c r="I139" s="33" t="str">
        <f aca="false">IF(C139="","",C139/ProteinGoal)</f>
        <v/>
      </c>
      <c r="J139" s="33" t="str">
        <f aca="false">IF(D139="","",D139/CarbGoal)</f>
        <v/>
      </c>
      <c r="K139" s="33" t="str">
        <f aca="false">IF(E139="","",E139/FatGoal)</f>
        <v/>
      </c>
      <c r="L139" s="33" t="str">
        <f aca="false">IF(F139="","",F139/FiberGoal)</f>
        <v/>
      </c>
      <c r="M139" s="33" t="str">
        <f aca="false">IF(G139="","",G139/WaterGoal)</f>
        <v/>
      </c>
    </row>
    <row r="140" customFormat="false" ht="15" hidden="false" customHeight="false" outlineLevel="0" collapsed="false">
      <c r="A140" s="35" t="n">
        <f aca="false">'Daily Tracker'!A140</f>
        <v>46158</v>
      </c>
      <c r="B140" s="28"/>
      <c r="C140" s="28"/>
      <c r="D140" s="28"/>
      <c r="E140" s="28"/>
      <c r="F140" s="28"/>
      <c r="G140" s="48" t="str">
        <f aca="false">IF('Daily Tracker'!I140="","",'Daily Tracker'!I140)</f>
        <v/>
      </c>
      <c r="H140" s="37" t="str">
        <f aca="false">IF(B140="","",B140/CalorieGoal)</f>
        <v/>
      </c>
      <c r="I140" s="37" t="str">
        <f aca="false">IF(C140="","",C140/ProteinGoal)</f>
        <v/>
      </c>
      <c r="J140" s="37" t="str">
        <f aca="false">IF(D140="","",D140/CarbGoal)</f>
        <v/>
      </c>
      <c r="K140" s="37" t="str">
        <f aca="false">IF(E140="","",E140/FatGoal)</f>
        <v/>
      </c>
      <c r="L140" s="37" t="str">
        <f aca="false">IF(F140="","",F140/FiberGoal)</f>
        <v/>
      </c>
      <c r="M140" s="37" t="str">
        <f aca="false">IF(G140="","",G140/WaterGoal)</f>
        <v/>
      </c>
    </row>
    <row r="141" customFormat="false" ht="15" hidden="false" customHeight="false" outlineLevel="0" collapsed="false">
      <c r="A141" s="26" t="n">
        <f aca="false">'Daily Tracker'!A141</f>
        <v>46159</v>
      </c>
      <c r="B141" s="28"/>
      <c r="C141" s="28"/>
      <c r="D141" s="28"/>
      <c r="E141" s="28"/>
      <c r="F141" s="28"/>
      <c r="G141" s="47" t="str">
        <f aca="false">IF('Daily Tracker'!I141="","",'Daily Tracker'!I141)</f>
        <v/>
      </c>
      <c r="H141" s="33" t="str">
        <f aca="false">IF(B141="","",B141/CalorieGoal)</f>
        <v/>
      </c>
      <c r="I141" s="33" t="str">
        <f aca="false">IF(C141="","",C141/ProteinGoal)</f>
        <v/>
      </c>
      <c r="J141" s="33" t="str">
        <f aca="false">IF(D141="","",D141/CarbGoal)</f>
        <v/>
      </c>
      <c r="K141" s="33" t="str">
        <f aca="false">IF(E141="","",E141/FatGoal)</f>
        <v/>
      </c>
      <c r="L141" s="33" t="str">
        <f aca="false">IF(F141="","",F141/FiberGoal)</f>
        <v/>
      </c>
      <c r="M141" s="33" t="str">
        <f aca="false">IF(G141="","",G141/WaterGoal)</f>
        <v/>
      </c>
    </row>
    <row r="142" customFormat="false" ht="15" hidden="false" customHeight="false" outlineLevel="0" collapsed="false">
      <c r="A142" s="35" t="n">
        <f aca="false">'Daily Tracker'!A142</f>
        <v>46160</v>
      </c>
      <c r="B142" s="28"/>
      <c r="C142" s="28"/>
      <c r="D142" s="28"/>
      <c r="E142" s="28"/>
      <c r="F142" s="28"/>
      <c r="G142" s="48" t="str">
        <f aca="false">IF('Daily Tracker'!I142="","",'Daily Tracker'!I142)</f>
        <v/>
      </c>
      <c r="H142" s="37" t="str">
        <f aca="false">IF(B142="","",B142/CalorieGoal)</f>
        <v/>
      </c>
      <c r="I142" s="37" t="str">
        <f aca="false">IF(C142="","",C142/ProteinGoal)</f>
        <v/>
      </c>
      <c r="J142" s="37" t="str">
        <f aca="false">IF(D142="","",D142/CarbGoal)</f>
        <v/>
      </c>
      <c r="K142" s="37" t="str">
        <f aca="false">IF(E142="","",E142/FatGoal)</f>
        <v/>
      </c>
      <c r="L142" s="37" t="str">
        <f aca="false">IF(F142="","",F142/FiberGoal)</f>
        <v/>
      </c>
      <c r="M142" s="37" t="str">
        <f aca="false">IF(G142="","",G142/WaterGoal)</f>
        <v/>
      </c>
    </row>
    <row r="143" customFormat="false" ht="15" hidden="false" customHeight="false" outlineLevel="0" collapsed="false">
      <c r="A143" s="26" t="n">
        <f aca="false">'Daily Tracker'!A143</f>
        <v>46161</v>
      </c>
      <c r="B143" s="28"/>
      <c r="C143" s="28"/>
      <c r="D143" s="28"/>
      <c r="E143" s="28"/>
      <c r="F143" s="28"/>
      <c r="G143" s="47" t="str">
        <f aca="false">IF('Daily Tracker'!I143="","",'Daily Tracker'!I143)</f>
        <v/>
      </c>
      <c r="H143" s="33" t="str">
        <f aca="false">IF(B143="","",B143/CalorieGoal)</f>
        <v/>
      </c>
      <c r="I143" s="33" t="str">
        <f aca="false">IF(C143="","",C143/ProteinGoal)</f>
        <v/>
      </c>
      <c r="J143" s="33" t="str">
        <f aca="false">IF(D143="","",D143/CarbGoal)</f>
        <v/>
      </c>
      <c r="K143" s="33" t="str">
        <f aca="false">IF(E143="","",E143/FatGoal)</f>
        <v/>
      </c>
      <c r="L143" s="33" t="str">
        <f aca="false">IF(F143="","",F143/FiberGoal)</f>
        <v/>
      </c>
      <c r="M143" s="33" t="str">
        <f aca="false">IF(G143="","",G143/WaterGoal)</f>
        <v/>
      </c>
    </row>
    <row r="144" customFormat="false" ht="15" hidden="false" customHeight="false" outlineLevel="0" collapsed="false">
      <c r="A144" s="35" t="n">
        <f aca="false">'Daily Tracker'!A144</f>
        <v>46162</v>
      </c>
      <c r="B144" s="28"/>
      <c r="C144" s="28"/>
      <c r="D144" s="28"/>
      <c r="E144" s="28"/>
      <c r="F144" s="28"/>
      <c r="G144" s="48" t="str">
        <f aca="false">IF('Daily Tracker'!I144="","",'Daily Tracker'!I144)</f>
        <v/>
      </c>
      <c r="H144" s="37" t="str">
        <f aca="false">IF(B144="","",B144/CalorieGoal)</f>
        <v/>
      </c>
      <c r="I144" s="37" t="str">
        <f aca="false">IF(C144="","",C144/ProteinGoal)</f>
        <v/>
      </c>
      <c r="J144" s="37" t="str">
        <f aca="false">IF(D144="","",D144/CarbGoal)</f>
        <v/>
      </c>
      <c r="K144" s="37" t="str">
        <f aca="false">IF(E144="","",E144/FatGoal)</f>
        <v/>
      </c>
      <c r="L144" s="37" t="str">
        <f aca="false">IF(F144="","",F144/FiberGoal)</f>
        <v/>
      </c>
      <c r="M144" s="37" t="str">
        <f aca="false">IF(G144="","",G144/WaterGoal)</f>
        <v/>
      </c>
    </row>
    <row r="145" customFormat="false" ht="15" hidden="false" customHeight="false" outlineLevel="0" collapsed="false">
      <c r="A145" s="26" t="n">
        <f aca="false">'Daily Tracker'!A145</f>
        <v>46163</v>
      </c>
      <c r="B145" s="28"/>
      <c r="C145" s="28"/>
      <c r="D145" s="28"/>
      <c r="E145" s="28"/>
      <c r="F145" s="28"/>
      <c r="G145" s="47" t="str">
        <f aca="false">IF('Daily Tracker'!I145="","",'Daily Tracker'!I145)</f>
        <v/>
      </c>
      <c r="H145" s="33" t="str">
        <f aca="false">IF(B145="","",B145/CalorieGoal)</f>
        <v/>
      </c>
      <c r="I145" s="33" t="str">
        <f aca="false">IF(C145="","",C145/ProteinGoal)</f>
        <v/>
      </c>
      <c r="J145" s="33" t="str">
        <f aca="false">IF(D145="","",D145/CarbGoal)</f>
        <v/>
      </c>
      <c r="K145" s="33" t="str">
        <f aca="false">IF(E145="","",E145/FatGoal)</f>
        <v/>
      </c>
      <c r="L145" s="33" t="str">
        <f aca="false">IF(F145="","",F145/FiberGoal)</f>
        <v/>
      </c>
      <c r="M145" s="33" t="str">
        <f aca="false">IF(G145="","",G145/WaterGoal)</f>
        <v/>
      </c>
    </row>
    <row r="146" customFormat="false" ht="15" hidden="false" customHeight="false" outlineLevel="0" collapsed="false">
      <c r="A146" s="35" t="n">
        <f aca="false">'Daily Tracker'!A146</f>
        <v>46164</v>
      </c>
      <c r="B146" s="28"/>
      <c r="C146" s="28"/>
      <c r="D146" s="28"/>
      <c r="E146" s="28"/>
      <c r="F146" s="28"/>
      <c r="G146" s="48" t="str">
        <f aca="false">IF('Daily Tracker'!I146="","",'Daily Tracker'!I146)</f>
        <v/>
      </c>
      <c r="H146" s="37" t="str">
        <f aca="false">IF(B146="","",B146/CalorieGoal)</f>
        <v/>
      </c>
      <c r="I146" s="37" t="str">
        <f aca="false">IF(C146="","",C146/ProteinGoal)</f>
        <v/>
      </c>
      <c r="J146" s="37" t="str">
        <f aca="false">IF(D146="","",D146/CarbGoal)</f>
        <v/>
      </c>
      <c r="K146" s="37" t="str">
        <f aca="false">IF(E146="","",E146/FatGoal)</f>
        <v/>
      </c>
      <c r="L146" s="37" t="str">
        <f aca="false">IF(F146="","",F146/FiberGoal)</f>
        <v/>
      </c>
      <c r="M146" s="37" t="str">
        <f aca="false">IF(G146="","",G146/WaterGoal)</f>
        <v/>
      </c>
    </row>
    <row r="147" customFormat="false" ht="15" hidden="false" customHeight="false" outlineLevel="0" collapsed="false">
      <c r="A147" s="26" t="n">
        <f aca="false">'Daily Tracker'!A147</f>
        <v>46165</v>
      </c>
      <c r="B147" s="28"/>
      <c r="C147" s="28"/>
      <c r="D147" s="28"/>
      <c r="E147" s="28"/>
      <c r="F147" s="28"/>
      <c r="G147" s="47" t="str">
        <f aca="false">IF('Daily Tracker'!I147="","",'Daily Tracker'!I147)</f>
        <v/>
      </c>
      <c r="H147" s="33" t="str">
        <f aca="false">IF(B147="","",B147/CalorieGoal)</f>
        <v/>
      </c>
      <c r="I147" s="33" t="str">
        <f aca="false">IF(C147="","",C147/ProteinGoal)</f>
        <v/>
      </c>
      <c r="J147" s="33" t="str">
        <f aca="false">IF(D147="","",D147/CarbGoal)</f>
        <v/>
      </c>
      <c r="K147" s="33" t="str">
        <f aca="false">IF(E147="","",E147/FatGoal)</f>
        <v/>
      </c>
      <c r="L147" s="33" t="str">
        <f aca="false">IF(F147="","",F147/FiberGoal)</f>
        <v/>
      </c>
      <c r="M147" s="33" t="str">
        <f aca="false">IF(G147="","",G147/WaterGoal)</f>
        <v/>
      </c>
    </row>
    <row r="148" customFormat="false" ht="15" hidden="false" customHeight="false" outlineLevel="0" collapsed="false">
      <c r="A148" s="35" t="n">
        <f aca="false">'Daily Tracker'!A148</f>
        <v>46166</v>
      </c>
      <c r="B148" s="28"/>
      <c r="C148" s="28"/>
      <c r="D148" s="28"/>
      <c r="E148" s="28"/>
      <c r="F148" s="28"/>
      <c r="G148" s="48" t="str">
        <f aca="false">IF('Daily Tracker'!I148="","",'Daily Tracker'!I148)</f>
        <v/>
      </c>
      <c r="H148" s="37" t="str">
        <f aca="false">IF(B148="","",B148/CalorieGoal)</f>
        <v/>
      </c>
      <c r="I148" s="37" t="str">
        <f aca="false">IF(C148="","",C148/ProteinGoal)</f>
        <v/>
      </c>
      <c r="J148" s="37" t="str">
        <f aca="false">IF(D148="","",D148/CarbGoal)</f>
        <v/>
      </c>
      <c r="K148" s="37" t="str">
        <f aca="false">IF(E148="","",E148/FatGoal)</f>
        <v/>
      </c>
      <c r="L148" s="37" t="str">
        <f aca="false">IF(F148="","",F148/FiberGoal)</f>
        <v/>
      </c>
      <c r="M148" s="37" t="str">
        <f aca="false">IF(G148="","",G148/WaterGoal)</f>
        <v/>
      </c>
    </row>
    <row r="149" customFormat="false" ht="15" hidden="false" customHeight="false" outlineLevel="0" collapsed="false">
      <c r="A149" s="26" t="n">
        <f aca="false">'Daily Tracker'!A149</f>
        <v>46167</v>
      </c>
      <c r="B149" s="28"/>
      <c r="C149" s="28"/>
      <c r="D149" s="28"/>
      <c r="E149" s="28"/>
      <c r="F149" s="28"/>
      <c r="G149" s="47" t="str">
        <f aca="false">IF('Daily Tracker'!I149="","",'Daily Tracker'!I149)</f>
        <v/>
      </c>
      <c r="H149" s="33" t="str">
        <f aca="false">IF(B149="","",B149/CalorieGoal)</f>
        <v/>
      </c>
      <c r="I149" s="33" t="str">
        <f aca="false">IF(C149="","",C149/ProteinGoal)</f>
        <v/>
      </c>
      <c r="J149" s="33" t="str">
        <f aca="false">IF(D149="","",D149/CarbGoal)</f>
        <v/>
      </c>
      <c r="K149" s="33" t="str">
        <f aca="false">IF(E149="","",E149/FatGoal)</f>
        <v/>
      </c>
      <c r="L149" s="33" t="str">
        <f aca="false">IF(F149="","",F149/FiberGoal)</f>
        <v/>
      </c>
      <c r="M149" s="33" t="str">
        <f aca="false">IF(G149="","",G149/WaterGoal)</f>
        <v/>
      </c>
    </row>
    <row r="150" customFormat="false" ht="15" hidden="false" customHeight="false" outlineLevel="0" collapsed="false">
      <c r="A150" s="35" t="n">
        <f aca="false">'Daily Tracker'!A150</f>
        <v>46168</v>
      </c>
      <c r="B150" s="28"/>
      <c r="C150" s="28"/>
      <c r="D150" s="28"/>
      <c r="E150" s="28"/>
      <c r="F150" s="28"/>
      <c r="G150" s="48" t="str">
        <f aca="false">IF('Daily Tracker'!I150="","",'Daily Tracker'!I150)</f>
        <v/>
      </c>
      <c r="H150" s="37" t="str">
        <f aca="false">IF(B150="","",B150/CalorieGoal)</f>
        <v/>
      </c>
      <c r="I150" s="37" t="str">
        <f aca="false">IF(C150="","",C150/ProteinGoal)</f>
        <v/>
      </c>
      <c r="J150" s="37" t="str">
        <f aca="false">IF(D150="","",D150/CarbGoal)</f>
        <v/>
      </c>
      <c r="K150" s="37" t="str">
        <f aca="false">IF(E150="","",E150/FatGoal)</f>
        <v/>
      </c>
      <c r="L150" s="37" t="str">
        <f aca="false">IF(F150="","",F150/FiberGoal)</f>
        <v/>
      </c>
      <c r="M150" s="37" t="str">
        <f aca="false">IF(G150="","",G150/WaterGoal)</f>
        <v/>
      </c>
    </row>
    <row r="151" customFormat="false" ht="15" hidden="false" customHeight="false" outlineLevel="0" collapsed="false">
      <c r="A151" s="26" t="n">
        <f aca="false">'Daily Tracker'!A151</f>
        <v>46169</v>
      </c>
      <c r="B151" s="28"/>
      <c r="C151" s="28"/>
      <c r="D151" s="28"/>
      <c r="E151" s="28"/>
      <c r="F151" s="28"/>
      <c r="G151" s="47" t="str">
        <f aca="false">IF('Daily Tracker'!I151="","",'Daily Tracker'!I151)</f>
        <v/>
      </c>
      <c r="H151" s="33" t="str">
        <f aca="false">IF(B151="","",B151/CalorieGoal)</f>
        <v/>
      </c>
      <c r="I151" s="33" t="str">
        <f aca="false">IF(C151="","",C151/ProteinGoal)</f>
        <v/>
      </c>
      <c r="J151" s="33" t="str">
        <f aca="false">IF(D151="","",D151/CarbGoal)</f>
        <v/>
      </c>
      <c r="K151" s="33" t="str">
        <f aca="false">IF(E151="","",E151/FatGoal)</f>
        <v/>
      </c>
      <c r="L151" s="33" t="str">
        <f aca="false">IF(F151="","",F151/FiberGoal)</f>
        <v/>
      </c>
      <c r="M151" s="33" t="str">
        <f aca="false">IF(G151="","",G151/WaterGoal)</f>
        <v/>
      </c>
    </row>
    <row r="152" customFormat="false" ht="15" hidden="false" customHeight="false" outlineLevel="0" collapsed="false">
      <c r="A152" s="35" t="n">
        <f aca="false">'Daily Tracker'!A152</f>
        <v>46170</v>
      </c>
      <c r="B152" s="28"/>
      <c r="C152" s="28"/>
      <c r="D152" s="28"/>
      <c r="E152" s="28"/>
      <c r="F152" s="28"/>
      <c r="G152" s="48" t="str">
        <f aca="false">IF('Daily Tracker'!I152="","",'Daily Tracker'!I152)</f>
        <v/>
      </c>
      <c r="H152" s="37" t="str">
        <f aca="false">IF(B152="","",B152/CalorieGoal)</f>
        <v/>
      </c>
      <c r="I152" s="37" t="str">
        <f aca="false">IF(C152="","",C152/ProteinGoal)</f>
        <v/>
      </c>
      <c r="J152" s="37" t="str">
        <f aca="false">IF(D152="","",D152/CarbGoal)</f>
        <v/>
      </c>
      <c r="K152" s="37" t="str">
        <f aca="false">IF(E152="","",E152/FatGoal)</f>
        <v/>
      </c>
      <c r="L152" s="37" t="str">
        <f aca="false">IF(F152="","",F152/FiberGoal)</f>
        <v/>
      </c>
      <c r="M152" s="37" t="str">
        <f aca="false">IF(G152="","",G152/WaterGoal)</f>
        <v/>
      </c>
    </row>
    <row r="153" customFormat="false" ht="15" hidden="false" customHeight="false" outlineLevel="0" collapsed="false">
      <c r="A153" s="26" t="n">
        <f aca="false">'Daily Tracker'!A153</f>
        <v>46171</v>
      </c>
      <c r="B153" s="28"/>
      <c r="C153" s="28"/>
      <c r="D153" s="28"/>
      <c r="E153" s="28"/>
      <c r="F153" s="28"/>
      <c r="G153" s="47" t="str">
        <f aca="false">IF('Daily Tracker'!I153="","",'Daily Tracker'!I153)</f>
        <v/>
      </c>
      <c r="H153" s="33" t="str">
        <f aca="false">IF(B153="","",B153/CalorieGoal)</f>
        <v/>
      </c>
      <c r="I153" s="33" t="str">
        <f aca="false">IF(C153="","",C153/ProteinGoal)</f>
        <v/>
      </c>
      <c r="J153" s="33" t="str">
        <f aca="false">IF(D153="","",D153/CarbGoal)</f>
        <v/>
      </c>
      <c r="K153" s="33" t="str">
        <f aca="false">IF(E153="","",E153/FatGoal)</f>
        <v/>
      </c>
      <c r="L153" s="33" t="str">
        <f aca="false">IF(F153="","",F153/FiberGoal)</f>
        <v/>
      </c>
      <c r="M153" s="33" t="str">
        <f aca="false">IF(G153="","",G153/WaterGoal)</f>
        <v/>
      </c>
    </row>
    <row r="154" customFormat="false" ht="15" hidden="false" customHeight="false" outlineLevel="0" collapsed="false">
      <c r="A154" s="35" t="n">
        <f aca="false">'Daily Tracker'!A154</f>
        <v>46172</v>
      </c>
      <c r="B154" s="28"/>
      <c r="C154" s="28"/>
      <c r="D154" s="28"/>
      <c r="E154" s="28"/>
      <c r="F154" s="28"/>
      <c r="G154" s="48" t="str">
        <f aca="false">IF('Daily Tracker'!I154="","",'Daily Tracker'!I154)</f>
        <v/>
      </c>
      <c r="H154" s="37" t="str">
        <f aca="false">IF(B154="","",B154/CalorieGoal)</f>
        <v/>
      </c>
      <c r="I154" s="37" t="str">
        <f aca="false">IF(C154="","",C154/ProteinGoal)</f>
        <v/>
      </c>
      <c r="J154" s="37" t="str">
        <f aca="false">IF(D154="","",D154/CarbGoal)</f>
        <v/>
      </c>
      <c r="K154" s="37" t="str">
        <f aca="false">IF(E154="","",E154/FatGoal)</f>
        <v/>
      </c>
      <c r="L154" s="37" t="str">
        <f aca="false">IF(F154="","",F154/FiberGoal)</f>
        <v/>
      </c>
      <c r="M154" s="37" t="str">
        <f aca="false">IF(G154="","",G154/WaterGoal)</f>
        <v/>
      </c>
    </row>
    <row r="155" customFormat="false" ht="15" hidden="false" customHeight="false" outlineLevel="0" collapsed="false">
      <c r="A155" s="26" t="n">
        <f aca="false">'Daily Tracker'!A155</f>
        <v>46173</v>
      </c>
      <c r="B155" s="28"/>
      <c r="C155" s="28"/>
      <c r="D155" s="28"/>
      <c r="E155" s="28"/>
      <c r="F155" s="28"/>
      <c r="G155" s="47" t="str">
        <f aca="false">IF('Daily Tracker'!I155="","",'Daily Tracker'!I155)</f>
        <v/>
      </c>
      <c r="H155" s="33" t="str">
        <f aca="false">IF(B155="","",B155/CalorieGoal)</f>
        <v/>
      </c>
      <c r="I155" s="33" t="str">
        <f aca="false">IF(C155="","",C155/ProteinGoal)</f>
        <v/>
      </c>
      <c r="J155" s="33" t="str">
        <f aca="false">IF(D155="","",D155/CarbGoal)</f>
        <v/>
      </c>
      <c r="K155" s="33" t="str">
        <f aca="false">IF(E155="","",E155/FatGoal)</f>
        <v/>
      </c>
      <c r="L155" s="33" t="str">
        <f aca="false">IF(F155="","",F155/FiberGoal)</f>
        <v/>
      </c>
      <c r="M155" s="33" t="str">
        <f aca="false">IF(G155="","",G155/WaterGoal)</f>
        <v/>
      </c>
    </row>
    <row r="156" customFormat="false" ht="15" hidden="false" customHeight="false" outlineLevel="0" collapsed="false">
      <c r="A156" s="35" t="n">
        <f aca="false">'Daily Tracker'!A156</f>
        <v>46174</v>
      </c>
      <c r="B156" s="28"/>
      <c r="C156" s="28"/>
      <c r="D156" s="28"/>
      <c r="E156" s="28"/>
      <c r="F156" s="28"/>
      <c r="G156" s="48" t="str">
        <f aca="false">IF('Daily Tracker'!I156="","",'Daily Tracker'!I156)</f>
        <v/>
      </c>
      <c r="H156" s="37" t="str">
        <f aca="false">IF(B156="","",B156/CalorieGoal)</f>
        <v/>
      </c>
      <c r="I156" s="37" t="str">
        <f aca="false">IF(C156="","",C156/ProteinGoal)</f>
        <v/>
      </c>
      <c r="J156" s="37" t="str">
        <f aca="false">IF(D156="","",D156/CarbGoal)</f>
        <v/>
      </c>
      <c r="K156" s="37" t="str">
        <f aca="false">IF(E156="","",E156/FatGoal)</f>
        <v/>
      </c>
      <c r="L156" s="37" t="str">
        <f aca="false">IF(F156="","",F156/FiberGoal)</f>
        <v/>
      </c>
      <c r="M156" s="37" t="str">
        <f aca="false">IF(G156="","",G156/WaterGoal)</f>
        <v/>
      </c>
    </row>
    <row r="157" customFormat="false" ht="15" hidden="false" customHeight="false" outlineLevel="0" collapsed="false">
      <c r="A157" s="26" t="n">
        <f aca="false">'Daily Tracker'!A157</f>
        <v>46175</v>
      </c>
      <c r="B157" s="28"/>
      <c r="C157" s="28"/>
      <c r="D157" s="28"/>
      <c r="E157" s="28"/>
      <c r="F157" s="28"/>
      <c r="G157" s="47" t="str">
        <f aca="false">IF('Daily Tracker'!I157="","",'Daily Tracker'!I157)</f>
        <v/>
      </c>
      <c r="H157" s="33" t="str">
        <f aca="false">IF(B157="","",B157/CalorieGoal)</f>
        <v/>
      </c>
      <c r="I157" s="33" t="str">
        <f aca="false">IF(C157="","",C157/ProteinGoal)</f>
        <v/>
      </c>
      <c r="J157" s="33" t="str">
        <f aca="false">IF(D157="","",D157/CarbGoal)</f>
        <v/>
      </c>
      <c r="K157" s="33" t="str">
        <f aca="false">IF(E157="","",E157/FatGoal)</f>
        <v/>
      </c>
      <c r="L157" s="33" t="str">
        <f aca="false">IF(F157="","",F157/FiberGoal)</f>
        <v/>
      </c>
      <c r="M157" s="33" t="str">
        <f aca="false">IF(G157="","",G157/WaterGoal)</f>
        <v/>
      </c>
    </row>
    <row r="158" customFormat="false" ht="15" hidden="false" customHeight="false" outlineLevel="0" collapsed="false">
      <c r="A158" s="35" t="n">
        <f aca="false">'Daily Tracker'!A158</f>
        <v>46176</v>
      </c>
      <c r="B158" s="28"/>
      <c r="C158" s="28"/>
      <c r="D158" s="28"/>
      <c r="E158" s="28"/>
      <c r="F158" s="28"/>
      <c r="G158" s="48" t="str">
        <f aca="false">IF('Daily Tracker'!I158="","",'Daily Tracker'!I158)</f>
        <v/>
      </c>
      <c r="H158" s="37" t="str">
        <f aca="false">IF(B158="","",B158/CalorieGoal)</f>
        <v/>
      </c>
      <c r="I158" s="37" t="str">
        <f aca="false">IF(C158="","",C158/ProteinGoal)</f>
        <v/>
      </c>
      <c r="J158" s="37" t="str">
        <f aca="false">IF(D158="","",D158/CarbGoal)</f>
        <v/>
      </c>
      <c r="K158" s="37" t="str">
        <f aca="false">IF(E158="","",E158/FatGoal)</f>
        <v/>
      </c>
      <c r="L158" s="37" t="str">
        <f aca="false">IF(F158="","",F158/FiberGoal)</f>
        <v/>
      </c>
      <c r="M158" s="37" t="str">
        <f aca="false">IF(G158="","",G158/WaterGoal)</f>
        <v/>
      </c>
    </row>
    <row r="159" customFormat="false" ht="15" hidden="false" customHeight="false" outlineLevel="0" collapsed="false">
      <c r="A159" s="26" t="n">
        <f aca="false">'Daily Tracker'!A159</f>
        <v>46177</v>
      </c>
      <c r="B159" s="28"/>
      <c r="C159" s="28"/>
      <c r="D159" s="28"/>
      <c r="E159" s="28"/>
      <c r="F159" s="28"/>
      <c r="G159" s="47" t="str">
        <f aca="false">IF('Daily Tracker'!I159="","",'Daily Tracker'!I159)</f>
        <v/>
      </c>
      <c r="H159" s="33" t="str">
        <f aca="false">IF(B159="","",B159/CalorieGoal)</f>
        <v/>
      </c>
      <c r="I159" s="33" t="str">
        <f aca="false">IF(C159="","",C159/ProteinGoal)</f>
        <v/>
      </c>
      <c r="J159" s="33" t="str">
        <f aca="false">IF(D159="","",D159/CarbGoal)</f>
        <v/>
      </c>
      <c r="K159" s="33" t="str">
        <f aca="false">IF(E159="","",E159/FatGoal)</f>
        <v/>
      </c>
      <c r="L159" s="33" t="str">
        <f aca="false">IF(F159="","",F159/FiberGoal)</f>
        <v/>
      </c>
      <c r="M159" s="33" t="str">
        <f aca="false">IF(G159="","",G159/WaterGoal)</f>
        <v/>
      </c>
    </row>
    <row r="160" customFormat="false" ht="15" hidden="false" customHeight="false" outlineLevel="0" collapsed="false">
      <c r="A160" s="35" t="n">
        <f aca="false">'Daily Tracker'!A160</f>
        <v>46178</v>
      </c>
      <c r="B160" s="28"/>
      <c r="C160" s="28"/>
      <c r="D160" s="28"/>
      <c r="E160" s="28"/>
      <c r="F160" s="28"/>
      <c r="G160" s="48" t="str">
        <f aca="false">IF('Daily Tracker'!I160="","",'Daily Tracker'!I160)</f>
        <v/>
      </c>
      <c r="H160" s="37" t="str">
        <f aca="false">IF(B160="","",B160/CalorieGoal)</f>
        <v/>
      </c>
      <c r="I160" s="37" t="str">
        <f aca="false">IF(C160="","",C160/ProteinGoal)</f>
        <v/>
      </c>
      <c r="J160" s="37" t="str">
        <f aca="false">IF(D160="","",D160/CarbGoal)</f>
        <v/>
      </c>
      <c r="K160" s="37" t="str">
        <f aca="false">IF(E160="","",E160/FatGoal)</f>
        <v/>
      </c>
      <c r="L160" s="37" t="str">
        <f aca="false">IF(F160="","",F160/FiberGoal)</f>
        <v/>
      </c>
      <c r="M160" s="37" t="str">
        <f aca="false">IF(G160="","",G160/WaterGoal)</f>
        <v/>
      </c>
    </row>
    <row r="161" customFormat="false" ht="15" hidden="false" customHeight="false" outlineLevel="0" collapsed="false">
      <c r="A161" s="26" t="n">
        <f aca="false">'Daily Tracker'!A161</f>
        <v>46179</v>
      </c>
      <c r="B161" s="28"/>
      <c r="C161" s="28"/>
      <c r="D161" s="28"/>
      <c r="E161" s="28"/>
      <c r="F161" s="28"/>
      <c r="G161" s="47" t="str">
        <f aca="false">IF('Daily Tracker'!I161="","",'Daily Tracker'!I161)</f>
        <v/>
      </c>
      <c r="H161" s="33" t="str">
        <f aca="false">IF(B161="","",B161/CalorieGoal)</f>
        <v/>
      </c>
      <c r="I161" s="33" t="str">
        <f aca="false">IF(C161="","",C161/ProteinGoal)</f>
        <v/>
      </c>
      <c r="J161" s="33" t="str">
        <f aca="false">IF(D161="","",D161/CarbGoal)</f>
        <v/>
      </c>
      <c r="K161" s="33" t="str">
        <f aca="false">IF(E161="","",E161/FatGoal)</f>
        <v/>
      </c>
      <c r="L161" s="33" t="str">
        <f aca="false">IF(F161="","",F161/FiberGoal)</f>
        <v/>
      </c>
      <c r="M161" s="33" t="str">
        <f aca="false">IF(G161="","",G161/WaterGoal)</f>
        <v/>
      </c>
    </row>
    <row r="162" customFormat="false" ht="15" hidden="false" customHeight="false" outlineLevel="0" collapsed="false">
      <c r="A162" s="35" t="n">
        <f aca="false">'Daily Tracker'!A162</f>
        <v>46180</v>
      </c>
      <c r="B162" s="28"/>
      <c r="C162" s="28"/>
      <c r="D162" s="28"/>
      <c r="E162" s="28"/>
      <c r="F162" s="28"/>
      <c r="G162" s="48" t="str">
        <f aca="false">IF('Daily Tracker'!I162="","",'Daily Tracker'!I162)</f>
        <v/>
      </c>
      <c r="H162" s="37" t="str">
        <f aca="false">IF(B162="","",B162/CalorieGoal)</f>
        <v/>
      </c>
      <c r="I162" s="37" t="str">
        <f aca="false">IF(C162="","",C162/ProteinGoal)</f>
        <v/>
      </c>
      <c r="J162" s="37" t="str">
        <f aca="false">IF(D162="","",D162/CarbGoal)</f>
        <v/>
      </c>
      <c r="K162" s="37" t="str">
        <f aca="false">IF(E162="","",E162/FatGoal)</f>
        <v/>
      </c>
      <c r="L162" s="37" t="str">
        <f aca="false">IF(F162="","",F162/FiberGoal)</f>
        <v/>
      </c>
      <c r="M162" s="37" t="str">
        <f aca="false">IF(G162="","",G162/WaterGoal)</f>
        <v/>
      </c>
    </row>
    <row r="163" customFormat="false" ht="15" hidden="false" customHeight="false" outlineLevel="0" collapsed="false">
      <c r="A163" s="26" t="n">
        <f aca="false">'Daily Tracker'!A163</f>
        <v>46181</v>
      </c>
      <c r="B163" s="28"/>
      <c r="C163" s="28"/>
      <c r="D163" s="28"/>
      <c r="E163" s="28"/>
      <c r="F163" s="28"/>
      <c r="G163" s="47" t="str">
        <f aca="false">IF('Daily Tracker'!I163="","",'Daily Tracker'!I163)</f>
        <v/>
      </c>
      <c r="H163" s="33" t="str">
        <f aca="false">IF(B163="","",B163/CalorieGoal)</f>
        <v/>
      </c>
      <c r="I163" s="33" t="str">
        <f aca="false">IF(C163="","",C163/ProteinGoal)</f>
        <v/>
      </c>
      <c r="J163" s="33" t="str">
        <f aca="false">IF(D163="","",D163/CarbGoal)</f>
        <v/>
      </c>
      <c r="K163" s="33" t="str">
        <f aca="false">IF(E163="","",E163/FatGoal)</f>
        <v/>
      </c>
      <c r="L163" s="33" t="str">
        <f aca="false">IF(F163="","",F163/FiberGoal)</f>
        <v/>
      </c>
      <c r="M163" s="33" t="str">
        <f aca="false">IF(G163="","",G163/WaterGoal)</f>
        <v/>
      </c>
    </row>
    <row r="164" customFormat="false" ht="15" hidden="false" customHeight="false" outlineLevel="0" collapsed="false">
      <c r="A164" s="35" t="n">
        <f aca="false">'Daily Tracker'!A164</f>
        <v>46182</v>
      </c>
      <c r="B164" s="28"/>
      <c r="C164" s="28"/>
      <c r="D164" s="28"/>
      <c r="E164" s="28"/>
      <c r="F164" s="28"/>
      <c r="G164" s="48" t="str">
        <f aca="false">IF('Daily Tracker'!I164="","",'Daily Tracker'!I164)</f>
        <v/>
      </c>
      <c r="H164" s="37" t="str">
        <f aca="false">IF(B164="","",B164/CalorieGoal)</f>
        <v/>
      </c>
      <c r="I164" s="37" t="str">
        <f aca="false">IF(C164="","",C164/ProteinGoal)</f>
        <v/>
      </c>
      <c r="J164" s="37" t="str">
        <f aca="false">IF(D164="","",D164/CarbGoal)</f>
        <v/>
      </c>
      <c r="K164" s="37" t="str">
        <f aca="false">IF(E164="","",E164/FatGoal)</f>
        <v/>
      </c>
      <c r="L164" s="37" t="str">
        <f aca="false">IF(F164="","",F164/FiberGoal)</f>
        <v/>
      </c>
      <c r="M164" s="37" t="str">
        <f aca="false">IF(G164="","",G164/WaterGoal)</f>
        <v/>
      </c>
    </row>
    <row r="165" customFormat="false" ht="15" hidden="false" customHeight="false" outlineLevel="0" collapsed="false">
      <c r="A165" s="26" t="n">
        <f aca="false">'Daily Tracker'!A165</f>
        <v>46183</v>
      </c>
      <c r="B165" s="28"/>
      <c r="C165" s="28"/>
      <c r="D165" s="28"/>
      <c r="E165" s="28"/>
      <c r="F165" s="28"/>
      <c r="G165" s="47" t="str">
        <f aca="false">IF('Daily Tracker'!I165="","",'Daily Tracker'!I165)</f>
        <v/>
      </c>
      <c r="H165" s="33" t="str">
        <f aca="false">IF(B165="","",B165/CalorieGoal)</f>
        <v/>
      </c>
      <c r="I165" s="33" t="str">
        <f aca="false">IF(C165="","",C165/ProteinGoal)</f>
        <v/>
      </c>
      <c r="J165" s="33" t="str">
        <f aca="false">IF(D165="","",D165/CarbGoal)</f>
        <v/>
      </c>
      <c r="K165" s="33" t="str">
        <f aca="false">IF(E165="","",E165/FatGoal)</f>
        <v/>
      </c>
      <c r="L165" s="33" t="str">
        <f aca="false">IF(F165="","",F165/FiberGoal)</f>
        <v/>
      </c>
      <c r="M165" s="33" t="str">
        <f aca="false">IF(G165="","",G165/WaterGoal)</f>
        <v/>
      </c>
    </row>
    <row r="166" customFormat="false" ht="15" hidden="false" customHeight="false" outlineLevel="0" collapsed="false">
      <c r="A166" s="35" t="n">
        <f aca="false">'Daily Tracker'!A166</f>
        <v>46184</v>
      </c>
      <c r="B166" s="28"/>
      <c r="C166" s="28"/>
      <c r="D166" s="28"/>
      <c r="E166" s="28"/>
      <c r="F166" s="28"/>
      <c r="G166" s="48" t="str">
        <f aca="false">IF('Daily Tracker'!I166="","",'Daily Tracker'!I166)</f>
        <v/>
      </c>
      <c r="H166" s="37" t="str">
        <f aca="false">IF(B166="","",B166/CalorieGoal)</f>
        <v/>
      </c>
      <c r="I166" s="37" t="str">
        <f aca="false">IF(C166="","",C166/ProteinGoal)</f>
        <v/>
      </c>
      <c r="J166" s="37" t="str">
        <f aca="false">IF(D166="","",D166/CarbGoal)</f>
        <v/>
      </c>
      <c r="K166" s="37" t="str">
        <f aca="false">IF(E166="","",E166/FatGoal)</f>
        <v/>
      </c>
      <c r="L166" s="37" t="str">
        <f aca="false">IF(F166="","",F166/FiberGoal)</f>
        <v/>
      </c>
      <c r="M166" s="37" t="str">
        <f aca="false">IF(G166="","",G166/WaterGoal)</f>
        <v/>
      </c>
    </row>
    <row r="167" customFormat="false" ht="15" hidden="false" customHeight="false" outlineLevel="0" collapsed="false">
      <c r="A167" s="26" t="n">
        <f aca="false">'Daily Tracker'!A167</f>
        <v>46185</v>
      </c>
      <c r="B167" s="28"/>
      <c r="C167" s="28"/>
      <c r="D167" s="28"/>
      <c r="E167" s="28"/>
      <c r="F167" s="28"/>
      <c r="G167" s="47" t="str">
        <f aca="false">IF('Daily Tracker'!I167="","",'Daily Tracker'!I167)</f>
        <v/>
      </c>
      <c r="H167" s="33" t="str">
        <f aca="false">IF(B167="","",B167/CalorieGoal)</f>
        <v/>
      </c>
      <c r="I167" s="33" t="str">
        <f aca="false">IF(C167="","",C167/ProteinGoal)</f>
        <v/>
      </c>
      <c r="J167" s="33" t="str">
        <f aca="false">IF(D167="","",D167/CarbGoal)</f>
        <v/>
      </c>
      <c r="K167" s="33" t="str">
        <f aca="false">IF(E167="","",E167/FatGoal)</f>
        <v/>
      </c>
      <c r="L167" s="33" t="str">
        <f aca="false">IF(F167="","",F167/FiberGoal)</f>
        <v/>
      </c>
      <c r="M167" s="33" t="str">
        <f aca="false">IF(G167="","",G167/WaterGoal)</f>
        <v/>
      </c>
    </row>
    <row r="168" customFormat="false" ht="15" hidden="false" customHeight="false" outlineLevel="0" collapsed="false">
      <c r="A168" s="35" t="n">
        <f aca="false">'Daily Tracker'!A168</f>
        <v>46186</v>
      </c>
      <c r="B168" s="28"/>
      <c r="C168" s="28"/>
      <c r="D168" s="28"/>
      <c r="E168" s="28"/>
      <c r="F168" s="28"/>
      <c r="G168" s="48" t="str">
        <f aca="false">IF('Daily Tracker'!I168="","",'Daily Tracker'!I168)</f>
        <v/>
      </c>
      <c r="H168" s="37" t="str">
        <f aca="false">IF(B168="","",B168/CalorieGoal)</f>
        <v/>
      </c>
      <c r="I168" s="37" t="str">
        <f aca="false">IF(C168="","",C168/ProteinGoal)</f>
        <v/>
      </c>
      <c r="J168" s="37" t="str">
        <f aca="false">IF(D168="","",D168/CarbGoal)</f>
        <v/>
      </c>
      <c r="K168" s="37" t="str">
        <f aca="false">IF(E168="","",E168/FatGoal)</f>
        <v/>
      </c>
      <c r="L168" s="37" t="str">
        <f aca="false">IF(F168="","",F168/FiberGoal)</f>
        <v/>
      </c>
      <c r="M168" s="37" t="str">
        <f aca="false">IF(G168="","",G168/WaterGoal)</f>
        <v/>
      </c>
    </row>
    <row r="169" customFormat="false" ht="15" hidden="false" customHeight="false" outlineLevel="0" collapsed="false">
      <c r="A169" s="26" t="n">
        <f aca="false">'Daily Tracker'!A169</f>
        <v>46187</v>
      </c>
      <c r="B169" s="28"/>
      <c r="C169" s="28"/>
      <c r="D169" s="28"/>
      <c r="E169" s="28"/>
      <c r="F169" s="28"/>
      <c r="G169" s="47" t="str">
        <f aca="false">IF('Daily Tracker'!I169="","",'Daily Tracker'!I169)</f>
        <v/>
      </c>
      <c r="H169" s="33" t="str">
        <f aca="false">IF(B169="","",B169/CalorieGoal)</f>
        <v/>
      </c>
      <c r="I169" s="33" t="str">
        <f aca="false">IF(C169="","",C169/ProteinGoal)</f>
        <v/>
      </c>
      <c r="J169" s="33" t="str">
        <f aca="false">IF(D169="","",D169/CarbGoal)</f>
        <v/>
      </c>
      <c r="K169" s="33" t="str">
        <f aca="false">IF(E169="","",E169/FatGoal)</f>
        <v/>
      </c>
      <c r="L169" s="33" t="str">
        <f aca="false">IF(F169="","",F169/FiberGoal)</f>
        <v/>
      </c>
      <c r="M169" s="33" t="str">
        <f aca="false">IF(G169="","",G169/WaterGoal)</f>
        <v/>
      </c>
    </row>
    <row r="170" customFormat="false" ht="15" hidden="false" customHeight="false" outlineLevel="0" collapsed="false">
      <c r="A170" s="35" t="n">
        <f aca="false">'Daily Tracker'!A170</f>
        <v>46188</v>
      </c>
      <c r="B170" s="28"/>
      <c r="C170" s="28"/>
      <c r="D170" s="28"/>
      <c r="E170" s="28"/>
      <c r="F170" s="28"/>
      <c r="G170" s="48" t="str">
        <f aca="false">IF('Daily Tracker'!I170="","",'Daily Tracker'!I170)</f>
        <v/>
      </c>
      <c r="H170" s="37" t="str">
        <f aca="false">IF(B170="","",B170/CalorieGoal)</f>
        <v/>
      </c>
      <c r="I170" s="37" t="str">
        <f aca="false">IF(C170="","",C170/ProteinGoal)</f>
        <v/>
      </c>
      <c r="J170" s="37" t="str">
        <f aca="false">IF(D170="","",D170/CarbGoal)</f>
        <v/>
      </c>
      <c r="K170" s="37" t="str">
        <f aca="false">IF(E170="","",E170/FatGoal)</f>
        <v/>
      </c>
      <c r="L170" s="37" t="str">
        <f aca="false">IF(F170="","",F170/FiberGoal)</f>
        <v/>
      </c>
      <c r="M170" s="37" t="str">
        <f aca="false">IF(G170="","",G170/WaterGoal)</f>
        <v/>
      </c>
    </row>
    <row r="171" customFormat="false" ht="15" hidden="false" customHeight="false" outlineLevel="0" collapsed="false">
      <c r="A171" s="26" t="n">
        <f aca="false">'Daily Tracker'!A171</f>
        <v>46189</v>
      </c>
      <c r="B171" s="28"/>
      <c r="C171" s="28"/>
      <c r="D171" s="28"/>
      <c r="E171" s="28"/>
      <c r="F171" s="28"/>
      <c r="G171" s="47" t="str">
        <f aca="false">IF('Daily Tracker'!I171="","",'Daily Tracker'!I171)</f>
        <v/>
      </c>
      <c r="H171" s="33" t="str">
        <f aca="false">IF(B171="","",B171/CalorieGoal)</f>
        <v/>
      </c>
      <c r="I171" s="33" t="str">
        <f aca="false">IF(C171="","",C171/ProteinGoal)</f>
        <v/>
      </c>
      <c r="J171" s="33" t="str">
        <f aca="false">IF(D171="","",D171/CarbGoal)</f>
        <v/>
      </c>
      <c r="K171" s="33" t="str">
        <f aca="false">IF(E171="","",E171/FatGoal)</f>
        <v/>
      </c>
      <c r="L171" s="33" t="str">
        <f aca="false">IF(F171="","",F171/FiberGoal)</f>
        <v/>
      </c>
      <c r="M171" s="33" t="str">
        <f aca="false">IF(G171="","",G171/WaterGoal)</f>
        <v/>
      </c>
    </row>
    <row r="172" customFormat="false" ht="15" hidden="false" customHeight="false" outlineLevel="0" collapsed="false">
      <c r="A172" s="35" t="n">
        <f aca="false">'Daily Tracker'!A172</f>
        <v>46190</v>
      </c>
      <c r="B172" s="28"/>
      <c r="C172" s="28"/>
      <c r="D172" s="28"/>
      <c r="E172" s="28"/>
      <c r="F172" s="28"/>
      <c r="G172" s="48" t="str">
        <f aca="false">IF('Daily Tracker'!I172="","",'Daily Tracker'!I172)</f>
        <v/>
      </c>
      <c r="H172" s="37" t="str">
        <f aca="false">IF(B172="","",B172/CalorieGoal)</f>
        <v/>
      </c>
      <c r="I172" s="37" t="str">
        <f aca="false">IF(C172="","",C172/ProteinGoal)</f>
        <v/>
      </c>
      <c r="J172" s="37" t="str">
        <f aca="false">IF(D172="","",D172/CarbGoal)</f>
        <v/>
      </c>
      <c r="K172" s="37" t="str">
        <f aca="false">IF(E172="","",E172/FatGoal)</f>
        <v/>
      </c>
      <c r="L172" s="37" t="str">
        <f aca="false">IF(F172="","",F172/FiberGoal)</f>
        <v/>
      </c>
      <c r="M172" s="37" t="str">
        <f aca="false">IF(G172="","",G172/WaterGoal)</f>
        <v/>
      </c>
    </row>
    <row r="173" customFormat="false" ht="15" hidden="false" customHeight="false" outlineLevel="0" collapsed="false">
      <c r="A173" s="26" t="n">
        <f aca="false">'Daily Tracker'!A173</f>
        <v>46191</v>
      </c>
      <c r="B173" s="28"/>
      <c r="C173" s="28"/>
      <c r="D173" s="28"/>
      <c r="E173" s="28"/>
      <c r="F173" s="28"/>
      <c r="G173" s="47" t="str">
        <f aca="false">IF('Daily Tracker'!I173="","",'Daily Tracker'!I173)</f>
        <v/>
      </c>
      <c r="H173" s="33" t="str">
        <f aca="false">IF(B173="","",B173/CalorieGoal)</f>
        <v/>
      </c>
      <c r="I173" s="33" t="str">
        <f aca="false">IF(C173="","",C173/ProteinGoal)</f>
        <v/>
      </c>
      <c r="J173" s="33" t="str">
        <f aca="false">IF(D173="","",D173/CarbGoal)</f>
        <v/>
      </c>
      <c r="K173" s="33" t="str">
        <f aca="false">IF(E173="","",E173/FatGoal)</f>
        <v/>
      </c>
      <c r="L173" s="33" t="str">
        <f aca="false">IF(F173="","",F173/FiberGoal)</f>
        <v/>
      </c>
      <c r="M173" s="33" t="str">
        <f aca="false">IF(G173="","",G173/WaterGoal)</f>
        <v/>
      </c>
    </row>
    <row r="174" customFormat="false" ht="15" hidden="false" customHeight="false" outlineLevel="0" collapsed="false">
      <c r="A174" s="35" t="n">
        <f aca="false">'Daily Tracker'!A174</f>
        <v>46192</v>
      </c>
      <c r="B174" s="28"/>
      <c r="C174" s="28"/>
      <c r="D174" s="28"/>
      <c r="E174" s="28"/>
      <c r="F174" s="28"/>
      <c r="G174" s="48" t="str">
        <f aca="false">IF('Daily Tracker'!I174="","",'Daily Tracker'!I174)</f>
        <v/>
      </c>
      <c r="H174" s="37" t="str">
        <f aca="false">IF(B174="","",B174/CalorieGoal)</f>
        <v/>
      </c>
      <c r="I174" s="37" t="str">
        <f aca="false">IF(C174="","",C174/ProteinGoal)</f>
        <v/>
      </c>
      <c r="J174" s="37" t="str">
        <f aca="false">IF(D174="","",D174/CarbGoal)</f>
        <v/>
      </c>
      <c r="K174" s="37" t="str">
        <f aca="false">IF(E174="","",E174/FatGoal)</f>
        <v/>
      </c>
      <c r="L174" s="37" t="str">
        <f aca="false">IF(F174="","",F174/FiberGoal)</f>
        <v/>
      </c>
      <c r="M174" s="37" t="str">
        <f aca="false">IF(G174="","",G174/WaterGoal)</f>
        <v/>
      </c>
    </row>
    <row r="175" customFormat="false" ht="15" hidden="false" customHeight="false" outlineLevel="0" collapsed="false">
      <c r="A175" s="26" t="n">
        <f aca="false">'Daily Tracker'!A175</f>
        <v>46193</v>
      </c>
      <c r="B175" s="28"/>
      <c r="C175" s="28"/>
      <c r="D175" s="28"/>
      <c r="E175" s="28"/>
      <c r="F175" s="28"/>
      <c r="G175" s="47" t="str">
        <f aca="false">IF('Daily Tracker'!I175="","",'Daily Tracker'!I175)</f>
        <v/>
      </c>
      <c r="H175" s="33" t="str">
        <f aca="false">IF(B175="","",B175/CalorieGoal)</f>
        <v/>
      </c>
      <c r="I175" s="33" t="str">
        <f aca="false">IF(C175="","",C175/ProteinGoal)</f>
        <v/>
      </c>
      <c r="J175" s="33" t="str">
        <f aca="false">IF(D175="","",D175/CarbGoal)</f>
        <v/>
      </c>
      <c r="K175" s="33" t="str">
        <f aca="false">IF(E175="","",E175/FatGoal)</f>
        <v/>
      </c>
      <c r="L175" s="33" t="str">
        <f aca="false">IF(F175="","",F175/FiberGoal)</f>
        <v/>
      </c>
      <c r="M175" s="33" t="str">
        <f aca="false">IF(G175="","",G175/WaterGoal)</f>
        <v/>
      </c>
    </row>
    <row r="176" customFormat="false" ht="15" hidden="false" customHeight="false" outlineLevel="0" collapsed="false">
      <c r="A176" s="35" t="n">
        <f aca="false">'Daily Tracker'!A176</f>
        <v>46194</v>
      </c>
      <c r="B176" s="28"/>
      <c r="C176" s="28"/>
      <c r="D176" s="28"/>
      <c r="E176" s="28"/>
      <c r="F176" s="28"/>
      <c r="G176" s="48" t="str">
        <f aca="false">IF('Daily Tracker'!I176="","",'Daily Tracker'!I176)</f>
        <v/>
      </c>
      <c r="H176" s="37" t="str">
        <f aca="false">IF(B176="","",B176/CalorieGoal)</f>
        <v/>
      </c>
      <c r="I176" s="37" t="str">
        <f aca="false">IF(C176="","",C176/ProteinGoal)</f>
        <v/>
      </c>
      <c r="J176" s="37" t="str">
        <f aca="false">IF(D176="","",D176/CarbGoal)</f>
        <v/>
      </c>
      <c r="K176" s="37" t="str">
        <f aca="false">IF(E176="","",E176/FatGoal)</f>
        <v/>
      </c>
      <c r="L176" s="37" t="str">
        <f aca="false">IF(F176="","",F176/FiberGoal)</f>
        <v/>
      </c>
      <c r="M176" s="37" t="str">
        <f aca="false">IF(G176="","",G176/WaterGoal)</f>
        <v/>
      </c>
    </row>
    <row r="177" customFormat="false" ht="15" hidden="false" customHeight="false" outlineLevel="0" collapsed="false">
      <c r="A177" s="26" t="n">
        <f aca="false">'Daily Tracker'!A177</f>
        <v>46195</v>
      </c>
      <c r="B177" s="28"/>
      <c r="C177" s="28"/>
      <c r="D177" s="28"/>
      <c r="E177" s="28"/>
      <c r="F177" s="28"/>
      <c r="G177" s="47" t="str">
        <f aca="false">IF('Daily Tracker'!I177="","",'Daily Tracker'!I177)</f>
        <v/>
      </c>
      <c r="H177" s="33" t="str">
        <f aca="false">IF(B177="","",B177/CalorieGoal)</f>
        <v/>
      </c>
      <c r="I177" s="33" t="str">
        <f aca="false">IF(C177="","",C177/ProteinGoal)</f>
        <v/>
      </c>
      <c r="J177" s="33" t="str">
        <f aca="false">IF(D177="","",D177/CarbGoal)</f>
        <v/>
      </c>
      <c r="K177" s="33" t="str">
        <f aca="false">IF(E177="","",E177/FatGoal)</f>
        <v/>
      </c>
      <c r="L177" s="33" t="str">
        <f aca="false">IF(F177="","",F177/FiberGoal)</f>
        <v/>
      </c>
      <c r="M177" s="33" t="str">
        <f aca="false">IF(G177="","",G177/WaterGoal)</f>
        <v/>
      </c>
    </row>
    <row r="178" customFormat="false" ht="15" hidden="false" customHeight="false" outlineLevel="0" collapsed="false">
      <c r="A178" s="35" t="n">
        <f aca="false">'Daily Tracker'!A178</f>
        <v>46196</v>
      </c>
      <c r="B178" s="28"/>
      <c r="C178" s="28"/>
      <c r="D178" s="28"/>
      <c r="E178" s="28"/>
      <c r="F178" s="28"/>
      <c r="G178" s="48" t="str">
        <f aca="false">IF('Daily Tracker'!I178="","",'Daily Tracker'!I178)</f>
        <v/>
      </c>
      <c r="H178" s="37" t="str">
        <f aca="false">IF(B178="","",B178/CalorieGoal)</f>
        <v/>
      </c>
      <c r="I178" s="37" t="str">
        <f aca="false">IF(C178="","",C178/ProteinGoal)</f>
        <v/>
      </c>
      <c r="J178" s="37" t="str">
        <f aca="false">IF(D178="","",D178/CarbGoal)</f>
        <v/>
      </c>
      <c r="K178" s="37" t="str">
        <f aca="false">IF(E178="","",E178/FatGoal)</f>
        <v/>
      </c>
      <c r="L178" s="37" t="str">
        <f aca="false">IF(F178="","",F178/FiberGoal)</f>
        <v/>
      </c>
      <c r="M178" s="37" t="str">
        <f aca="false">IF(G178="","",G178/WaterGoal)</f>
        <v/>
      </c>
    </row>
    <row r="179" customFormat="false" ht="15" hidden="false" customHeight="false" outlineLevel="0" collapsed="false">
      <c r="A179" s="26" t="n">
        <f aca="false">'Daily Tracker'!A179</f>
        <v>46197</v>
      </c>
      <c r="B179" s="28"/>
      <c r="C179" s="28"/>
      <c r="D179" s="28"/>
      <c r="E179" s="28"/>
      <c r="F179" s="28"/>
      <c r="G179" s="47" t="str">
        <f aca="false">IF('Daily Tracker'!I179="","",'Daily Tracker'!I179)</f>
        <v/>
      </c>
      <c r="H179" s="33" t="str">
        <f aca="false">IF(B179="","",B179/CalorieGoal)</f>
        <v/>
      </c>
      <c r="I179" s="33" t="str">
        <f aca="false">IF(C179="","",C179/ProteinGoal)</f>
        <v/>
      </c>
      <c r="J179" s="33" t="str">
        <f aca="false">IF(D179="","",D179/CarbGoal)</f>
        <v/>
      </c>
      <c r="K179" s="33" t="str">
        <f aca="false">IF(E179="","",E179/FatGoal)</f>
        <v/>
      </c>
      <c r="L179" s="33" t="str">
        <f aca="false">IF(F179="","",F179/FiberGoal)</f>
        <v/>
      </c>
      <c r="M179" s="33" t="str">
        <f aca="false">IF(G179="","",G179/WaterGoal)</f>
        <v/>
      </c>
    </row>
    <row r="180" customFormat="false" ht="15" hidden="false" customHeight="false" outlineLevel="0" collapsed="false">
      <c r="A180" s="35" t="n">
        <f aca="false">'Daily Tracker'!A180</f>
        <v>46198</v>
      </c>
      <c r="B180" s="28"/>
      <c r="C180" s="28"/>
      <c r="D180" s="28"/>
      <c r="E180" s="28"/>
      <c r="F180" s="28"/>
      <c r="G180" s="48" t="str">
        <f aca="false">IF('Daily Tracker'!I180="","",'Daily Tracker'!I180)</f>
        <v/>
      </c>
      <c r="H180" s="37" t="str">
        <f aca="false">IF(B180="","",B180/CalorieGoal)</f>
        <v/>
      </c>
      <c r="I180" s="37" t="str">
        <f aca="false">IF(C180="","",C180/ProteinGoal)</f>
        <v/>
      </c>
      <c r="J180" s="37" t="str">
        <f aca="false">IF(D180="","",D180/CarbGoal)</f>
        <v/>
      </c>
      <c r="K180" s="37" t="str">
        <f aca="false">IF(E180="","",E180/FatGoal)</f>
        <v/>
      </c>
      <c r="L180" s="37" t="str">
        <f aca="false">IF(F180="","",F180/FiberGoal)</f>
        <v/>
      </c>
      <c r="M180" s="37" t="str">
        <f aca="false">IF(G180="","",G180/WaterGoal)</f>
        <v/>
      </c>
    </row>
    <row r="181" customFormat="false" ht="15" hidden="false" customHeight="false" outlineLevel="0" collapsed="false">
      <c r="A181" s="26" t="n">
        <f aca="false">'Daily Tracker'!A181</f>
        <v>46199</v>
      </c>
      <c r="B181" s="28"/>
      <c r="C181" s="28"/>
      <c r="D181" s="28"/>
      <c r="E181" s="28"/>
      <c r="F181" s="28"/>
      <c r="G181" s="47" t="str">
        <f aca="false">IF('Daily Tracker'!I181="","",'Daily Tracker'!I181)</f>
        <v/>
      </c>
      <c r="H181" s="33" t="str">
        <f aca="false">IF(B181="","",B181/CalorieGoal)</f>
        <v/>
      </c>
      <c r="I181" s="33" t="str">
        <f aca="false">IF(C181="","",C181/ProteinGoal)</f>
        <v/>
      </c>
      <c r="J181" s="33" t="str">
        <f aca="false">IF(D181="","",D181/CarbGoal)</f>
        <v/>
      </c>
      <c r="K181" s="33" t="str">
        <f aca="false">IF(E181="","",E181/FatGoal)</f>
        <v/>
      </c>
      <c r="L181" s="33" t="str">
        <f aca="false">IF(F181="","",F181/FiberGoal)</f>
        <v/>
      </c>
      <c r="M181" s="33" t="str">
        <f aca="false">IF(G181="","",G181/WaterGoal)</f>
        <v/>
      </c>
    </row>
    <row r="182" customFormat="false" ht="15" hidden="false" customHeight="false" outlineLevel="0" collapsed="false">
      <c r="A182" s="35" t="n">
        <f aca="false">'Daily Tracker'!A182</f>
        <v>46200</v>
      </c>
      <c r="B182" s="28"/>
      <c r="C182" s="28"/>
      <c r="D182" s="28"/>
      <c r="E182" s="28"/>
      <c r="F182" s="28"/>
      <c r="G182" s="48" t="str">
        <f aca="false">IF('Daily Tracker'!I182="","",'Daily Tracker'!I182)</f>
        <v/>
      </c>
      <c r="H182" s="37" t="str">
        <f aca="false">IF(B182="","",B182/CalorieGoal)</f>
        <v/>
      </c>
      <c r="I182" s="37" t="str">
        <f aca="false">IF(C182="","",C182/ProteinGoal)</f>
        <v/>
      </c>
      <c r="J182" s="37" t="str">
        <f aca="false">IF(D182="","",D182/CarbGoal)</f>
        <v/>
      </c>
      <c r="K182" s="37" t="str">
        <f aca="false">IF(E182="","",E182/FatGoal)</f>
        <v/>
      </c>
      <c r="L182" s="37" t="str">
        <f aca="false">IF(F182="","",F182/FiberGoal)</f>
        <v/>
      </c>
      <c r="M182" s="37" t="str">
        <f aca="false">IF(G182="","",G182/WaterGoal)</f>
        <v/>
      </c>
    </row>
    <row r="183" customFormat="false" ht="15" hidden="false" customHeight="false" outlineLevel="0" collapsed="false">
      <c r="A183" s="26" t="n">
        <f aca="false">'Daily Tracker'!A183</f>
        <v>46201</v>
      </c>
      <c r="B183" s="28"/>
      <c r="C183" s="28"/>
      <c r="D183" s="28"/>
      <c r="E183" s="28"/>
      <c r="F183" s="28"/>
      <c r="G183" s="47" t="str">
        <f aca="false">IF('Daily Tracker'!I183="","",'Daily Tracker'!I183)</f>
        <v/>
      </c>
      <c r="H183" s="33" t="str">
        <f aca="false">IF(B183="","",B183/CalorieGoal)</f>
        <v/>
      </c>
      <c r="I183" s="33" t="str">
        <f aca="false">IF(C183="","",C183/ProteinGoal)</f>
        <v/>
      </c>
      <c r="J183" s="33" t="str">
        <f aca="false">IF(D183="","",D183/CarbGoal)</f>
        <v/>
      </c>
      <c r="K183" s="33" t="str">
        <f aca="false">IF(E183="","",E183/FatGoal)</f>
        <v/>
      </c>
      <c r="L183" s="33" t="str">
        <f aca="false">IF(F183="","",F183/FiberGoal)</f>
        <v/>
      </c>
      <c r="M183" s="33" t="str">
        <f aca="false">IF(G183="","",G183/WaterGoal)</f>
        <v/>
      </c>
    </row>
    <row r="184" customFormat="false" ht="15" hidden="false" customHeight="false" outlineLevel="0" collapsed="false">
      <c r="A184" s="35" t="n">
        <f aca="false">'Daily Tracker'!A184</f>
        <v>46202</v>
      </c>
      <c r="B184" s="28"/>
      <c r="C184" s="28"/>
      <c r="D184" s="28"/>
      <c r="E184" s="28"/>
      <c r="F184" s="28"/>
      <c r="G184" s="48" t="str">
        <f aca="false">IF('Daily Tracker'!I184="","",'Daily Tracker'!I184)</f>
        <v/>
      </c>
      <c r="H184" s="37" t="str">
        <f aca="false">IF(B184="","",B184/CalorieGoal)</f>
        <v/>
      </c>
      <c r="I184" s="37" t="str">
        <f aca="false">IF(C184="","",C184/ProteinGoal)</f>
        <v/>
      </c>
      <c r="J184" s="37" t="str">
        <f aca="false">IF(D184="","",D184/CarbGoal)</f>
        <v/>
      </c>
      <c r="K184" s="37" t="str">
        <f aca="false">IF(E184="","",E184/FatGoal)</f>
        <v/>
      </c>
      <c r="L184" s="37" t="str">
        <f aca="false">IF(F184="","",F184/FiberGoal)</f>
        <v/>
      </c>
      <c r="M184" s="37" t="str">
        <f aca="false">IF(G184="","",G184/WaterGoal)</f>
        <v/>
      </c>
    </row>
    <row r="185" customFormat="false" ht="15" hidden="false" customHeight="false" outlineLevel="0" collapsed="false">
      <c r="A185" s="26" t="n">
        <f aca="false">'Daily Tracker'!A185</f>
        <v>46203</v>
      </c>
      <c r="B185" s="28"/>
      <c r="C185" s="28"/>
      <c r="D185" s="28"/>
      <c r="E185" s="28"/>
      <c r="F185" s="28"/>
      <c r="G185" s="47" t="str">
        <f aca="false">IF('Daily Tracker'!I185="","",'Daily Tracker'!I185)</f>
        <v/>
      </c>
      <c r="H185" s="33" t="str">
        <f aca="false">IF(B185="","",B185/CalorieGoal)</f>
        <v/>
      </c>
      <c r="I185" s="33" t="str">
        <f aca="false">IF(C185="","",C185/ProteinGoal)</f>
        <v/>
      </c>
      <c r="J185" s="33" t="str">
        <f aca="false">IF(D185="","",D185/CarbGoal)</f>
        <v/>
      </c>
      <c r="K185" s="33" t="str">
        <f aca="false">IF(E185="","",E185/FatGoal)</f>
        <v/>
      </c>
      <c r="L185" s="33" t="str">
        <f aca="false">IF(F185="","",F185/FiberGoal)</f>
        <v/>
      </c>
      <c r="M185" s="33" t="str">
        <f aca="false">IF(G185="","",G185/WaterGoal)</f>
        <v/>
      </c>
    </row>
    <row r="186" customFormat="false" ht="15" hidden="false" customHeight="false" outlineLevel="0" collapsed="false">
      <c r="A186" s="35" t="n">
        <f aca="false">'Daily Tracker'!A186</f>
        <v>46204</v>
      </c>
      <c r="B186" s="28"/>
      <c r="C186" s="28"/>
      <c r="D186" s="28"/>
      <c r="E186" s="28"/>
      <c r="F186" s="28"/>
      <c r="G186" s="48" t="str">
        <f aca="false">IF('Daily Tracker'!I186="","",'Daily Tracker'!I186)</f>
        <v/>
      </c>
      <c r="H186" s="37" t="str">
        <f aca="false">IF(B186="","",B186/CalorieGoal)</f>
        <v/>
      </c>
      <c r="I186" s="37" t="str">
        <f aca="false">IF(C186="","",C186/ProteinGoal)</f>
        <v/>
      </c>
      <c r="J186" s="37" t="str">
        <f aca="false">IF(D186="","",D186/CarbGoal)</f>
        <v/>
      </c>
      <c r="K186" s="37" t="str">
        <f aca="false">IF(E186="","",E186/FatGoal)</f>
        <v/>
      </c>
      <c r="L186" s="37" t="str">
        <f aca="false">IF(F186="","",F186/FiberGoal)</f>
        <v/>
      </c>
      <c r="M186" s="37" t="str">
        <f aca="false">IF(G186="","",G186/WaterGoal)</f>
        <v/>
      </c>
    </row>
    <row r="187" customFormat="false" ht="15" hidden="false" customHeight="false" outlineLevel="0" collapsed="false">
      <c r="A187" s="26" t="n">
        <f aca="false">'Daily Tracker'!A187</f>
        <v>46205</v>
      </c>
      <c r="B187" s="28"/>
      <c r="C187" s="28"/>
      <c r="D187" s="28"/>
      <c r="E187" s="28"/>
      <c r="F187" s="28"/>
      <c r="G187" s="47" t="str">
        <f aca="false">IF('Daily Tracker'!I187="","",'Daily Tracker'!I187)</f>
        <v/>
      </c>
      <c r="H187" s="33" t="str">
        <f aca="false">IF(B187="","",B187/CalorieGoal)</f>
        <v/>
      </c>
      <c r="I187" s="33" t="str">
        <f aca="false">IF(C187="","",C187/ProteinGoal)</f>
        <v/>
      </c>
      <c r="J187" s="33" t="str">
        <f aca="false">IF(D187="","",D187/CarbGoal)</f>
        <v/>
      </c>
      <c r="K187" s="33" t="str">
        <f aca="false">IF(E187="","",E187/FatGoal)</f>
        <v/>
      </c>
      <c r="L187" s="33" t="str">
        <f aca="false">IF(F187="","",F187/FiberGoal)</f>
        <v/>
      </c>
      <c r="M187" s="33" t="str">
        <f aca="false">IF(G187="","",G187/WaterGoal)</f>
        <v/>
      </c>
    </row>
    <row r="188" customFormat="false" ht="15" hidden="false" customHeight="false" outlineLevel="0" collapsed="false">
      <c r="A188" s="35" t="n">
        <f aca="false">'Daily Tracker'!A188</f>
        <v>46206</v>
      </c>
      <c r="B188" s="28"/>
      <c r="C188" s="28"/>
      <c r="D188" s="28"/>
      <c r="E188" s="28"/>
      <c r="F188" s="28"/>
      <c r="G188" s="48" t="str">
        <f aca="false">IF('Daily Tracker'!I188="","",'Daily Tracker'!I188)</f>
        <v/>
      </c>
      <c r="H188" s="37" t="str">
        <f aca="false">IF(B188="","",B188/CalorieGoal)</f>
        <v/>
      </c>
      <c r="I188" s="37" t="str">
        <f aca="false">IF(C188="","",C188/ProteinGoal)</f>
        <v/>
      </c>
      <c r="J188" s="37" t="str">
        <f aca="false">IF(D188="","",D188/CarbGoal)</f>
        <v/>
      </c>
      <c r="K188" s="37" t="str">
        <f aca="false">IF(E188="","",E188/FatGoal)</f>
        <v/>
      </c>
      <c r="L188" s="37" t="str">
        <f aca="false">IF(F188="","",F188/FiberGoal)</f>
        <v/>
      </c>
      <c r="M188" s="37" t="str">
        <f aca="false">IF(G188="","",G188/WaterGoal)</f>
        <v/>
      </c>
    </row>
    <row r="189" customFormat="false" ht="15" hidden="false" customHeight="false" outlineLevel="0" collapsed="false">
      <c r="A189" s="26" t="n">
        <f aca="false">'Daily Tracker'!A189</f>
        <v>46207</v>
      </c>
      <c r="B189" s="28"/>
      <c r="C189" s="28"/>
      <c r="D189" s="28"/>
      <c r="E189" s="28"/>
      <c r="F189" s="28"/>
      <c r="G189" s="47" t="str">
        <f aca="false">IF('Daily Tracker'!I189="","",'Daily Tracker'!I189)</f>
        <v/>
      </c>
      <c r="H189" s="33" t="str">
        <f aca="false">IF(B189="","",B189/CalorieGoal)</f>
        <v/>
      </c>
      <c r="I189" s="33" t="str">
        <f aca="false">IF(C189="","",C189/ProteinGoal)</f>
        <v/>
      </c>
      <c r="J189" s="33" t="str">
        <f aca="false">IF(D189="","",D189/CarbGoal)</f>
        <v/>
      </c>
      <c r="K189" s="33" t="str">
        <f aca="false">IF(E189="","",E189/FatGoal)</f>
        <v/>
      </c>
      <c r="L189" s="33" t="str">
        <f aca="false">IF(F189="","",F189/FiberGoal)</f>
        <v/>
      </c>
      <c r="M189" s="33" t="str">
        <f aca="false">IF(G189="","",G189/WaterGoal)</f>
        <v/>
      </c>
    </row>
    <row r="190" customFormat="false" ht="15" hidden="false" customHeight="false" outlineLevel="0" collapsed="false">
      <c r="A190" s="35" t="n">
        <f aca="false">'Daily Tracker'!A190</f>
        <v>46208</v>
      </c>
      <c r="B190" s="28"/>
      <c r="C190" s="28"/>
      <c r="D190" s="28"/>
      <c r="E190" s="28"/>
      <c r="F190" s="28"/>
      <c r="G190" s="48" t="str">
        <f aca="false">IF('Daily Tracker'!I190="","",'Daily Tracker'!I190)</f>
        <v/>
      </c>
      <c r="H190" s="37" t="str">
        <f aca="false">IF(B190="","",B190/CalorieGoal)</f>
        <v/>
      </c>
      <c r="I190" s="37" t="str">
        <f aca="false">IF(C190="","",C190/ProteinGoal)</f>
        <v/>
      </c>
      <c r="J190" s="37" t="str">
        <f aca="false">IF(D190="","",D190/CarbGoal)</f>
        <v/>
      </c>
      <c r="K190" s="37" t="str">
        <f aca="false">IF(E190="","",E190/FatGoal)</f>
        <v/>
      </c>
      <c r="L190" s="37" t="str">
        <f aca="false">IF(F190="","",F190/FiberGoal)</f>
        <v/>
      </c>
      <c r="M190" s="37" t="str">
        <f aca="false">IF(G190="","",G190/WaterGoal)</f>
        <v/>
      </c>
    </row>
    <row r="191" customFormat="false" ht="15" hidden="false" customHeight="false" outlineLevel="0" collapsed="false">
      <c r="A191" s="26" t="n">
        <f aca="false">'Daily Tracker'!A191</f>
        <v>46209</v>
      </c>
      <c r="B191" s="28"/>
      <c r="C191" s="28"/>
      <c r="D191" s="28"/>
      <c r="E191" s="28"/>
      <c r="F191" s="28"/>
      <c r="G191" s="47" t="str">
        <f aca="false">IF('Daily Tracker'!I191="","",'Daily Tracker'!I191)</f>
        <v/>
      </c>
      <c r="H191" s="33" t="str">
        <f aca="false">IF(B191="","",B191/CalorieGoal)</f>
        <v/>
      </c>
      <c r="I191" s="33" t="str">
        <f aca="false">IF(C191="","",C191/ProteinGoal)</f>
        <v/>
      </c>
      <c r="J191" s="33" t="str">
        <f aca="false">IF(D191="","",D191/CarbGoal)</f>
        <v/>
      </c>
      <c r="K191" s="33" t="str">
        <f aca="false">IF(E191="","",E191/FatGoal)</f>
        <v/>
      </c>
      <c r="L191" s="33" t="str">
        <f aca="false">IF(F191="","",F191/FiberGoal)</f>
        <v/>
      </c>
      <c r="M191" s="33" t="str">
        <f aca="false">IF(G191="","",G191/WaterGoal)</f>
        <v/>
      </c>
    </row>
    <row r="192" customFormat="false" ht="15" hidden="false" customHeight="false" outlineLevel="0" collapsed="false">
      <c r="A192" s="35" t="n">
        <f aca="false">'Daily Tracker'!A192</f>
        <v>46210</v>
      </c>
      <c r="B192" s="28"/>
      <c r="C192" s="28"/>
      <c r="D192" s="28"/>
      <c r="E192" s="28"/>
      <c r="F192" s="28"/>
      <c r="G192" s="48" t="str">
        <f aca="false">IF('Daily Tracker'!I192="","",'Daily Tracker'!I192)</f>
        <v/>
      </c>
      <c r="H192" s="37" t="str">
        <f aca="false">IF(B192="","",B192/CalorieGoal)</f>
        <v/>
      </c>
      <c r="I192" s="37" t="str">
        <f aca="false">IF(C192="","",C192/ProteinGoal)</f>
        <v/>
      </c>
      <c r="J192" s="37" t="str">
        <f aca="false">IF(D192="","",D192/CarbGoal)</f>
        <v/>
      </c>
      <c r="K192" s="37" t="str">
        <f aca="false">IF(E192="","",E192/FatGoal)</f>
        <v/>
      </c>
      <c r="L192" s="37" t="str">
        <f aca="false">IF(F192="","",F192/FiberGoal)</f>
        <v/>
      </c>
      <c r="M192" s="37" t="str">
        <f aca="false">IF(G192="","",G192/WaterGoal)</f>
        <v/>
      </c>
    </row>
    <row r="193" customFormat="false" ht="15" hidden="false" customHeight="false" outlineLevel="0" collapsed="false">
      <c r="A193" s="26" t="n">
        <f aca="false">'Daily Tracker'!A193</f>
        <v>46211</v>
      </c>
      <c r="B193" s="28"/>
      <c r="C193" s="28"/>
      <c r="D193" s="28"/>
      <c r="E193" s="28"/>
      <c r="F193" s="28"/>
      <c r="G193" s="47" t="str">
        <f aca="false">IF('Daily Tracker'!I193="","",'Daily Tracker'!I193)</f>
        <v/>
      </c>
      <c r="H193" s="33" t="str">
        <f aca="false">IF(B193="","",B193/CalorieGoal)</f>
        <v/>
      </c>
      <c r="I193" s="33" t="str">
        <f aca="false">IF(C193="","",C193/ProteinGoal)</f>
        <v/>
      </c>
      <c r="J193" s="33" t="str">
        <f aca="false">IF(D193="","",D193/CarbGoal)</f>
        <v/>
      </c>
      <c r="K193" s="33" t="str">
        <f aca="false">IF(E193="","",E193/FatGoal)</f>
        <v/>
      </c>
      <c r="L193" s="33" t="str">
        <f aca="false">IF(F193="","",F193/FiberGoal)</f>
        <v/>
      </c>
      <c r="M193" s="33" t="str">
        <f aca="false">IF(G193="","",G193/WaterGoal)</f>
        <v/>
      </c>
    </row>
    <row r="194" customFormat="false" ht="15" hidden="false" customHeight="false" outlineLevel="0" collapsed="false">
      <c r="A194" s="35" t="n">
        <f aca="false">'Daily Tracker'!A194</f>
        <v>46212</v>
      </c>
      <c r="B194" s="28"/>
      <c r="C194" s="28"/>
      <c r="D194" s="28"/>
      <c r="E194" s="28"/>
      <c r="F194" s="28"/>
      <c r="G194" s="48" t="str">
        <f aca="false">IF('Daily Tracker'!I194="","",'Daily Tracker'!I194)</f>
        <v/>
      </c>
      <c r="H194" s="37" t="str">
        <f aca="false">IF(B194="","",B194/CalorieGoal)</f>
        <v/>
      </c>
      <c r="I194" s="37" t="str">
        <f aca="false">IF(C194="","",C194/ProteinGoal)</f>
        <v/>
      </c>
      <c r="J194" s="37" t="str">
        <f aca="false">IF(D194="","",D194/CarbGoal)</f>
        <v/>
      </c>
      <c r="K194" s="37" t="str">
        <f aca="false">IF(E194="","",E194/FatGoal)</f>
        <v/>
      </c>
      <c r="L194" s="37" t="str">
        <f aca="false">IF(F194="","",F194/FiberGoal)</f>
        <v/>
      </c>
      <c r="M194" s="37" t="str">
        <f aca="false">IF(G194="","",G194/WaterGoal)</f>
        <v/>
      </c>
    </row>
    <row r="195" customFormat="false" ht="15" hidden="false" customHeight="false" outlineLevel="0" collapsed="false">
      <c r="A195" s="26" t="n">
        <f aca="false">'Daily Tracker'!A195</f>
        <v>46213</v>
      </c>
      <c r="B195" s="28"/>
      <c r="C195" s="28"/>
      <c r="D195" s="28"/>
      <c r="E195" s="28"/>
      <c r="F195" s="28"/>
      <c r="G195" s="47" t="str">
        <f aca="false">IF('Daily Tracker'!I195="","",'Daily Tracker'!I195)</f>
        <v/>
      </c>
      <c r="H195" s="33" t="str">
        <f aca="false">IF(B195="","",B195/CalorieGoal)</f>
        <v/>
      </c>
      <c r="I195" s="33" t="str">
        <f aca="false">IF(C195="","",C195/ProteinGoal)</f>
        <v/>
      </c>
      <c r="J195" s="33" t="str">
        <f aca="false">IF(D195="","",D195/CarbGoal)</f>
        <v/>
      </c>
      <c r="K195" s="33" t="str">
        <f aca="false">IF(E195="","",E195/FatGoal)</f>
        <v/>
      </c>
      <c r="L195" s="33" t="str">
        <f aca="false">IF(F195="","",F195/FiberGoal)</f>
        <v/>
      </c>
      <c r="M195" s="33" t="str">
        <f aca="false">IF(G195="","",G195/WaterGoal)</f>
        <v/>
      </c>
    </row>
    <row r="196" customFormat="false" ht="15" hidden="false" customHeight="false" outlineLevel="0" collapsed="false">
      <c r="A196" s="35" t="n">
        <f aca="false">'Daily Tracker'!A196</f>
        <v>46214</v>
      </c>
      <c r="B196" s="28"/>
      <c r="C196" s="28"/>
      <c r="D196" s="28"/>
      <c r="E196" s="28"/>
      <c r="F196" s="28"/>
      <c r="G196" s="48" t="str">
        <f aca="false">IF('Daily Tracker'!I196="","",'Daily Tracker'!I196)</f>
        <v/>
      </c>
      <c r="H196" s="37" t="str">
        <f aca="false">IF(B196="","",B196/CalorieGoal)</f>
        <v/>
      </c>
      <c r="I196" s="37" t="str">
        <f aca="false">IF(C196="","",C196/ProteinGoal)</f>
        <v/>
      </c>
      <c r="J196" s="37" t="str">
        <f aca="false">IF(D196="","",D196/CarbGoal)</f>
        <v/>
      </c>
      <c r="K196" s="37" t="str">
        <f aca="false">IF(E196="","",E196/FatGoal)</f>
        <v/>
      </c>
      <c r="L196" s="37" t="str">
        <f aca="false">IF(F196="","",F196/FiberGoal)</f>
        <v/>
      </c>
      <c r="M196" s="37" t="str">
        <f aca="false">IF(G196="","",G196/WaterGoal)</f>
        <v/>
      </c>
    </row>
    <row r="197" customFormat="false" ht="15" hidden="false" customHeight="false" outlineLevel="0" collapsed="false">
      <c r="A197" s="26" t="n">
        <f aca="false">'Daily Tracker'!A197</f>
        <v>46215</v>
      </c>
      <c r="B197" s="28"/>
      <c r="C197" s="28"/>
      <c r="D197" s="28"/>
      <c r="E197" s="28"/>
      <c r="F197" s="28"/>
      <c r="G197" s="47" t="str">
        <f aca="false">IF('Daily Tracker'!I197="","",'Daily Tracker'!I197)</f>
        <v/>
      </c>
      <c r="H197" s="33" t="str">
        <f aca="false">IF(B197="","",B197/CalorieGoal)</f>
        <v/>
      </c>
      <c r="I197" s="33" t="str">
        <f aca="false">IF(C197="","",C197/ProteinGoal)</f>
        <v/>
      </c>
      <c r="J197" s="33" t="str">
        <f aca="false">IF(D197="","",D197/CarbGoal)</f>
        <v/>
      </c>
      <c r="K197" s="33" t="str">
        <f aca="false">IF(E197="","",E197/FatGoal)</f>
        <v/>
      </c>
      <c r="L197" s="33" t="str">
        <f aca="false">IF(F197="","",F197/FiberGoal)</f>
        <v/>
      </c>
      <c r="M197" s="33" t="str">
        <f aca="false">IF(G197="","",G197/WaterGoal)</f>
        <v/>
      </c>
    </row>
    <row r="198" customFormat="false" ht="15" hidden="false" customHeight="false" outlineLevel="0" collapsed="false">
      <c r="A198" s="35" t="n">
        <f aca="false">'Daily Tracker'!A198</f>
        <v>46216</v>
      </c>
      <c r="B198" s="28"/>
      <c r="C198" s="28"/>
      <c r="D198" s="28"/>
      <c r="E198" s="28"/>
      <c r="F198" s="28"/>
      <c r="G198" s="48" t="str">
        <f aca="false">IF('Daily Tracker'!I198="","",'Daily Tracker'!I198)</f>
        <v/>
      </c>
      <c r="H198" s="37" t="str">
        <f aca="false">IF(B198="","",B198/CalorieGoal)</f>
        <v/>
      </c>
      <c r="I198" s="37" t="str">
        <f aca="false">IF(C198="","",C198/ProteinGoal)</f>
        <v/>
      </c>
      <c r="J198" s="37" t="str">
        <f aca="false">IF(D198="","",D198/CarbGoal)</f>
        <v/>
      </c>
      <c r="K198" s="37" t="str">
        <f aca="false">IF(E198="","",E198/FatGoal)</f>
        <v/>
      </c>
      <c r="L198" s="37" t="str">
        <f aca="false">IF(F198="","",F198/FiberGoal)</f>
        <v/>
      </c>
      <c r="M198" s="37" t="str">
        <f aca="false">IF(G198="","",G198/WaterGoal)</f>
        <v/>
      </c>
    </row>
    <row r="199" customFormat="false" ht="15" hidden="false" customHeight="false" outlineLevel="0" collapsed="false">
      <c r="A199" s="26" t="n">
        <f aca="false">'Daily Tracker'!A199</f>
        <v>46217</v>
      </c>
      <c r="B199" s="28"/>
      <c r="C199" s="28"/>
      <c r="D199" s="28"/>
      <c r="E199" s="28"/>
      <c r="F199" s="28"/>
      <c r="G199" s="47" t="str">
        <f aca="false">IF('Daily Tracker'!I199="","",'Daily Tracker'!I199)</f>
        <v/>
      </c>
      <c r="H199" s="33" t="str">
        <f aca="false">IF(B199="","",B199/CalorieGoal)</f>
        <v/>
      </c>
      <c r="I199" s="33" t="str">
        <f aca="false">IF(C199="","",C199/ProteinGoal)</f>
        <v/>
      </c>
      <c r="J199" s="33" t="str">
        <f aca="false">IF(D199="","",D199/CarbGoal)</f>
        <v/>
      </c>
      <c r="K199" s="33" t="str">
        <f aca="false">IF(E199="","",E199/FatGoal)</f>
        <v/>
      </c>
      <c r="L199" s="33" t="str">
        <f aca="false">IF(F199="","",F199/FiberGoal)</f>
        <v/>
      </c>
      <c r="M199" s="33" t="str">
        <f aca="false">IF(G199="","",G199/WaterGoal)</f>
        <v/>
      </c>
    </row>
    <row r="200" customFormat="false" ht="15" hidden="false" customHeight="false" outlineLevel="0" collapsed="false">
      <c r="A200" s="35" t="n">
        <f aca="false">'Daily Tracker'!A200</f>
        <v>46218</v>
      </c>
      <c r="B200" s="28"/>
      <c r="C200" s="28"/>
      <c r="D200" s="28"/>
      <c r="E200" s="28"/>
      <c r="F200" s="28"/>
      <c r="G200" s="48" t="str">
        <f aca="false">IF('Daily Tracker'!I200="","",'Daily Tracker'!I200)</f>
        <v/>
      </c>
      <c r="H200" s="37" t="str">
        <f aca="false">IF(B200="","",B200/CalorieGoal)</f>
        <v/>
      </c>
      <c r="I200" s="37" t="str">
        <f aca="false">IF(C200="","",C200/ProteinGoal)</f>
        <v/>
      </c>
      <c r="J200" s="37" t="str">
        <f aca="false">IF(D200="","",D200/CarbGoal)</f>
        <v/>
      </c>
      <c r="K200" s="37" t="str">
        <f aca="false">IF(E200="","",E200/FatGoal)</f>
        <v/>
      </c>
      <c r="L200" s="37" t="str">
        <f aca="false">IF(F200="","",F200/FiberGoal)</f>
        <v/>
      </c>
      <c r="M200" s="37" t="str">
        <f aca="false">IF(G200="","",G200/WaterGoal)</f>
        <v/>
      </c>
    </row>
    <row r="201" customFormat="false" ht="15" hidden="false" customHeight="false" outlineLevel="0" collapsed="false">
      <c r="A201" s="26" t="n">
        <f aca="false">'Daily Tracker'!A201</f>
        <v>46219</v>
      </c>
      <c r="B201" s="28"/>
      <c r="C201" s="28"/>
      <c r="D201" s="28"/>
      <c r="E201" s="28"/>
      <c r="F201" s="28"/>
      <c r="G201" s="47" t="str">
        <f aca="false">IF('Daily Tracker'!I201="","",'Daily Tracker'!I201)</f>
        <v/>
      </c>
      <c r="H201" s="33" t="str">
        <f aca="false">IF(B201="","",B201/CalorieGoal)</f>
        <v/>
      </c>
      <c r="I201" s="33" t="str">
        <f aca="false">IF(C201="","",C201/ProteinGoal)</f>
        <v/>
      </c>
      <c r="J201" s="33" t="str">
        <f aca="false">IF(D201="","",D201/CarbGoal)</f>
        <v/>
      </c>
      <c r="K201" s="33" t="str">
        <f aca="false">IF(E201="","",E201/FatGoal)</f>
        <v/>
      </c>
      <c r="L201" s="33" t="str">
        <f aca="false">IF(F201="","",F201/FiberGoal)</f>
        <v/>
      </c>
      <c r="M201" s="33" t="str">
        <f aca="false">IF(G201="","",G201/WaterGoal)</f>
        <v/>
      </c>
    </row>
    <row r="202" customFormat="false" ht="15" hidden="false" customHeight="false" outlineLevel="0" collapsed="false">
      <c r="A202" s="35" t="n">
        <f aca="false">'Daily Tracker'!A202</f>
        <v>46220</v>
      </c>
      <c r="B202" s="28"/>
      <c r="C202" s="28"/>
      <c r="D202" s="28"/>
      <c r="E202" s="28"/>
      <c r="F202" s="28"/>
      <c r="G202" s="48" t="str">
        <f aca="false">IF('Daily Tracker'!I202="","",'Daily Tracker'!I202)</f>
        <v/>
      </c>
      <c r="H202" s="37" t="str">
        <f aca="false">IF(B202="","",B202/CalorieGoal)</f>
        <v/>
      </c>
      <c r="I202" s="37" t="str">
        <f aca="false">IF(C202="","",C202/ProteinGoal)</f>
        <v/>
      </c>
      <c r="J202" s="37" t="str">
        <f aca="false">IF(D202="","",D202/CarbGoal)</f>
        <v/>
      </c>
      <c r="K202" s="37" t="str">
        <f aca="false">IF(E202="","",E202/FatGoal)</f>
        <v/>
      </c>
      <c r="L202" s="37" t="str">
        <f aca="false">IF(F202="","",F202/FiberGoal)</f>
        <v/>
      </c>
      <c r="M202" s="37" t="str">
        <f aca="false">IF(G202="","",G202/WaterGoal)</f>
        <v/>
      </c>
    </row>
    <row r="203" customFormat="false" ht="15" hidden="false" customHeight="false" outlineLevel="0" collapsed="false">
      <c r="A203" s="26" t="n">
        <f aca="false">'Daily Tracker'!A203</f>
        <v>46221</v>
      </c>
      <c r="B203" s="28"/>
      <c r="C203" s="28"/>
      <c r="D203" s="28"/>
      <c r="E203" s="28"/>
      <c r="F203" s="28"/>
      <c r="G203" s="47" t="str">
        <f aca="false">IF('Daily Tracker'!I203="","",'Daily Tracker'!I203)</f>
        <v/>
      </c>
      <c r="H203" s="33" t="str">
        <f aca="false">IF(B203="","",B203/CalorieGoal)</f>
        <v/>
      </c>
      <c r="I203" s="33" t="str">
        <f aca="false">IF(C203="","",C203/ProteinGoal)</f>
        <v/>
      </c>
      <c r="J203" s="33" t="str">
        <f aca="false">IF(D203="","",D203/CarbGoal)</f>
        <v/>
      </c>
      <c r="K203" s="33" t="str">
        <f aca="false">IF(E203="","",E203/FatGoal)</f>
        <v/>
      </c>
      <c r="L203" s="33" t="str">
        <f aca="false">IF(F203="","",F203/FiberGoal)</f>
        <v/>
      </c>
      <c r="M203" s="33" t="str">
        <f aca="false">IF(G203="","",G203/WaterGoal)</f>
        <v/>
      </c>
    </row>
    <row r="204" customFormat="false" ht="15" hidden="false" customHeight="false" outlineLevel="0" collapsed="false">
      <c r="A204" s="35" t="n">
        <f aca="false">'Daily Tracker'!A204</f>
        <v>46222</v>
      </c>
      <c r="B204" s="28"/>
      <c r="C204" s="28"/>
      <c r="D204" s="28"/>
      <c r="E204" s="28"/>
      <c r="F204" s="28"/>
      <c r="G204" s="48" t="str">
        <f aca="false">IF('Daily Tracker'!I204="","",'Daily Tracker'!I204)</f>
        <v/>
      </c>
      <c r="H204" s="37" t="str">
        <f aca="false">IF(B204="","",B204/CalorieGoal)</f>
        <v/>
      </c>
      <c r="I204" s="37" t="str">
        <f aca="false">IF(C204="","",C204/ProteinGoal)</f>
        <v/>
      </c>
      <c r="J204" s="37" t="str">
        <f aca="false">IF(D204="","",D204/CarbGoal)</f>
        <v/>
      </c>
      <c r="K204" s="37" t="str">
        <f aca="false">IF(E204="","",E204/FatGoal)</f>
        <v/>
      </c>
      <c r="L204" s="37" t="str">
        <f aca="false">IF(F204="","",F204/FiberGoal)</f>
        <v/>
      </c>
      <c r="M204" s="37" t="str">
        <f aca="false">IF(G204="","",G204/WaterGoal)</f>
        <v/>
      </c>
    </row>
    <row r="205" customFormat="false" ht="15" hidden="false" customHeight="false" outlineLevel="0" collapsed="false">
      <c r="A205" s="26" t="n">
        <f aca="false">'Daily Tracker'!A205</f>
        <v>46223</v>
      </c>
      <c r="B205" s="28"/>
      <c r="C205" s="28"/>
      <c r="D205" s="28"/>
      <c r="E205" s="28"/>
      <c r="F205" s="28"/>
      <c r="G205" s="47" t="str">
        <f aca="false">IF('Daily Tracker'!I205="","",'Daily Tracker'!I205)</f>
        <v/>
      </c>
      <c r="H205" s="33" t="str">
        <f aca="false">IF(B205="","",B205/CalorieGoal)</f>
        <v/>
      </c>
      <c r="I205" s="33" t="str">
        <f aca="false">IF(C205="","",C205/ProteinGoal)</f>
        <v/>
      </c>
      <c r="J205" s="33" t="str">
        <f aca="false">IF(D205="","",D205/CarbGoal)</f>
        <v/>
      </c>
      <c r="K205" s="33" t="str">
        <f aca="false">IF(E205="","",E205/FatGoal)</f>
        <v/>
      </c>
      <c r="L205" s="33" t="str">
        <f aca="false">IF(F205="","",F205/FiberGoal)</f>
        <v/>
      </c>
      <c r="M205" s="33" t="str">
        <f aca="false">IF(G205="","",G205/WaterGoal)</f>
        <v/>
      </c>
    </row>
    <row r="206" customFormat="false" ht="15" hidden="false" customHeight="false" outlineLevel="0" collapsed="false">
      <c r="A206" s="35" t="n">
        <f aca="false">'Daily Tracker'!A206</f>
        <v>46224</v>
      </c>
      <c r="B206" s="28"/>
      <c r="C206" s="28"/>
      <c r="D206" s="28"/>
      <c r="E206" s="28"/>
      <c r="F206" s="28"/>
      <c r="G206" s="48" t="str">
        <f aca="false">IF('Daily Tracker'!I206="","",'Daily Tracker'!I206)</f>
        <v/>
      </c>
      <c r="H206" s="37" t="str">
        <f aca="false">IF(B206="","",B206/CalorieGoal)</f>
        <v/>
      </c>
      <c r="I206" s="37" t="str">
        <f aca="false">IF(C206="","",C206/ProteinGoal)</f>
        <v/>
      </c>
      <c r="J206" s="37" t="str">
        <f aca="false">IF(D206="","",D206/CarbGoal)</f>
        <v/>
      </c>
      <c r="K206" s="37" t="str">
        <f aca="false">IF(E206="","",E206/FatGoal)</f>
        <v/>
      </c>
      <c r="L206" s="37" t="str">
        <f aca="false">IF(F206="","",F206/FiberGoal)</f>
        <v/>
      </c>
      <c r="M206" s="37" t="str">
        <f aca="false">IF(G206="","",G206/WaterGoal)</f>
        <v/>
      </c>
    </row>
    <row r="207" customFormat="false" ht="15" hidden="false" customHeight="false" outlineLevel="0" collapsed="false">
      <c r="A207" s="26" t="n">
        <f aca="false">'Daily Tracker'!A207</f>
        <v>46225</v>
      </c>
      <c r="B207" s="28"/>
      <c r="C207" s="28"/>
      <c r="D207" s="28"/>
      <c r="E207" s="28"/>
      <c r="F207" s="28"/>
      <c r="G207" s="47" t="str">
        <f aca="false">IF('Daily Tracker'!I207="","",'Daily Tracker'!I207)</f>
        <v/>
      </c>
      <c r="H207" s="33" t="str">
        <f aca="false">IF(B207="","",B207/CalorieGoal)</f>
        <v/>
      </c>
      <c r="I207" s="33" t="str">
        <f aca="false">IF(C207="","",C207/ProteinGoal)</f>
        <v/>
      </c>
      <c r="J207" s="33" t="str">
        <f aca="false">IF(D207="","",D207/CarbGoal)</f>
        <v/>
      </c>
      <c r="K207" s="33" t="str">
        <f aca="false">IF(E207="","",E207/FatGoal)</f>
        <v/>
      </c>
      <c r="L207" s="33" t="str">
        <f aca="false">IF(F207="","",F207/FiberGoal)</f>
        <v/>
      </c>
      <c r="M207" s="33" t="str">
        <f aca="false">IF(G207="","",G207/WaterGoal)</f>
        <v/>
      </c>
    </row>
    <row r="208" customFormat="false" ht="15" hidden="false" customHeight="false" outlineLevel="0" collapsed="false">
      <c r="A208" s="35" t="n">
        <f aca="false">'Daily Tracker'!A208</f>
        <v>46226</v>
      </c>
      <c r="B208" s="28"/>
      <c r="C208" s="28"/>
      <c r="D208" s="28"/>
      <c r="E208" s="28"/>
      <c r="F208" s="28"/>
      <c r="G208" s="48" t="str">
        <f aca="false">IF('Daily Tracker'!I208="","",'Daily Tracker'!I208)</f>
        <v/>
      </c>
      <c r="H208" s="37" t="str">
        <f aca="false">IF(B208="","",B208/CalorieGoal)</f>
        <v/>
      </c>
      <c r="I208" s="37" t="str">
        <f aca="false">IF(C208="","",C208/ProteinGoal)</f>
        <v/>
      </c>
      <c r="J208" s="37" t="str">
        <f aca="false">IF(D208="","",D208/CarbGoal)</f>
        <v/>
      </c>
      <c r="K208" s="37" t="str">
        <f aca="false">IF(E208="","",E208/FatGoal)</f>
        <v/>
      </c>
      <c r="L208" s="37" t="str">
        <f aca="false">IF(F208="","",F208/FiberGoal)</f>
        <v/>
      </c>
      <c r="M208" s="37" t="str">
        <f aca="false">IF(G208="","",G208/WaterGoal)</f>
        <v/>
      </c>
    </row>
    <row r="209" customFormat="false" ht="15" hidden="false" customHeight="false" outlineLevel="0" collapsed="false">
      <c r="A209" s="26" t="n">
        <f aca="false">'Daily Tracker'!A209</f>
        <v>46227</v>
      </c>
      <c r="B209" s="28"/>
      <c r="C209" s="28"/>
      <c r="D209" s="28"/>
      <c r="E209" s="28"/>
      <c r="F209" s="28"/>
      <c r="G209" s="47" t="str">
        <f aca="false">IF('Daily Tracker'!I209="","",'Daily Tracker'!I209)</f>
        <v/>
      </c>
      <c r="H209" s="33" t="str">
        <f aca="false">IF(B209="","",B209/CalorieGoal)</f>
        <v/>
      </c>
      <c r="I209" s="33" t="str">
        <f aca="false">IF(C209="","",C209/ProteinGoal)</f>
        <v/>
      </c>
      <c r="J209" s="33" t="str">
        <f aca="false">IF(D209="","",D209/CarbGoal)</f>
        <v/>
      </c>
      <c r="K209" s="33" t="str">
        <f aca="false">IF(E209="","",E209/FatGoal)</f>
        <v/>
      </c>
      <c r="L209" s="33" t="str">
        <f aca="false">IF(F209="","",F209/FiberGoal)</f>
        <v/>
      </c>
      <c r="M209" s="33" t="str">
        <f aca="false">IF(G209="","",G209/WaterGoal)</f>
        <v/>
      </c>
    </row>
    <row r="210" customFormat="false" ht="15" hidden="false" customHeight="false" outlineLevel="0" collapsed="false">
      <c r="A210" s="35" t="n">
        <f aca="false">'Daily Tracker'!A210</f>
        <v>46228</v>
      </c>
      <c r="B210" s="28"/>
      <c r="C210" s="28"/>
      <c r="D210" s="28"/>
      <c r="E210" s="28"/>
      <c r="F210" s="28"/>
      <c r="G210" s="48" t="str">
        <f aca="false">IF('Daily Tracker'!I210="","",'Daily Tracker'!I210)</f>
        <v/>
      </c>
      <c r="H210" s="37" t="str">
        <f aca="false">IF(B210="","",B210/CalorieGoal)</f>
        <v/>
      </c>
      <c r="I210" s="37" t="str">
        <f aca="false">IF(C210="","",C210/ProteinGoal)</f>
        <v/>
      </c>
      <c r="J210" s="37" t="str">
        <f aca="false">IF(D210="","",D210/CarbGoal)</f>
        <v/>
      </c>
      <c r="K210" s="37" t="str">
        <f aca="false">IF(E210="","",E210/FatGoal)</f>
        <v/>
      </c>
      <c r="L210" s="37" t="str">
        <f aca="false">IF(F210="","",F210/FiberGoal)</f>
        <v/>
      </c>
      <c r="M210" s="37" t="str">
        <f aca="false">IF(G210="","",G210/WaterGoal)</f>
        <v/>
      </c>
    </row>
    <row r="211" customFormat="false" ht="15" hidden="false" customHeight="false" outlineLevel="0" collapsed="false">
      <c r="A211" s="26" t="n">
        <f aca="false">'Daily Tracker'!A211</f>
        <v>46229</v>
      </c>
      <c r="B211" s="28"/>
      <c r="C211" s="28"/>
      <c r="D211" s="28"/>
      <c r="E211" s="28"/>
      <c r="F211" s="28"/>
      <c r="G211" s="47" t="str">
        <f aca="false">IF('Daily Tracker'!I211="","",'Daily Tracker'!I211)</f>
        <v/>
      </c>
      <c r="H211" s="33" t="str">
        <f aca="false">IF(B211="","",B211/CalorieGoal)</f>
        <v/>
      </c>
      <c r="I211" s="33" t="str">
        <f aca="false">IF(C211="","",C211/ProteinGoal)</f>
        <v/>
      </c>
      <c r="J211" s="33" t="str">
        <f aca="false">IF(D211="","",D211/CarbGoal)</f>
        <v/>
      </c>
      <c r="K211" s="33" t="str">
        <f aca="false">IF(E211="","",E211/FatGoal)</f>
        <v/>
      </c>
      <c r="L211" s="33" t="str">
        <f aca="false">IF(F211="","",F211/FiberGoal)</f>
        <v/>
      </c>
      <c r="M211" s="33" t="str">
        <f aca="false">IF(G211="","",G211/WaterGoal)</f>
        <v/>
      </c>
    </row>
    <row r="212" customFormat="false" ht="15" hidden="false" customHeight="false" outlineLevel="0" collapsed="false">
      <c r="A212" s="35" t="n">
        <f aca="false">'Daily Tracker'!A212</f>
        <v>46230</v>
      </c>
      <c r="B212" s="28"/>
      <c r="C212" s="28"/>
      <c r="D212" s="28"/>
      <c r="E212" s="28"/>
      <c r="F212" s="28"/>
      <c r="G212" s="48" t="str">
        <f aca="false">IF('Daily Tracker'!I212="","",'Daily Tracker'!I212)</f>
        <v/>
      </c>
      <c r="H212" s="37" t="str">
        <f aca="false">IF(B212="","",B212/CalorieGoal)</f>
        <v/>
      </c>
      <c r="I212" s="37" t="str">
        <f aca="false">IF(C212="","",C212/ProteinGoal)</f>
        <v/>
      </c>
      <c r="J212" s="37" t="str">
        <f aca="false">IF(D212="","",D212/CarbGoal)</f>
        <v/>
      </c>
      <c r="K212" s="37" t="str">
        <f aca="false">IF(E212="","",E212/FatGoal)</f>
        <v/>
      </c>
      <c r="L212" s="37" t="str">
        <f aca="false">IF(F212="","",F212/FiberGoal)</f>
        <v/>
      </c>
      <c r="M212" s="37" t="str">
        <f aca="false">IF(G212="","",G212/WaterGoal)</f>
        <v/>
      </c>
    </row>
    <row r="213" customFormat="false" ht="15" hidden="false" customHeight="false" outlineLevel="0" collapsed="false">
      <c r="A213" s="26" t="n">
        <f aca="false">'Daily Tracker'!A213</f>
        <v>46231</v>
      </c>
      <c r="B213" s="28"/>
      <c r="C213" s="28"/>
      <c r="D213" s="28"/>
      <c r="E213" s="28"/>
      <c r="F213" s="28"/>
      <c r="G213" s="47" t="str">
        <f aca="false">IF('Daily Tracker'!I213="","",'Daily Tracker'!I213)</f>
        <v/>
      </c>
      <c r="H213" s="33" t="str">
        <f aca="false">IF(B213="","",B213/CalorieGoal)</f>
        <v/>
      </c>
      <c r="I213" s="33" t="str">
        <f aca="false">IF(C213="","",C213/ProteinGoal)</f>
        <v/>
      </c>
      <c r="J213" s="33" t="str">
        <f aca="false">IF(D213="","",D213/CarbGoal)</f>
        <v/>
      </c>
      <c r="K213" s="33" t="str">
        <f aca="false">IF(E213="","",E213/FatGoal)</f>
        <v/>
      </c>
      <c r="L213" s="33" t="str">
        <f aca="false">IF(F213="","",F213/FiberGoal)</f>
        <v/>
      </c>
      <c r="M213" s="33" t="str">
        <f aca="false">IF(G213="","",G213/WaterGoal)</f>
        <v/>
      </c>
    </row>
    <row r="214" customFormat="false" ht="15" hidden="false" customHeight="false" outlineLevel="0" collapsed="false">
      <c r="A214" s="35" t="n">
        <f aca="false">'Daily Tracker'!A214</f>
        <v>46232</v>
      </c>
      <c r="B214" s="28"/>
      <c r="C214" s="28"/>
      <c r="D214" s="28"/>
      <c r="E214" s="28"/>
      <c r="F214" s="28"/>
      <c r="G214" s="48" t="str">
        <f aca="false">IF('Daily Tracker'!I214="","",'Daily Tracker'!I214)</f>
        <v/>
      </c>
      <c r="H214" s="37" t="str">
        <f aca="false">IF(B214="","",B214/CalorieGoal)</f>
        <v/>
      </c>
      <c r="I214" s="37" t="str">
        <f aca="false">IF(C214="","",C214/ProteinGoal)</f>
        <v/>
      </c>
      <c r="J214" s="37" t="str">
        <f aca="false">IF(D214="","",D214/CarbGoal)</f>
        <v/>
      </c>
      <c r="K214" s="37" t="str">
        <f aca="false">IF(E214="","",E214/FatGoal)</f>
        <v/>
      </c>
      <c r="L214" s="37" t="str">
        <f aca="false">IF(F214="","",F214/FiberGoal)</f>
        <v/>
      </c>
      <c r="M214" s="37" t="str">
        <f aca="false">IF(G214="","",G214/WaterGoal)</f>
        <v/>
      </c>
    </row>
    <row r="215" customFormat="false" ht="15" hidden="false" customHeight="false" outlineLevel="0" collapsed="false">
      <c r="A215" s="26" t="n">
        <f aca="false">'Daily Tracker'!A215</f>
        <v>46233</v>
      </c>
      <c r="B215" s="28"/>
      <c r="C215" s="28"/>
      <c r="D215" s="28"/>
      <c r="E215" s="28"/>
      <c r="F215" s="28"/>
      <c r="G215" s="47" t="str">
        <f aca="false">IF('Daily Tracker'!I215="","",'Daily Tracker'!I215)</f>
        <v/>
      </c>
      <c r="H215" s="33" t="str">
        <f aca="false">IF(B215="","",B215/CalorieGoal)</f>
        <v/>
      </c>
      <c r="I215" s="33" t="str">
        <f aca="false">IF(C215="","",C215/ProteinGoal)</f>
        <v/>
      </c>
      <c r="J215" s="33" t="str">
        <f aca="false">IF(D215="","",D215/CarbGoal)</f>
        <v/>
      </c>
      <c r="K215" s="33" t="str">
        <f aca="false">IF(E215="","",E215/FatGoal)</f>
        <v/>
      </c>
      <c r="L215" s="33" t="str">
        <f aca="false">IF(F215="","",F215/FiberGoal)</f>
        <v/>
      </c>
      <c r="M215" s="33" t="str">
        <f aca="false">IF(G215="","",G215/WaterGoal)</f>
        <v/>
      </c>
    </row>
    <row r="216" customFormat="false" ht="15" hidden="false" customHeight="false" outlineLevel="0" collapsed="false">
      <c r="A216" s="35" t="n">
        <f aca="false">'Daily Tracker'!A216</f>
        <v>46234</v>
      </c>
      <c r="B216" s="28"/>
      <c r="C216" s="28"/>
      <c r="D216" s="28"/>
      <c r="E216" s="28"/>
      <c r="F216" s="28"/>
      <c r="G216" s="48" t="str">
        <f aca="false">IF('Daily Tracker'!I216="","",'Daily Tracker'!I216)</f>
        <v/>
      </c>
      <c r="H216" s="37" t="str">
        <f aca="false">IF(B216="","",B216/CalorieGoal)</f>
        <v/>
      </c>
      <c r="I216" s="37" t="str">
        <f aca="false">IF(C216="","",C216/ProteinGoal)</f>
        <v/>
      </c>
      <c r="J216" s="37" t="str">
        <f aca="false">IF(D216="","",D216/CarbGoal)</f>
        <v/>
      </c>
      <c r="K216" s="37" t="str">
        <f aca="false">IF(E216="","",E216/FatGoal)</f>
        <v/>
      </c>
      <c r="L216" s="37" t="str">
        <f aca="false">IF(F216="","",F216/FiberGoal)</f>
        <v/>
      </c>
      <c r="M216" s="37" t="str">
        <f aca="false">IF(G216="","",G216/WaterGoal)</f>
        <v/>
      </c>
    </row>
    <row r="217" customFormat="false" ht="15" hidden="false" customHeight="false" outlineLevel="0" collapsed="false">
      <c r="A217" s="26" t="n">
        <f aca="false">'Daily Tracker'!A217</f>
        <v>46235</v>
      </c>
      <c r="B217" s="28"/>
      <c r="C217" s="28"/>
      <c r="D217" s="28"/>
      <c r="E217" s="28"/>
      <c r="F217" s="28"/>
      <c r="G217" s="47" t="str">
        <f aca="false">IF('Daily Tracker'!I217="","",'Daily Tracker'!I217)</f>
        <v/>
      </c>
      <c r="H217" s="33" t="str">
        <f aca="false">IF(B217="","",B217/CalorieGoal)</f>
        <v/>
      </c>
      <c r="I217" s="33" t="str">
        <f aca="false">IF(C217="","",C217/ProteinGoal)</f>
        <v/>
      </c>
      <c r="J217" s="33" t="str">
        <f aca="false">IF(D217="","",D217/CarbGoal)</f>
        <v/>
      </c>
      <c r="K217" s="33" t="str">
        <f aca="false">IF(E217="","",E217/FatGoal)</f>
        <v/>
      </c>
      <c r="L217" s="33" t="str">
        <f aca="false">IF(F217="","",F217/FiberGoal)</f>
        <v/>
      </c>
      <c r="M217" s="33" t="str">
        <f aca="false">IF(G217="","",G217/WaterGoal)</f>
        <v/>
      </c>
    </row>
    <row r="218" customFormat="false" ht="15" hidden="false" customHeight="false" outlineLevel="0" collapsed="false">
      <c r="A218" s="35" t="n">
        <f aca="false">'Daily Tracker'!A218</f>
        <v>46236</v>
      </c>
      <c r="B218" s="28"/>
      <c r="C218" s="28"/>
      <c r="D218" s="28"/>
      <c r="E218" s="28"/>
      <c r="F218" s="28"/>
      <c r="G218" s="48" t="str">
        <f aca="false">IF('Daily Tracker'!I218="","",'Daily Tracker'!I218)</f>
        <v/>
      </c>
      <c r="H218" s="37" t="str">
        <f aca="false">IF(B218="","",B218/CalorieGoal)</f>
        <v/>
      </c>
      <c r="I218" s="37" t="str">
        <f aca="false">IF(C218="","",C218/ProteinGoal)</f>
        <v/>
      </c>
      <c r="J218" s="37" t="str">
        <f aca="false">IF(D218="","",D218/CarbGoal)</f>
        <v/>
      </c>
      <c r="K218" s="37" t="str">
        <f aca="false">IF(E218="","",E218/FatGoal)</f>
        <v/>
      </c>
      <c r="L218" s="37" t="str">
        <f aca="false">IF(F218="","",F218/FiberGoal)</f>
        <v/>
      </c>
      <c r="M218" s="37" t="str">
        <f aca="false">IF(G218="","",G218/WaterGoal)</f>
        <v/>
      </c>
    </row>
    <row r="219" customFormat="false" ht="15" hidden="false" customHeight="false" outlineLevel="0" collapsed="false">
      <c r="A219" s="26" t="n">
        <f aca="false">'Daily Tracker'!A219</f>
        <v>46237</v>
      </c>
      <c r="B219" s="28"/>
      <c r="C219" s="28"/>
      <c r="D219" s="28"/>
      <c r="E219" s="28"/>
      <c r="F219" s="28"/>
      <c r="G219" s="47" t="str">
        <f aca="false">IF('Daily Tracker'!I219="","",'Daily Tracker'!I219)</f>
        <v/>
      </c>
      <c r="H219" s="33" t="str">
        <f aca="false">IF(B219="","",B219/CalorieGoal)</f>
        <v/>
      </c>
      <c r="I219" s="33" t="str">
        <f aca="false">IF(C219="","",C219/ProteinGoal)</f>
        <v/>
      </c>
      <c r="J219" s="33" t="str">
        <f aca="false">IF(D219="","",D219/CarbGoal)</f>
        <v/>
      </c>
      <c r="K219" s="33" t="str">
        <f aca="false">IF(E219="","",E219/FatGoal)</f>
        <v/>
      </c>
      <c r="L219" s="33" t="str">
        <f aca="false">IF(F219="","",F219/FiberGoal)</f>
        <v/>
      </c>
      <c r="M219" s="33" t="str">
        <f aca="false">IF(G219="","",G219/WaterGoal)</f>
        <v/>
      </c>
    </row>
    <row r="220" customFormat="false" ht="15" hidden="false" customHeight="false" outlineLevel="0" collapsed="false">
      <c r="A220" s="35" t="n">
        <f aca="false">'Daily Tracker'!A220</f>
        <v>46238</v>
      </c>
      <c r="B220" s="28"/>
      <c r="C220" s="28"/>
      <c r="D220" s="28"/>
      <c r="E220" s="28"/>
      <c r="F220" s="28"/>
      <c r="G220" s="48" t="str">
        <f aca="false">IF('Daily Tracker'!I220="","",'Daily Tracker'!I220)</f>
        <v/>
      </c>
      <c r="H220" s="37" t="str">
        <f aca="false">IF(B220="","",B220/CalorieGoal)</f>
        <v/>
      </c>
      <c r="I220" s="37" t="str">
        <f aca="false">IF(C220="","",C220/ProteinGoal)</f>
        <v/>
      </c>
      <c r="J220" s="37" t="str">
        <f aca="false">IF(D220="","",D220/CarbGoal)</f>
        <v/>
      </c>
      <c r="K220" s="37" t="str">
        <f aca="false">IF(E220="","",E220/FatGoal)</f>
        <v/>
      </c>
      <c r="L220" s="37" t="str">
        <f aca="false">IF(F220="","",F220/FiberGoal)</f>
        <v/>
      </c>
      <c r="M220" s="37" t="str">
        <f aca="false">IF(G220="","",G220/WaterGoal)</f>
        <v/>
      </c>
    </row>
    <row r="221" customFormat="false" ht="15" hidden="false" customHeight="false" outlineLevel="0" collapsed="false">
      <c r="A221" s="26" t="n">
        <f aca="false">'Daily Tracker'!A221</f>
        <v>46239</v>
      </c>
      <c r="B221" s="28"/>
      <c r="C221" s="28"/>
      <c r="D221" s="28"/>
      <c r="E221" s="28"/>
      <c r="F221" s="28"/>
      <c r="G221" s="47" t="str">
        <f aca="false">IF('Daily Tracker'!I221="","",'Daily Tracker'!I221)</f>
        <v/>
      </c>
      <c r="H221" s="33" t="str">
        <f aca="false">IF(B221="","",B221/CalorieGoal)</f>
        <v/>
      </c>
      <c r="I221" s="33" t="str">
        <f aca="false">IF(C221="","",C221/ProteinGoal)</f>
        <v/>
      </c>
      <c r="J221" s="33" t="str">
        <f aca="false">IF(D221="","",D221/CarbGoal)</f>
        <v/>
      </c>
      <c r="K221" s="33" t="str">
        <f aca="false">IF(E221="","",E221/FatGoal)</f>
        <v/>
      </c>
      <c r="L221" s="33" t="str">
        <f aca="false">IF(F221="","",F221/FiberGoal)</f>
        <v/>
      </c>
      <c r="M221" s="33" t="str">
        <f aca="false">IF(G221="","",G221/WaterGoal)</f>
        <v/>
      </c>
    </row>
    <row r="222" customFormat="false" ht="15" hidden="false" customHeight="false" outlineLevel="0" collapsed="false">
      <c r="A222" s="35" t="n">
        <f aca="false">'Daily Tracker'!A222</f>
        <v>46240</v>
      </c>
      <c r="B222" s="28"/>
      <c r="C222" s="28"/>
      <c r="D222" s="28"/>
      <c r="E222" s="28"/>
      <c r="F222" s="28"/>
      <c r="G222" s="48" t="str">
        <f aca="false">IF('Daily Tracker'!I222="","",'Daily Tracker'!I222)</f>
        <v/>
      </c>
      <c r="H222" s="37" t="str">
        <f aca="false">IF(B222="","",B222/CalorieGoal)</f>
        <v/>
      </c>
      <c r="I222" s="37" t="str">
        <f aca="false">IF(C222="","",C222/ProteinGoal)</f>
        <v/>
      </c>
      <c r="J222" s="37" t="str">
        <f aca="false">IF(D222="","",D222/CarbGoal)</f>
        <v/>
      </c>
      <c r="K222" s="37" t="str">
        <f aca="false">IF(E222="","",E222/FatGoal)</f>
        <v/>
      </c>
      <c r="L222" s="37" t="str">
        <f aca="false">IF(F222="","",F222/FiberGoal)</f>
        <v/>
      </c>
      <c r="M222" s="37" t="str">
        <f aca="false">IF(G222="","",G222/WaterGoal)</f>
        <v/>
      </c>
    </row>
    <row r="223" customFormat="false" ht="15" hidden="false" customHeight="false" outlineLevel="0" collapsed="false">
      <c r="A223" s="26" t="n">
        <f aca="false">'Daily Tracker'!A223</f>
        <v>46241</v>
      </c>
      <c r="B223" s="28"/>
      <c r="C223" s="28"/>
      <c r="D223" s="28"/>
      <c r="E223" s="28"/>
      <c r="F223" s="28"/>
      <c r="G223" s="47" t="str">
        <f aca="false">IF('Daily Tracker'!I223="","",'Daily Tracker'!I223)</f>
        <v/>
      </c>
      <c r="H223" s="33" t="str">
        <f aca="false">IF(B223="","",B223/CalorieGoal)</f>
        <v/>
      </c>
      <c r="I223" s="33" t="str">
        <f aca="false">IF(C223="","",C223/ProteinGoal)</f>
        <v/>
      </c>
      <c r="J223" s="33" t="str">
        <f aca="false">IF(D223="","",D223/CarbGoal)</f>
        <v/>
      </c>
      <c r="K223" s="33" t="str">
        <f aca="false">IF(E223="","",E223/FatGoal)</f>
        <v/>
      </c>
      <c r="L223" s="33" t="str">
        <f aca="false">IF(F223="","",F223/FiberGoal)</f>
        <v/>
      </c>
      <c r="M223" s="33" t="str">
        <f aca="false">IF(G223="","",G223/WaterGoal)</f>
        <v/>
      </c>
    </row>
    <row r="224" customFormat="false" ht="15" hidden="false" customHeight="false" outlineLevel="0" collapsed="false">
      <c r="A224" s="35" t="n">
        <f aca="false">'Daily Tracker'!A224</f>
        <v>46242</v>
      </c>
      <c r="B224" s="28"/>
      <c r="C224" s="28"/>
      <c r="D224" s="28"/>
      <c r="E224" s="28"/>
      <c r="F224" s="28"/>
      <c r="G224" s="48" t="str">
        <f aca="false">IF('Daily Tracker'!I224="","",'Daily Tracker'!I224)</f>
        <v/>
      </c>
      <c r="H224" s="37" t="str">
        <f aca="false">IF(B224="","",B224/CalorieGoal)</f>
        <v/>
      </c>
      <c r="I224" s="37" t="str">
        <f aca="false">IF(C224="","",C224/ProteinGoal)</f>
        <v/>
      </c>
      <c r="J224" s="37" t="str">
        <f aca="false">IF(D224="","",D224/CarbGoal)</f>
        <v/>
      </c>
      <c r="K224" s="37" t="str">
        <f aca="false">IF(E224="","",E224/FatGoal)</f>
        <v/>
      </c>
      <c r="L224" s="37" t="str">
        <f aca="false">IF(F224="","",F224/FiberGoal)</f>
        <v/>
      </c>
      <c r="M224" s="37" t="str">
        <f aca="false">IF(G224="","",G224/WaterGoal)</f>
        <v/>
      </c>
    </row>
    <row r="225" customFormat="false" ht="15" hidden="false" customHeight="false" outlineLevel="0" collapsed="false">
      <c r="A225" s="26" t="n">
        <f aca="false">'Daily Tracker'!A225</f>
        <v>46243</v>
      </c>
      <c r="B225" s="28"/>
      <c r="C225" s="28"/>
      <c r="D225" s="28"/>
      <c r="E225" s="28"/>
      <c r="F225" s="28"/>
      <c r="G225" s="47" t="str">
        <f aca="false">IF('Daily Tracker'!I225="","",'Daily Tracker'!I225)</f>
        <v/>
      </c>
      <c r="H225" s="33" t="str">
        <f aca="false">IF(B225="","",B225/CalorieGoal)</f>
        <v/>
      </c>
      <c r="I225" s="33" t="str">
        <f aca="false">IF(C225="","",C225/ProteinGoal)</f>
        <v/>
      </c>
      <c r="J225" s="33" t="str">
        <f aca="false">IF(D225="","",D225/CarbGoal)</f>
        <v/>
      </c>
      <c r="K225" s="33" t="str">
        <f aca="false">IF(E225="","",E225/FatGoal)</f>
        <v/>
      </c>
      <c r="L225" s="33" t="str">
        <f aca="false">IF(F225="","",F225/FiberGoal)</f>
        <v/>
      </c>
      <c r="M225" s="33" t="str">
        <f aca="false">IF(G225="","",G225/WaterGoal)</f>
        <v/>
      </c>
    </row>
    <row r="226" customFormat="false" ht="15" hidden="false" customHeight="false" outlineLevel="0" collapsed="false">
      <c r="A226" s="35" t="n">
        <f aca="false">'Daily Tracker'!A226</f>
        <v>46244</v>
      </c>
      <c r="B226" s="28"/>
      <c r="C226" s="28"/>
      <c r="D226" s="28"/>
      <c r="E226" s="28"/>
      <c r="F226" s="28"/>
      <c r="G226" s="48" t="str">
        <f aca="false">IF('Daily Tracker'!I226="","",'Daily Tracker'!I226)</f>
        <v/>
      </c>
      <c r="H226" s="37" t="str">
        <f aca="false">IF(B226="","",B226/CalorieGoal)</f>
        <v/>
      </c>
      <c r="I226" s="37" t="str">
        <f aca="false">IF(C226="","",C226/ProteinGoal)</f>
        <v/>
      </c>
      <c r="J226" s="37" t="str">
        <f aca="false">IF(D226="","",D226/CarbGoal)</f>
        <v/>
      </c>
      <c r="K226" s="37" t="str">
        <f aca="false">IF(E226="","",E226/FatGoal)</f>
        <v/>
      </c>
      <c r="L226" s="37" t="str">
        <f aca="false">IF(F226="","",F226/FiberGoal)</f>
        <v/>
      </c>
      <c r="M226" s="37" t="str">
        <f aca="false">IF(G226="","",G226/WaterGoal)</f>
        <v/>
      </c>
    </row>
    <row r="227" customFormat="false" ht="15" hidden="false" customHeight="false" outlineLevel="0" collapsed="false">
      <c r="A227" s="26" t="n">
        <f aca="false">'Daily Tracker'!A227</f>
        <v>46245</v>
      </c>
      <c r="B227" s="28"/>
      <c r="C227" s="28"/>
      <c r="D227" s="28"/>
      <c r="E227" s="28"/>
      <c r="F227" s="28"/>
      <c r="G227" s="47" t="str">
        <f aca="false">IF('Daily Tracker'!I227="","",'Daily Tracker'!I227)</f>
        <v/>
      </c>
      <c r="H227" s="33" t="str">
        <f aca="false">IF(B227="","",B227/CalorieGoal)</f>
        <v/>
      </c>
      <c r="I227" s="33" t="str">
        <f aca="false">IF(C227="","",C227/ProteinGoal)</f>
        <v/>
      </c>
      <c r="J227" s="33" t="str">
        <f aca="false">IF(D227="","",D227/CarbGoal)</f>
        <v/>
      </c>
      <c r="K227" s="33" t="str">
        <f aca="false">IF(E227="","",E227/FatGoal)</f>
        <v/>
      </c>
      <c r="L227" s="33" t="str">
        <f aca="false">IF(F227="","",F227/FiberGoal)</f>
        <v/>
      </c>
      <c r="M227" s="33" t="str">
        <f aca="false">IF(G227="","",G227/WaterGoal)</f>
        <v/>
      </c>
    </row>
    <row r="228" customFormat="false" ht="15" hidden="false" customHeight="false" outlineLevel="0" collapsed="false">
      <c r="A228" s="35" t="n">
        <f aca="false">'Daily Tracker'!A228</f>
        <v>46246</v>
      </c>
      <c r="B228" s="28"/>
      <c r="C228" s="28"/>
      <c r="D228" s="28"/>
      <c r="E228" s="28"/>
      <c r="F228" s="28"/>
      <c r="G228" s="48" t="str">
        <f aca="false">IF('Daily Tracker'!I228="","",'Daily Tracker'!I228)</f>
        <v/>
      </c>
      <c r="H228" s="37" t="str">
        <f aca="false">IF(B228="","",B228/CalorieGoal)</f>
        <v/>
      </c>
      <c r="I228" s="37" t="str">
        <f aca="false">IF(C228="","",C228/ProteinGoal)</f>
        <v/>
      </c>
      <c r="J228" s="37" t="str">
        <f aca="false">IF(D228="","",D228/CarbGoal)</f>
        <v/>
      </c>
      <c r="K228" s="37" t="str">
        <f aca="false">IF(E228="","",E228/FatGoal)</f>
        <v/>
      </c>
      <c r="L228" s="37" t="str">
        <f aca="false">IF(F228="","",F228/FiberGoal)</f>
        <v/>
      </c>
      <c r="M228" s="37" t="str">
        <f aca="false">IF(G228="","",G228/WaterGoal)</f>
        <v/>
      </c>
    </row>
    <row r="229" customFormat="false" ht="15" hidden="false" customHeight="false" outlineLevel="0" collapsed="false">
      <c r="A229" s="26" t="n">
        <f aca="false">'Daily Tracker'!A229</f>
        <v>46247</v>
      </c>
      <c r="B229" s="28"/>
      <c r="C229" s="28"/>
      <c r="D229" s="28"/>
      <c r="E229" s="28"/>
      <c r="F229" s="28"/>
      <c r="G229" s="47" t="str">
        <f aca="false">IF('Daily Tracker'!I229="","",'Daily Tracker'!I229)</f>
        <v/>
      </c>
      <c r="H229" s="33" t="str">
        <f aca="false">IF(B229="","",B229/CalorieGoal)</f>
        <v/>
      </c>
      <c r="I229" s="33" t="str">
        <f aca="false">IF(C229="","",C229/ProteinGoal)</f>
        <v/>
      </c>
      <c r="J229" s="33" t="str">
        <f aca="false">IF(D229="","",D229/CarbGoal)</f>
        <v/>
      </c>
      <c r="K229" s="33" t="str">
        <f aca="false">IF(E229="","",E229/FatGoal)</f>
        <v/>
      </c>
      <c r="L229" s="33" t="str">
        <f aca="false">IF(F229="","",F229/FiberGoal)</f>
        <v/>
      </c>
      <c r="M229" s="33" t="str">
        <f aca="false">IF(G229="","",G229/WaterGoal)</f>
        <v/>
      </c>
    </row>
    <row r="230" customFormat="false" ht="15" hidden="false" customHeight="false" outlineLevel="0" collapsed="false">
      <c r="A230" s="35" t="n">
        <f aca="false">'Daily Tracker'!A230</f>
        <v>46248</v>
      </c>
      <c r="B230" s="28"/>
      <c r="C230" s="28"/>
      <c r="D230" s="28"/>
      <c r="E230" s="28"/>
      <c r="F230" s="28"/>
      <c r="G230" s="48" t="str">
        <f aca="false">IF('Daily Tracker'!I230="","",'Daily Tracker'!I230)</f>
        <v/>
      </c>
      <c r="H230" s="37" t="str">
        <f aca="false">IF(B230="","",B230/CalorieGoal)</f>
        <v/>
      </c>
      <c r="I230" s="37" t="str">
        <f aca="false">IF(C230="","",C230/ProteinGoal)</f>
        <v/>
      </c>
      <c r="J230" s="37" t="str">
        <f aca="false">IF(D230="","",D230/CarbGoal)</f>
        <v/>
      </c>
      <c r="K230" s="37" t="str">
        <f aca="false">IF(E230="","",E230/FatGoal)</f>
        <v/>
      </c>
      <c r="L230" s="37" t="str">
        <f aca="false">IF(F230="","",F230/FiberGoal)</f>
        <v/>
      </c>
      <c r="M230" s="37" t="str">
        <f aca="false">IF(G230="","",G230/WaterGoal)</f>
        <v/>
      </c>
    </row>
    <row r="231" customFormat="false" ht="15" hidden="false" customHeight="false" outlineLevel="0" collapsed="false">
      <c r="A231" s="26" t="n">
        <f aca="false">'Daily Tracker'!A231</f>
        <v>46249</v>
      </c>
      <c r="B231" s="28"/>
      <c r="C231" s="28"/>
      <c r="D231" s="28"/>
      <c r="E231" s="28"/>
      <c r="F231" s="28"/>
      <c r="G231" s="47" t="str">
        <f aca="false">IF('Daily Tracker'!I231="","",'Daily Tracker'!I231)</f>
        <v/>
      </c>
      <c r="H231" s="33" t="str">
        <f aca="false">IF(B231="","",B231/CalorieGoal)</f>
        <v/>
      </c>
      <c r="I231" s="33" t="str">
        <f aca="false">IF(C231="","",C231/ProteinGoal)</f>
        <v/>
      </c>
      <c r="J231" s="33" t="str">
        <f aca="false">IF(D231="","",D231/CarbGoal)</f>
        <v/>
      </c>
      <c r="K231" s="33" t="str">
        <f aca="false">IF(E231="","",E231/FatGoal)</f>
        <v/>
      </c>
      <c r="L231" s="33" t="str">
        <f aca="false">IF(F231="","",F231/FiberGoal)</f>
        <v/>
      </c>
      <c r="M231" s="33" t="str">
        <f aca="false">IF(G231="","",G231/WaterGoal)</f>
        <v/>
      </c>
    </row>
    <row r="232" customFormat="false" ht="15" hidden="false" customHeight="false" outlineLevel="0" collapsed="false">
      <c r="A232" s="35" t="n">
        <f aca="false">'Daily Tracker'!A232</f>
        <v>46250</v>
      </c>
      <c r="B232" s="28"/>
      <c r="C232" s="28"/>
      <c r="D232" s="28"/>
      <c r="E232" s="28"/>
      <c r="F232" s="28"/>
      <c r="G232" s="48" t="str">
        <f aca="false">IF('Daily Tracker'!I232="","",'Daily Tracker'!I232)</f>
        <v/>
      </c>
      <c r="H232" s="37" t="str">
        <f aca="false">IF(B232="","",B232/CalorieGoal)</f>
        <v/>
      </c>
      <c r="I232" s="37" t="str">
        <f aca="false">IF(C232="","",C232/ProteinGoal)</f>
        <v/>
      </c>
      <c r="J232" s="37" t="str">
        <f aca="false">IF(D232="","",D232/CarbGoal)</f>
        <v/>
      </c>
      <c r="K232" s="37" t="str">
        <f aca="false">IF(E232="","",E232/FatGoal)</f>
        <v/>
      </c>
      <c r="L232" s="37" t="str">
        <f aca="false">IF(F232="","",F232/FiberGoal)</f>
        <v/>
      </c>
      <c r="M232" s="37" t="str">
        <f aca="false">IF(G232="","",G232/WaterGoal)</f>
        <v/>
      </c>
    </row>
    <row r="233" customFormat="false" ht="15" hidden="false" customHeight="false" outlineLevel="0" collapsed="false">
      <c r="A233" s="26" t="n">
        <f aca="false">'Daily Tracker'!A233</f>
        <v>46251</v>
      </c>
      <c r="B233" s="28"/>
      <c r="C233" s="28"/>
      <c r="D233" s="28"/>
      <c r="E233" s="28"/>
      <c r="F233" s="28"/>
      <c r="G233" s="47" t="str">
        <f aca="false">IF('Daily Tracker'!I233="","",'Daily Tracker'!I233)</f>
        <v/>
      </c>
      <c r="H233" s="33" t="str">
        <f aca="false">IF(B233="","",B233/CalorieGoal)</f>
        <v/>
      </c>
      <c r="I233" s="33" t="str">
        <f aca="false">IF(C233="","",C233/ProteinGoal)</f>
        <v/>
      </c>
      <c r="J233" s="33" t="str">
        <f aca="false">IF(D233="","",D233/CarbGoal)</f>
        <v/>
      </c>
      <c r="K233" s="33" t="str">
        <f aca="false">IF(E233="","",E233/FatGoal)</f>
        <v/>
      </c>
      <c r="L233" s="33" t="str">
        <f aca="false">IF(F233="","",F233/FiberGoal)</f>
        <v/>
      </c>
      <c r="M233" s="33" t="str">
        <f aca="false">IF(G233="","",G233/WaterGoal)</f>
        <v/>
      </c>
    </row>
    <row r="234" customFormat="false" ht="15" hidden="false" customHeight="false" outlineLevel="0" collapsed="false">
      <c r="A234" s="35" t="n">
        <f aca="false">'Daily Tracker'!A234</f>
        <v>46252</v>
      </c>
      <c r="B234" s="28"/>
      <c r="C234" s="28"/>
      <c r="D234" s="28"/>
      <c r="E234" s="28"/>
      <c r="F234" s="28"/>
      <c r="G234" s="48" t="str">
        <f aca="false">IF('Daily Tracker'!I234="","",'Daily Tracker'!I234)</f>
        <v/>
      </c>
      <c r="H234" s="37" t="str">
        <f aca="false">IF(B234="","",B234/CalorieGoal)</f>
        <v/>
      </c>
      <c r="I234" s="37" t="str">
        <f aca="false">IF(C234="","",C234/ProteinGoal)</f>
        <v/>
      </c>
      <c r="J234" s="37" t="str">
        <f aca="false">IF(D234="","",D234/CarbGoal)</f>
        <v/>
      </c>
      <c r="K234" s="37" t="str">
        <f aca="false">IF(E234="","",E234/FatGoal)</f>
        <v/>
      </c>
      <c r="L234" s="37" t="str">
        <f aca="false">IF(F234="","",F234/FiberGoal)</f>
        <v/>
      </c>
      <c r="M234" s="37" t="str">
        <f aca="false">IF(G234="","",G234/WaterGoal)</f>
        <v/>
      </c>
    </row>
    <row r="235" customFormat="false" ht="15" hidden="false" customHeight="false" outlineLevel="0" collapsed="false">
      <c r="A235" s="26" t="n">
        <f aca="false">'Daily Tracker'!A235</f>
        <v>46253</v>
      </c>
      <c r="B235" s="28"/>
      <c r="C235" s="28"/>
      <c r="D235" s="28"/>
      <c r="E235" s="28"/>
      <c r="F235" s="28"/>
      <c r="G235" s="47" t="str">
        <f aca="false">IF('Daily Tracker'!I235="","",'Daily Tracker'!I235)</f>
        <v/>
      </c>
      <c r="H235" s="33" t="str">
        <f aca="false">IF(B235="","",B235/CalorieGoal)</f>
        <v/>
      </c>
      <c r="I235" s="33" t="str">
        <f aca="false">IF(C235="","",C235/ProteinGoal)</f>
        <v/>
      </c>
      <c r="J235" s="33" t="str">
        <f aca="false">IF(D235="","",D235/CarbGoal)</f>
        <v/>
      </c>
      <c r="K235" s="33" t="str">
        <f aca="false">IF(E235="","",E235/FatGoal)</f>
        <v/>
      </c>
      <c r="L235" s="33" t="str">
        <f aca="false">IF(F235="","",F235/FiberGoal)</f>
        <v/>
      </c>
      <c r="M235" s="33" t="str">
        <f aca="false">IF(G235="","",G235/WaterGoal)</f>
        <v/>
      </c>
    </row>
    <row r="236" customFormat="false" ht="15" hidden="false" customHeight="false" outlineLevel="0" collapsed="false">
      <c r="A236" s="35" t="n">
        <f aca="false">'Daily Tracker'!A236</f>
        <v>46254</v>
      </c>
      <c r="B236" s="28"/>
      <c r="C236" s="28"/>
      <c r="D236" s="28"/>
      <c r="E236" s="28"/>
      <c r="F236" s="28"/>
      <c r="G236" s="48" t="str">
        <f aca="false">IF('Daily Tracker'!I236="","",'Daily Tracker'!I236)</f>
        <v/>
      </c>
      <c r="H236" s="37" t="str">
        <f aca="false">IF(B236="","",B236/CalorieGoal)</f>
        <v/>
      </c>
      <c r="I236" s="37" t="str">
        <f aca="false">IF(C236="","",C236/ProteinGoal)</f>
        <v/>
      </c>
      <c r="J236" s="37" t="str">
        <f aca="false">IF(D236="","",D236/CarbGoal)</f>
        <v/>
      </c>
      <c r="K236" s="37" t="str">
        <f aca="false">IF(E236="","",E236/FatGoal)</f>
        <v/>
      </c>
      <c r="L236" s="37" t="str">
        <f aca="false">IF(F236="","",F236/FiberGoal)</f>
        <v/>
      </c>
      <c r="M236" s="37" t="str">
        <f aca="false">IF(G236="","",G236/WaterGoal)</f>
        <v/>
      </c>
    </row>
    <row r="237" customFormat="false" ht="15" hidden="false" customHeight="false" outlineLevel="0" collapsed="false">
      <c r="A237" s="26" t="n">
        <f aca="false">'Daily Tracker'!A237</f>
        <v>46255</v>
      </c>
      <c r="B237" s="28"/>
      <c r="C237" s="28"/>
      <c r="D237" s="28"/>
      <c r="E237" s="28"/>
      <c r="F237" s="28"/>
      <c r="G237" s="47" t="str">
        <f aca="false">IF('Daily Tracker'!I237="","",'Daily Tracker'!I237)</f>
        <v/>
      </c>
      <c r="H237" s="33" t="str">
        <f aca="false">IF(B237="","",B237/CalorieGoal)</f>
        <v/>
      </c>
      <c r="I237" s="33" t="str">
        <f aca="false">IF(C237="","",C237/ProteinGoal)</f>
        <v/>
      </c>
      <c r="J237" s="33" t="str">
        <f aca="false">IF(D237="","",D237/CarbGoal)</f>
        <v/>
      </c>
      <c r="K237" s="33" t="str">
        <f aca="false">IF(E237="","",E237/FatGoal)</f>
        <v/>
      </c>
      <c r="L237" s="33" t="str">
        <f aca="false">IF(F237="","",F237/FiberGoal)</f>
        <v/>
      </c>
      <c r="M237" s="33" t="str">
        <f aca="false">IF(G237="","",G237/WaterGoal)</f>
        <v/>
      </c>
    </row>
    <row r="238" customFormat="false" ht="15" hidden="false" customHeight="false" outlineLevel="0" collapsed="false">
      <c r="A238" s="35" t="n">
        <f aca="false">'Daily Tracker'!A238</f>
        <v>46256</v>
      </c>
      <c r="B238" s="28"/>
      <c r="C238" s="28"/>
      <c r="D238" s="28"/>
      <c r="E238" s="28"/>
      <c r="F238" s="28"/>
      <c r="G238" s="48" t="str">
        <f aca="false">IF('Daily Tracker'!I238="","",'Daily Tracker'!I238)</f>
        <v/>
      </c>
      <c r="H238" s="37" t="str">
        <f aca="false">IF(B238="","",B238/CalorieGoal)</f>
        <v/>
      </c>
      <c r="I238" s="37" t="str">
        <f aca="false">IF(C238="","",C238/ProteinGoal)</f>
        <v/>
      </c>
      <c r="J238" s="37" t="str">
        <f aca="false">IF(D238="","",D238/CarbGoal)</f>
        <v/>
      </c>
      <c r="K238" s="37" t="str">
        <f aca="false">IF(E238="","",E238/FatGoal)</f>
        <v/>
      </c>
      <c r="L238" s="37" t="str">
        <f aca="false">IF(F238="","",F238/FiberGoal)</f>
        <v/>
      </c>
      <c r="M238" s="37" t="str">
        <f aca="false">IF(G238="","",G238/WaterGoal)</f>
        <v/>
      </c>
    </row>
    <row r="239" customFormat="false" ht="15" hidden="false" customHeight="false" outlineLevel="0" collapsed="false">
      <c r="A239" s="26" t="n">
        <f aca="false">'Daily Tracker'!A239</f>
        <v>46257</v>
      </c>
      <c r="B239" s="28"/>
      <c r="C239" s="28"/>
      <c r="D239" s="28"/>
      <c r="E239" s="28"/>
      <c r="F239" s="28"/>
      <c r="G239" s="47" t="str">
        <f aca="false">IF('Daily Tracker'!I239="","",'Daily Tracker'!I239)</f>
        <v/>
      </c>
      <c r="H239" s="33" t="str">
        <f aca="false">IF(B239="","",B239/CalorieGoal)</f>
        <v/>
      </c>
      <c r="I239" s="33" t="str">
        <f aca="false">IF(C239="","",C239/ProteinGoal)</f>
        <v/>
      </c>
      <c r="J239" s="33" t="str">
        <f aca="false">IF(D239="","",D239/CarbGoal)</f>
        <v/>
      </c>
      <c r="K239" s="33" t="str">
        <f aca="false">IF(E239="","",E239/FatGoal)</f>
        <v/>
      </c>
      <c r="L239" s="33" t="str">
        <f aca="false">IF(F239="","",F239/FiberGoal)</f>
        <v/>
      </c>
      <c r="M239" s="33" t="str">
        <f aca="false">IF(G239="","",G239/WaterGoal)</f>
        <v/>
      </c>
    </row>
    <row r="240" customFormat="false" ht="15" hidden="false" customHeight="false" outlineLevel="0" collapsed="false">
      <c r="A240" s="35" t="n">
        <f aca="false">'Daily Tracker'!A240</f>
        <v>46258</v>
      </c>
      <c r="B240" s="28"/>
      <c r="C240" s="28"/>
      <c r="D240" s="28"/>
      <c r="E240" s="28"/>
      <c r="F240" s="28"/>
      <c r="G240" s="48" t="str">
        <f aca="false">IF('Daily Tracker'!I240="","",'Daily Tracker'!I240)</f>
        <v/>
      </c>
      <c r="H240" s="37" t="str">
        <f aca="false">IF(B240="","",B240/CalorieGoal)</f>
        <v/>
      </c>
      <c r="I240" s="37" t="str">
        <f aca="false">IF(C240="","",C240/ProteinGoal)</f>
        <v/>
      </c>
      <c r="J240" s="37" t="str">
        <f aca="false">IF(D240="","",D240/CarbGoal)</f>
        <v/>
      </c>
      <c r="K240" s="37" t="str">
        <f aca="false">IF(E240="","",E240/FatGoal)</f>
        <v/>
      </c>
      <c r="L240" s="37" t="str">
        <f aca="false">IF(F240="","",F240/FiberGoal)</f>
        <v/>
      </c>
      <c r="M240" s="37" t="str">
        <f aca="false">IF(G240="","",G240/WaterGoal)</f>
        <v/>
      </c>
    </row>
    <row r="241" customFormat="false" ht="15" hidden="false" customHeight="false" outlineLevel="0" collapsed="false">
      <c r="A241" s="26" t="n">
        <f aca="false">'Daily Tracker'!A241</f>
        <v>46259</v>
      </c>
      <c r="B241" s="28"/>
      <c r="C241" s="28"/>
      <c r="D241" s="28"/>
      <c r="E241" s="28"/>
      <c r="F241" s="28"/>
      <c r="G241" s="47" t="str">
        <f aca="false">IF('Daily Tracker'!I241="","",'Daily Tracker'!I241)</f>
        <v/>
      </c>
      <c r="H241" s="33" t="str">
        <f aca="false">IF(B241="","",B241/CalorieGoal)</f>
        <v/>
      </c>
      <c r="I241" s="33" t="str">
        <f aca="false">IF(C241="","",C241/ProteinGoal)</f>
        <v/>
      </c>
      <c r="J241" s="33" t="str">
        <f aca="false">IF(D241="","",D241/CarbGoal)</f>
        <v/>
      </c>
      <c r="K241" s="33" t="str">
        <f aca="false">IF(E241="","",E241/FatGoal)</f>
        <v/>
      </c>
      <c r="L241" s="33" t="str">
        <f aca="false">IF(F241="","",F241/FiberGoal)</f>
        <v/>
      </c>
      <c r="M241" s="33" t="str">
        <f aca="false">IF(G241="","",G241/WaterGoal)</f>
        <v/>
      </c>
    </row>
    <row r="242" customFormat="false" ht="15" hidden="false" customHeight="false" outlineLevel="0" collapsed="false">
      <c r="A242" s="35" t="n">
        <f aca="false">'Daily Tracker'!A242</f>
        <v>46260</v>
      </c>
      <c r="B242" s="28"/>
      <c r="C242" s="28"/>
      <c r="D242" s="28"/>
      <c r="E242" s="28"/>
      <c r="F242" s="28"/>
      <c r="G242" s="48" t="str">
        <f aca="false">IF('Daily Tracker'!I242="","",'Daily Tracker'!I242)</f>
        <v/>
      </c>
      <c r="H242" s="37" t="str">
        <f aca="false">IF(B242="","",B242/CalorieGoal)</f>
        <v/>
      </c>
      <c r="I242" s="37" t="str">
        <f aca="false">IF(C242="","",C242/ProteinGoal)</f>
        <v/>
      </c>
      <c r="J242" s="37" t="str">
        <f aca="false">IF(D242="","",D242/CarbGoal)</f>
        <v/>
      </c>
      <c r="K242" s="37" t="str">
        <f aca="false">IF(E242="","",E242/FatGoal)</f>
        <v/>
      </c>
      <c r="L242" s="37" t="str">
        <f aca="false">IF(F242="","",F242/FiberGoal)</f>
        <v/>
      </c>
      <c r="M242" s="37" t="str">
        <f aca="false">IF(G242="","",G242/WaterGoal)</f>
        <v/>
      </c>
    </row>
    <row r="243" customFormat="false" ht="15" hidden="false" customHeight="false" outlineLevel="0" collapsed="false">
      <c r="A243" s="26" t="n">
        <f aca="false">'Daily Tracker'!A243</f>
        <v>46261</v>
      </c>
      <c r="B243" s="28"/>
      <c r="C243" s="28"/>
      <c r="D243" s="28"/>
      <c r="E243" s="28"/>
      <c r="F243" s="28"/>
      <c r="G243" s="47" t="str">
        <f aca="false">IF('Daily Tracker'!I243="","",'Daily Tracker'!I243)</f>
        <v/>
      </c>
      <c r="H243" s="33" t="str">
        <f aca="false">IF(B243="","",B243/CalorieGoal)</f>
        <v/>
      </c>
      <c r="I243" s="33" t="str">
        <f aca="false">IF(C243="","",C243/ProteinGoal)</f>
        <v/>
      </c>
      <c r="J243" s="33" t="str">
        <f aca="false">IF(D243="","",D243/CarbGoal)</f>
        <v/>
      </c>
      <c r="K243" s="33" t="str">
        <f aca="false">IF(E243="","",E243/FatGoal)</f>
        <v/>
      </c>
      <c r="L243" s="33" t="str">
        <f aca="false">IF(F243="","",F243/FiberGoal)</f>
        <v/>
      </c>
      <c r="M243" s="33" t="str">
        <f aca="false">IF(G243="","",G243/WaterGoal)</f>
        <v/>
      </c>
    </row>
    <row r="244" customFormat="false" ht="15" hidden="false" customHeight="false" outlineLevel="0" collapsed="false">
      <c r="A244" s="35" t="n">
        <f aca="false">'Daily Tracker'!A244</f>
        <v>46262</v>
      </c>
      <c r="B244" s="28"/>
      <c r="C244" s="28"/>
      <c r="D244" s="28"/>
      <c r="E244" s="28"/>
      <c r="F244" s="28"/>
      <c r="G244" s="48" t="str">
        <f aca="false">IF('Daily Tracker'!I244="","",'Daily Tracker'!I244)</f>
        <v/>
      </c>
      <c r="H244" s="37" t="str">
        <f aca="false">IF(B244="","",B244/CalorieGoal)</f>
        <v/>
      </c>
      <c r="I244" s="37" t="str">
        <f aca="false">IF(C244="","",C244/ProteinGoal)</f>
        <v/>
      </c>
      <c r="J244" s="37" t="str">
        <f aca="false">IF(D244="","",D244/CarbGoal)</f>
        <v/>
      </c>
      <c r="K244" s="37" t="str">
        <f aca="false">IF(E244="","",E244/FatGoal)</f>
        <v/>
      </c>
      <c r="L244" s="37" t="str">
        <f aca="false">IF(F244="","",F244/FiberGoal)</f>
        <v/>
      </c>
      <c r="M244" s="37" t="str">
        <f aca="false">IF(G244="","",G244/WaterGoal)</f>
        <v/>
      </c>
    </row>
    <row r="245" customFormat="false" ht="15" hidden="false" customHeight="false" outlineLevel="0" collapsed="false">
      <c r="A245" s="26" t="n">
        <f aca="false">'Daily Tracker'!A245</f>
        <v>46263</v>
      </c>
      <c r="B245" s="28"/>
      <c r="C245" s="28"/>
      <c r="D245" s="28"/>
      <c r="E245" s="28"/>
      <c r="F245" s="28"/>
      <c r="G245" s="47" t="str">
        <f aca="false">IF('Daily Tracker'!I245="","",'Daily Tracker'!I245)</f>
        <v/>
      </c>
      <c r="H245" s="33" t="str">
        <f aca="false">IF(B245="","",B245/CalorieGoal)</f>
        <v/>
      </c>
      <c r="I245" s="33" t="str">
        <f aca="false">IF(C245="","",C245/ProteinGoal)</f>
        <v/>
      </c>
      <c r="J245" s="33" t="str">
        <f aca="false">IF(D245="","",D245/CarbGoal)</f>
        <v/>
      </c>
      <c r="K245" s="33" t="str">
        <f aca="false">IF(E245="","",E245/FatGoal)</f>
        <v/>
      </c>
      <c r="L245" s="33" t="str">
        <f aca="false">IF(F245="","",F245/FiberGoal)</f>
        <v/>
      </c>
      <c r="M245" s="33" t="str">
        <f aca="false">IF(G245="","",G245/WaterGoal)</f>
        <v/>
      </c>
    </row>
    <row r="246" customFormat="false" ht="15" hidden="false" customHeight="false" outlineLevel="0" collapsed="false">
      <c r="A246" s="35" t="n">
        <f aca="false">'Daily Tracker'!A246</f>
        <v>46264</v>
      </c>
      <c r="B246" s="28"/>
      <c r="C246" s="28"/>
      <c r="D246" s="28"/>
      <c r="E246" s="28"/>
      <c r="F246" s="28"/>
      <c r="G246" s="48" t="str">
        <f aca="false">IF('Daily Tracker'!I246="","",'Daily Tracker'!I246)</f>
        <v/>
      </c>
      <c r="H246" s="37" t="str">
        <f aca="false">IF(B246="","",B246/CalorieGoal)</f>
        <v/>
      </c>
      <c r="I246" s="37" t="str">
        <f aca="false">IF(C246="","",C246/ProteinGoal)</f>
        <v/>
      </c>
      <c r="J246" s="37" t="str">
        <f aca="false">IF(D246="","",D246/CarbGoal)</f>
        <v/>
      </c>
      <c r="K246" s="37" t="str">
        <f aca="false">IF(E246="","",E246/FatGoal)</f>
        <v/>
      </c>
      <c r="L246" s="37" t="str">
        <f aca="false">IF(F246="","",F246/FiberGoal)</f>
        <v/>
      </c>
      <c r="M246" s="37" t="str">
        <f aca="false">IF(G246="","",G246/WaterGoal)</f>
        <v/>
      </c>
    </row>
    <row r="247" customFormat="false" ht="15" hidden="false" customHeight="false" outlineLevel="0" collapsed="false">
      <c r="A247" s="26" t="n">
        <f aca="false">'Daily Tracker'!A247</f>
        <v>46265</v>
      </c>
      <c r="B247" s="28"/>
      <c r="C247" s="28"/>
      <c r="D247" s="28"/>
      <c r="E247" s="28"/>
      <c r="F247" s="28"/>
      <c r="G247" s="47" t="str">
        <f aca="false">IF('Daily Tracker'!I247="","",'Daily Tracker'!I247)</f>
        <v/>
      </c>
      <c r="H247" s="33" t="str">
        <f aca="false">IF(B247="","",B247/CalorieGoal)</f>
        <v/>
      </c>
      <c r="I247" s="33" t="str">
        <f aca="false">IF(C247="","",C247/ProteinGoal)</f>
        <v/>
      </c>
      <c r="J247" s="33" t="str">
        <f aca="false">IF(D247="","",D247/CarbGoal)</f>
        <v/>
      </c>
      <c r="K247" s="33" t="str">
        <f aca="false">IF(E247="","",E247/FatGoal)</f>
        <v/>
      </c>
      <c r="L247" s="33" t="str">
        <f aca="false">IF(F247="","",F247/FiberGoal)</f>
        <v/>
      </c>
      <c r="M247" s="33" t="str">
        <f aca="false">IF(G247="","",G247/WaterGoal)</f>
        <v/>
      </c>
    </row>
    <row r="248" customFormat="false" ht="15" hidden="false" customHeight="false" outlineLevel="0" collapsed="false">
      <c r="A248" s="35" t="n">
        <f aca="false">'Daily Tracker'!A248</f>
        <v>46266</v>
      </c>
      <c r="B248" s="28"/>
      <c r="C248" s="28"/>
      <c r="D248" s="28"/>
      <c r="E248" s="28"/>
      <c r="F248" s="28"/>
      <c r="G248" s="48" t="str">
        <f aca="false">IF('Daily Tracker'!I248="","",'Daily Tracker'!I248)</f>
        <v/>
      </c>
      <c r="H248" s="37" t="str">
        <f aca="false">IF(B248="","",B248/CalorieGoal)</f>
        <v/>
      </c>
      <c r="I248" s="37" t="str">
        <f aca="false">IF(C248="","",C248/ProteinGoal)</f>
        <v/>
      </c>
      <c r="J248" s="37" t="str">
        <f aca="false">IF(D248="","",D248/CarbGoal)</f>
        <v/>
      </c>
      <c r="K248" s="37" t="str">
        <f aca="false">IF(E248="","",E248/FatGoal)</f>
        <v/>
      </c>
      <c r="L248" s="37" t="str">
        <f aca="false">IF(F248="","",F248/FiberGoal)</f>
        <v/>
      </c>
      <c r="M248" s="37" t="str">
        <f aca="false">IF(G248="","",G248/WaterGoal)</f>
        <v/>
      </c>
    </row>
    <row r="249" customFormat="false" ht="15" hidden="false" customHeight="false" outlineLevel="0" collapsed="false">
      <c r="A249" s="26" t="n">
        <f aca="false">'Daily Tracker'!A249</f>
        <v>46267</v>
      </c>
      <c r="B249" s="28"/>
      <c r="C249" s="28"/>
      <c r="D249" s="28"/>
      <c r="E249" s="28"/>
      <c r="F249" s="28"/>
      <c r="G249" s="47" t="str">
        <f aca="false">IF('Daily Tracker'!I249="","",'Daily Tracker'!I249)</f>
        <v/>
      </c>
      <c r="H249" s="33" t="str">
        <f aca="false">IF(B249="","",B249/CalorieGoal)</f>
        <v/>
      </c>
      <c r="I249" s="33" t="str">
        <f aca="false">IF(C249="","",C249/ProteinGoal)</f>
        <v/>
      </c>
      <c r="J249" s="33" t="str">
        <f aca="false">IF(D249="","",D249/CarbGoal)</f>
        <v/>
      </c>
      <c r="K249" s="33" t="str">
        <f aca="false">IF(E249="","",E249/FatGoal)</f>
        <v/>
      </c>
      <c r="L249" s="33" t="str">
        <f aca="false">IF(F249="","",F249/FiberGoal)</f>
        <v/>
      </c>
      <c r="M249" s="33" t="str">
        <f aca="false">IF(G249="","",G249/WaterGoal)</f>
        <v/>
      </c>
    </row>
    <row r="250" customFormat="false" ht="15" hidden="false" customHeight="false" outlineLevel="0" collapsed="false">
      <c r="A250" s="35" t="n">
        <f aca="false">'Daily Tracker'!A250</f>
        <v>46268</v>
      </c>
      <c r="B250" s="28"/>
      <c r="C250" s="28"/>
      <c r="D250" s="28"/>
      <c r="E250" s="28"/>
      <c r="F250" s="28"/>
      <c r="G250" s="48" t="str">
        <f aca="false">IF('Daily Tracker'!I250="","",'Daily Tracker'!I250)</f>
        <v/>
      </c>
      <c r="H250" s="37" t="str">
        <f aca="false">IF(B250="","",B250/CalorieGoal)</f>
        <v/>
      </c>
      <c r="I250" s="37" t="str">
        <f aca="false">IF(C250="","",C250/ProteinGoal)</f>
        <v/>
      </c>
      <c r="J250" s="37" t="str">
        <f aca="false">IF(D250="","",D250/CarbGoal)</f>
        <v/>
      </c>
      <c r="K250" s="37" t="str">
        <f aca="false">IF(E250="","",E250/FatGoal)</f>
        <v/>
      </c>
      <c r="L250" s="37" t="str">
        <f aca="false">IF(F250="","",F250/FiberGoal)</f>
        <v/>
      </c>
      <c r="M250" s="37" t="str">
        <f aca="false">IF(G250="","",G250/WaterGoal)</f>
        <v/>
      </c>
    </row>
    <row r="251" customFormat="false" ht="15" hidden="false" customHeight="false" outlineLevel="0" collapsed="false">
      <c r="A251" s="26" t="n">
        <f aca="false">'Daily Tracker'!A251</f>
        <v>46269</v>
      </c>
      <c r="B251" s="28"/>
      <c r="C251" s="28"/>
      <c r="D251" s="28"/>
      <c r="E251" s="28"/>
      <c r="F251" s="28"/>
      <c r="G251" s="47" t="str">
        <f aca="false">IF('Daily Tracker'!I251="","",'Daily Tracker'!I251)</f>
        <v/>
      </c>
      <c r="H251" s="33" t="str">
        <f aca="false">IF(B251="","",B251/CalorieGoal)</f>
        <v/>
      </c>
      <c r="I251" s="33" t="str">
        <f aca="false">IF(C251="","",C251/ProteinGoal)</f>
        <v/>
      </c>
      <c r="J251" s="33" t="str">
        <f aca="false">IF(D251="","",D251/CarbGoal)</f>
        <v/>
      </c>
      <c r="K251" s="33" t="str">
        <f aca="false">IF(E251="","",E251/FatGoal)</f>
        <v/>
      </c>
      <c r="L251" s="33" t="str">
        <f aca="false">IF(F251="","",F251/FiberGoal)</f>
        <v/>
      </c>
      <c r="M251" s="33" t="str">
        <f aca="false">IF(G251="","",G251/WaterGoal)</f>
        <v/>
      </c>
    </row>
    <row r="252" customFormat="false" ht="15" hidden="false" customHeight="false" outlineLevel="0" collapsed="false">
      <c r="A252" s="35" t="n">
        <f aca="false">'Daily Tracker'!A252</f>
        <v>46270</v>
      </c>
      <c r="B252" s="28"/>
      <c r="C252" s="28"/>
      <c r="D252" s="28"/>
      <c r="E252" s="28"/>
      <c r="F252" s="28"/>
      <c r="G252" s="48" t="str">
        <f aca="false">IF('Daily Tracker'!I252="","",'Daily Tracker'!I252)</f>
        <v/>
      </c>
      <c r="H252" s="37" t="str">
        <f aca="false">IF(B252="","",B252/CalorieGoal)</f>
        <v/>
      </c>
      <c r="I252" s="37" t="str">
        <f aca="false">IF(C252="","",C252/ProteinGoal)</f>
        <v/>
      </c>
      <c r="J252" s="37" t="str">
        <f aca="false">IF(D252="","",D252/CarbGoal)</f>
        <v/>
      </c>
      <c r="K252" s="37" t="str">
        <f aca="false">IF(E252="","",E252/FatGoal)</f>
        <v/>
      </c>
      <c r="L252" s="37" t="str">
        <f aca="false">IF(F252="","",F252/FiberGoal)</f>
        <v/>
      </c>
      <c r="M252" s="37" t="str">
        <f aca="false">IF(G252="","",G252/WaterGoal)</f>
        <v/>
      </c>
    </row>
    <row r="253" customFormat="false" ht="15" hidden="false" customHeight="false" outlineLevel="0" collapsed="false">
      <c r="A253" s="26" t="n">
        <f aca="false">'Daily Tracker'!A253</f>
        <v>46271</v>
      </c>
      <c r="B253" s="28"/>
      <c r="C253" s="28"/>
      <c r="D253" s="28"/>
      <c r="E253" s="28"/>
      <c r="F253" s="28"/>
      <c r="G253" s="47" t="str">
        <f aca="false">IF('Daily Tracker'!I253="","",'Daily Tracker'!I253)</f>
        <v/>
      </c>
      <c r="H253" s="33" t="str">
        <f aca="false">IF(B253="","",B253/CalorieGoal)</f>
        <v/>
      </c>
      <c r="I253" s="33" t="str">
        <f aca="false">IF(C253="","",C253/ProteinGoal)</f>
        <v/>
      </c>
      <c r="J253" s="33" t="str">
        <f aca="false">IF(D253="","",D253/CarbGoal)</f>
        <v/>
      </c>
      <c r="K253" s="33" t="str">
        <f aca="false">IF(E253="","",E253/FatGoal)</f>
        <v/>
      </c>
      <c r="L253" s="33" t="str">
        <f aca="false">IF(F253="","",F253/FiberGoal)</f>
        <v/>
      </c>
      <c r="M253" s="33" t="str">
        <f aca="false">IF(G253="","",G253/WaterGoal)</f>
        <v/>
      </c>
    </row>
    <row r="254" customFormat="false" ht="15" hidden="false" customHeight="false" outlineLevel="0" collapsed="false">
      <c r="A254" s="35" t="n">
        <f aca="false">'Daily Tracker'!A254</f>
        <v>46272</v>
      </c>
      <c r="B254" s="28"/>
      <c r="C254" s="28"/>
      <c r="D254" s="28"/>
      <c r="E254" s="28"/>
      <c r="F254" s="28"/>
      <c r="G254" s="48" t="str">
        <f aca="false">IF('Daily Tracker'!I254="","",'Daily Tracker'!I254)</f>
        <v/>
      </c>
      <c r="H254" s="37" t="str">
        <f aca="false">IF(B254="","",B254/CalorieGoal)</f>
        <v/>
      </c>
      <c r="I254" s="37" t="str">
        <f aca="false">IF(C254="","",C254/ProteinGoal)</f>
        <v/>
      </c>
      <c r="J254" s="37" t="str">
        <f aca="false">IF(D254="","",D254/CarbGoal)</f>
        <v/>
      </c>
      <c r="K254" s="37" t="str">
        <f aca="false">IF(E254="","",E254/FatGoal)</f>
        <v/>
      </c>
      <c r="L254" s="37" t="str">
        <f aca="false">IF(F254="","",F254/FiberGoal)</f>
        <v/>
      </c>
      <c r="M254" s="37" t="str">
        <f aca="false">IF(G254="","",G254/WaterGoal)</f>
        <v/>
      </c>
    </row>
    <row r="255" customFormat="false" ht="15" hidden="false" customHeight="false" outlineLevel="0" collapsed="false">
      <c r="A255" s="26" t="n">
        <f aca="false">'Daily Tracker'!A255</f>
        <v>46273</v>
      </c>
      <c r="B255" s="28"/>
      <c r="C255" s="28"/>
      <c r="D255" s="28"/>
      <c r="E255" s="28"/>
      <c r="F255" s="28"/>
      <c r="G255" s="47" t="str">
        <f aca="false">IF('Daily Tracker'!I255="","",'Daily Tracker'!I255)</f>
        <v/>
      </c>
      <c r="H255" s="33" t="str">
        <f aca="false">IF(B255="","",B255/CalorieGoal)</f>
        <v/>
      </c>
      <c r="I255" s="33" t="str">
        <f aca="false">IF(C255="","",C255/ProteinGoal)</f>
        <v/>
      </c>
      <c r="J255" s="33" t="str">
        <f aca="false">IF(D255="","",D255/CarbGoal)</f>
        <v/>
      </c>
      <c r="K255" s="33" t="str">
        <f aca="false">IF(E255="","",E255/FatGoal)</f>
        <v/>
      </c>
      <c r="L255" s="33" t="str">
        <f aca="false">IF(F255="","",F255/FiberGoal)</f>
        <v/>
      </c>
      <c r="M255" s="33" t="str">
        <f aca="false">IF(G255="","",G255/WaterGoal)</f>
        <v/>
      </c>
    </row>
    <row r="256" customFormat="false" ht="15" hidden="false" customHeight="false" outlineLevel="0" collapsed="false">
      <c r="A256" s="35" t="n">
        <f aca="false">'Daily Tracker'!A256</f>
        <v>46274</v>
      </c>
      <c r="B256" s="28"/>
      <c r="C256" s="28"/>
      <c r="D256" s="28"/>
      <c r="E256" s="28"/>
      <c r="F256" s="28"/>
      <c r="G256" s="48" t="str">
        <f aca="false">IF('Daily Tracker'!I256="","",'Daily Tracker'!I256)</f>
        <v/>
      </c>
      <c r="H256" s="37" t="str">
        <f aca="false">IF(B256="","",B256/CalorieGoal)</f>
        <v/>
      </c>
      <c r="I256" s="37" t="str">
        <f aca="false">IF(C256="","",C256/ProteinGoal)</f>
        <v/>
      </c>
      <c r="J256" s="37" t="str">
        <f aca="false">IF(D256="","",D256/CarbGoal)</f>
        <v/>
      </c>
      <c r="K256" s="37" t="str">
        <f aca="false">IF(E256="","",E256/FatGoal)</f>
        <v/>
      </c>
      <c r="L256" s="37" t="str">
        <f aca="false">IF(F256="","",F256/FiberGoal)</f>
        <v/>
      </c>
      <c r="M256" s="37" t="str">
        <f aca="false">IF(G256="","",G256/WaterGoal)</f>
        <v/>
      </c>
    </row>
    <row r="257" customFormat="false" ht="15" hidden="false" customHeight="false" outlineLevel="0" collapsed="false">
      <c r="A257" s="26" t="n">
        <f aca="false">'Daily Tracker'!A257</f>
        <v>46275</v>
      </c>
      <c r="B257" s="28"/>
      <c r="C257" s="28"/>
      <c r="D257" s="28"/>
      <c r="E257" s="28"/>
      <c r="F257" s="28"/>
      <c r="G257" s="47" t="str">
        <f aca="false">IF('Daily Tracker'!I257="","",'Daily Tracker'!I257)</f>
        <v/>
      </c>
      <c r="H257" s="33" t="str">
        <f aca="false">IF(B257="","",B257/CalorieGoal)</f>
        <v/>
      </c>
      <c r="I257" s="33" t="str">
        <f aca="false">IF(C257="","",C257/ProteinGoal)</f>
        <v/>
      </c>
      <c r="J257" s="33" t="str">
        <f aca="false">IF(D257="","",D257/CarbGoal)</f>
        <v/>
      </c>
      <c r="K257" s="33" t="str">
        <f aca="false">IF(E257="","",E257/FatGoal)</f>
        <v/>
      </c>
      <c r="L257" s="33" t="str">
        <f aca="false">IF(F257="","",F257/FiberGoal)</f>
        <v/>
      </c>
      <c r="M257" s="33" t="str">
        <f aca="false">IF(G257="","",G257/WaterGoal)</f>
        <v/>
      </c>
    </row>
    <row r="258" customFormat="false" ht="15" hidden="false" customHeight="false" outlineLevel="0" collapsed="false">
      <c r="A258" s="35" t="n">
        <f aca="false">'Daily Tracker'!A258</f>
        <v>46276</v>
      </c>
      <c r="B258" s="28"/>
      <c r="C258" s="28"/>
      <c r="D258" s="28"/>
      <c r="E258" s="28"/>
      <c r="F258" s="28"/>
      <c r="G258" s="48" t="str">
        <f aca="false">IF('Daily Tracker'!I258="","",'Daily Tracker'!I258)</f>
        <v/>
      </c>
      <c r="H258" s="37" t="str">
        <f aca="false">IF(B258="","",B258/CalorieGoal)</f>
        <v/>
      </c>
      <c r="I258" s="37" t="str">
        <f aca="false">IF(C258="","",C258/ProteinGoal)</f>
        <v/>
      </c>
      <c r="J258" s="37" t="str">
        <f aca="false">IF(D258="","",D258/CarbGoal)</f>
        <v/>
      </c>
      <c r="K258" s="37" t="str">
        <f aca="false">IF(E258="","",E258/FatGoal)</f>
        <v/>
      </c>
      <c r="L258" s="37" t="str">
        <f aca="false">IF(F258="","",F258/FiberGoal)</f>
        <v/>
      </c>
      <c r="M258" s="37" t="str">
        <f aca="false">IF(G258="","",G258/WaterGoal)</f>
        <v/>
      </c>
    </row>
    <row r="259" customFormat="false" ht="15" hidden="false" customHeight="false" outlineLevel="0" collapsed="false">
      <c r="A259" s="26" t="n">
        <f aca="false">'Daily Tracker'!A259</f>
        <v>46277</v>
      </c>
      <c r="B259" s="28"/>
      <c r="C259" s="28"/>
      <c r="D259" s="28"/>
      <c r="E259" s="28"/>
      <c r="F259" s="28"/>
      <c r="G259" s="47" t="str">
        <f aca="false">IF('Daily Tracker'!I259="","",'Daily Tracker'!I259)</f>
        <v/>
      </c>
      <c r="H259" s="33" t="str">
        <f aca="false">IF(B259="","",B259/CalorieGoal)</f>
        <v/>
      </c>
      <c r="I259" s="33" t="str">
        <f aca="false">IF(C259="","",C259/ProteinGoal)</f>
        <v/>
      </c>
      <c r="J259" s="33" t="str">
        <f aca="false">IF(D259="","",D259/CarbGoal)</f>
        <v/>
      </c>
      <c r="K259" s="33" t="str">
        <f aca="false">IF(E259="","",E259/FatGoal)</f>
        <v/>
      </c>
      <c r="L259" s="33" t="str">
        <f aca="false">IF(F259="","",F259/FiberGoal)</f>
        <v/>
      </c>
      <c r="M259" s="33" t="str">
        <f aca="false">IF(G259="","",G259/WaterGoal)</f>
        <v/>
      </c>
    </row>
    <row r="260" customFormat="false" ht="15" hidden="false" customHeight="false" outlineLevel="0" collapsed="false">
      <c r="A260" s="35" t="n">
        <f aca="false">'Daily Tracker'!A260</f>
        <v>46278</v>
      </c>
      <c r="B260" s="28"/>
      <c r="C260" s="28"/>
      <c r="D260" s="28"/>
      <c r="E260" s="28"/>
      <c r="F260" s="28"/>
      <c r="G260" s="48" t="str">
        <f aca="false">IF('Daily Tracker'!I260="","",'Daily Tracker'!I260)</f>
        <v/>
      </c>
      <c r="H260" s="37" t="str">
        <f aca="false">IF(B260="","",B260/CalorieGoal)</f>
        <v/>
      </c>
      <c r="I260" s="37" t="str">
        <f aca="false">IF(C260="","",C260/ProteinGoal)</f>
        <v/>
      </c>
      <c r="J260" s="37" t="str">
        <f aca="false">IF(D260="","",D260/CarbGoal)</f>
        <v/>
      </c>
      <c r="K260" s="37" t="str">
        <f aca="false">IF(E260="","",E260/FatGoal)</f>
        <v/>
      </c>
      <c r="L260" s="37" t="str">
        <f aca="false">IF(F260="","",F260/FiberGoal)</f>
        <v/>
      </c>
      <c r="M260" s="37" t="str">
        <f aca="false">IF(G260="","",G260/WaterGoal)</f>
        <v/>
      </c>
    </row>
    <row r="261" customFormat="false" ht="15" hidden="false" customHeight="false" outlineLevel="0" collapsed="false">
      <c r="A261" s="26" t="n">
        <f aca="false">'Daily Tracker'!A261</f>
        <v>46279</v>
      </c>
      <c r="B261" s="28"/>
      <c r="C261" s="28"/>
      <c r="D261" s="28"/>
      <c r="E261" s="28"/>
      <c r="F261" s="28"/>
      <c r="G261" s="47" t="str">
        <f aca="false">IF('Daily Tracker'!I261="","",'Daily Tracker'!I261)</f>
        <v/>
      </c>
      <c r="H261" s="33" t="str">
        <f aca="false">IF(B261="","",B261/CalorieGoal)</f>
        <v/>
      </c>
      <c r="I261" s="33" t="str">
        <f aca="false">IF(C261="","",C261/ProteinGoal)</f>
        <v/>
      </c>
      <c r="J261" s="33" t="str">
        <f aca="false">IF(D261="","",D261/CarbGoal)</f>
        <v/>
      </c>
      <c r="K261" s="33" t="str">
        <f aca="false">IF(E261="","",E261/FatGoal)</f>
        <v/>
      </c>
      <c r="L261" s="33" t="str">
        <f aca="false">IF(F261="","",F261/FiberGoal)</f>
        <v/>
      </c>
      <c r="M261" s="33" t="str">
        <f aca="false">IF(G261="","",G261/WaterGoal)</f>
        <v/>
      </c>
    </row>
    <row r="262" customFormat="false" ht="15" hidden="false" customHeight="false" outlineLevel="0" collapsed="false">
      <c r="A262" s="35" t="n">
        <f aca="false">'Daily Tracker'!A262</f>
        <v>46280</v>
      </c>
      <c r="B262" s="28"/>
      <c r="C262" s="28"/>
      <c r="D262" s="28"/>
      <c r="E262" s="28"/>
      <c r="F262" s="28"/>
      <c r="G262" s="48" t="str">
        <f aca="false">IF('Daily Tracker'!I262="","",'Daily Tracker'!I262)</f>
        <v/>
      </c>
      <c r="H262" s="37" t="str">
        <f aca="false">IF(B262="","",B262/CalorieGoal)</f>
        <v/>
      </c>
      <c r="I262" s="37" t="str">
        <f aca="false">IF(C262="","",C262/ProteinGoal)</f>
        <v/>
      </c>
      <c r="J262" s="37" t="str">
        <f aca="false">IF(D262="","",D262/CarbGoal)</f>
        <v/>
      </c>
      <c r="K262" s="37" t="str">
        <f aca="false">IF(E262="","",E262/FatGoal)</f>
        <v/>
      </c>
      <c r="L262" s="37" t="str">
        <f aca="false">IF(F262="","",F262/FiberGoal)</f>
        <v/>
      </c>
      <c r="M262" s="37" t="str">
        <f aca="false">IF(G262="","",G262/WaterGoal)</f>
        <v/>
      </c>
    </row>
    <row r="263" customFormat="false" ht="15" hidden="false" customHeight="false" outlineLevel="0" collapsed="false">
      <c r="A263" s="26" t="n">
        <f aca="false">'Daily Tracker'!A263</f>
        <v>46281</v>
      </c>
      <c r="B263" s="28"/>
      <c r="C263" s="28"/>
      <c r="D263" s="28"/>
      <c r="E263" s="28"/>
      <c r="F263" s="28"/>
      <c r="G263" s="47" t="str">
        <f aca="false">IF('Daily Tracker'!I263="","",'Daily Tracker'!I263)</f>
        <v/>
      </c>
      <c r="H263" s="33" t="str">
        <f aca="false">IF(B263="","",B263/CalorieGoal)</f>
        <v/>
      </c>
      <c r="I263" s="33" t="str">
        <f aca="false">IF(C263="","",C263/ProteinGoal)</f>
        <v/>
      </c>
      <c r="J263" s="33" t="str">
        <f aca="false">IF(D263="","",D263/CarbGoal)</f>
        <v/>
      </c>
      <c r="K263" s="33" t="str">
        <f aca="false">IF(E263="","",E263/FatGoal)</f>
        <v/>
      </c>
      <c r="L263" s="33" t="str">
        <f aca="false">IF(F263="","",F263/FiberGoal)</f>
        <v/>
      </c>
      <c r="M263" s="33" t="str">
        <f aca="false">IF(G263="","",G263/WaterGoal)</f>
        <v/>
      </c>
    </row>
    <row r="264" customFormat="false" ht="15" hidden="false" customHeight="false" outlineLevel="0" collapsed="false">
      <c r="A264" s="35" t="n">
        <f aca="false">'Daily Tracker'!A264</f>
        <v>46282</v>
      </c>
      <c r="B264" s="28"/>
      <c r="C264" s="28"/>
      <c r="D264" s="28"/>
      <c r="E264" s="28"/>
      <c r="F264" s="28"/>
      <c r="G264" s="48" t="str">
        <f aca="false">IF('Daily Tracker'!I264="","",'Daily Tracker'!I264)</f>
        <v/>
      </c>
      <c r="H264" s="37" t="str">
        <f aca="false">IF(B264="","",B264/CalorieGoal)</f>
        <v/>
      </c>
      <c r="I264" s="37" t="str">
        <f aca="false">IF(C264="","",C264/ProteinGoal)</f>
        <v/>
      </c>
      <c r="J264" s="37" t="str">
        <f aca="false">IF(D264="","",D264/CarbGoal)</f>
        <v/>
      </c>
      <c r="K264" s="37" t="str">
        <f aca="false">IF(E264="","",E264/FatGoal)</f>
        <v/>
      </c>
      <c r="L264" s="37" t="str">
        <f aca="false">IF(F264="","",F264/FiberGoal)</f>
        <v/>
      </c>
      <c r="M264" s="37" t="str">
        <f aca="false">IF(G264="","",G264/WaterGoal)</f>
        <v/>
      </c>
    </row>
    <row r="265" customFormat="false" ht="15" hidden="false" customHeight="false" outlineLevel="0" collapsed="false">
      <c r="A265" s="26" t="n">
        <f aca="false">'Daily Tracker'!A265</f>
        <v>46283</v>
      </c>
      <c r="B265" s="28"/>
      <c r="C265" s="28"/>
      <c r="D265" s="28"/>
      <c r="E265" s="28"/>
      <c r="F265" s="28"/>
      <c r="G265" s="47" t="str">
        <f aca="false">IF('Daily Tracker'!I265="","",'Daily Tracker'!I265)</f>
        <v/>
      </c>
      <c r="H265" s="33" t="str">
        <f aca="false">IF(B265="","",B265/CalorieGoal)</f>
        <v/>
      </c>
      <c r="I265" s="33" t="str">
        <f aca="false">IF(C265="","",C265/ProteinGoal)</f>
        <v/>
      </c>
      <c r="J265" s="33" t="str">
        <f aca="false">IF(D265="","",D265/CarbGoal)</f>
        <v/>
      </c>
      <c r="K265" s="33" t="str">
        <f aca="false">IF(E265="","",E265/FatGoal)</f>
        <v/>
      </c>
      <c r="L265" s="33" t="str">
        <f aca="false">IF(F265="","",F265/FiberGoal)</f>
        <v/>
      </c>
      <c r="M265" s="33" t="str">
        <f aca="false">IF(G265="","",G265/WaterGoal)</f>
        <v/>
      </c>
    </row>
    <row r="266" customFormat="false" ht="15" hidden="false" customHeight="false" outlineLevel="0" collapsed="false">
      <c r="A266" s="35" t="n">
        <f aca="false">'Daily Tracker'!A266</f>
        <v>46284</v>
      </c>
      <c r="B266" s="28"/>
      <c r="C266" s="28"/>
      <c r="D266" s="28"/>
      <c r="E266" s="28"/>
      <c r="F266" s="28"/>
      <c r="G266" s="48" t="str">
        <f aca="false">IF('Daily Tracker'!I266="","",'Daily Tracker'!I266)</f>
        <v/>
      </c>
      <c r="H266" s="37" t="str">
        <f aca="false">IF(B266="","",B266/CalorieGoal)</f>
        <v/>
      </c>
      <c r="I266" s="37" t="str">
        <f aca="false">IF(C266="","",C266/ProteinGoal)</f>
        <v/>
      </c>
      <c r="J266" s="37" t="str">
        <f aca="false">IF(D266="","",D266/CarbGoal)</f>
        <v/>
      </c>
      <c r="K266" s="37" t="str">
        <f aca="false">IF(E266="","",E266/FatGoal)</f>
        <v/>
      </c>
      <c r="L266" s="37" t="str">
        <f aca="false">IF(F266="","",F266/FiberGoal)</f>
        <v/>
      </c>
      <c r="M266" s="37" t="str">
        <f aca="false">IF(G266="","",G266/WaterGoal)</f>
        <v/>
      </c>
    </row>
    <row r="267" customFormat="false" ht="15" hidden="false" customHeight="false" outlineLevel="0" collapsed="false">
      <c r="A267" s="26" t="n">
        <f aca="false">'Daily Tracker'!A267</f>
        <v>46285</v>
      </c>
      <c r="B267" s="28"/>
      <c r="C267" s="28"/>
      <c r="D267" s="28"/>
      <c r="E267" s="28"/>
      <c r="F267" s="28"/>
      <c r="G267" s="47" t="str">
        <f aca="false">IF('Daily Tracker'!I267="","",'Daily Tracker'!I267)</f>
        <v/>
      </c>
      <c r="H267" s="33" t="str">
        <f aca="false">IF(B267="","",B267/CalorieGoal)</f>
        <v/>
      </c>
      <c r="I267" s="33" t="str">
        <f aca="false">IF(C267="","",C267/ProteinGoal)</f>
        <v/>
      </c>
      <c r="J267" s="33" t="str">
        <f aca="false">IF(D267="","",D267/CarbGoal)</f>
        <v/>
      </c>
      <c r="K267" s="33" t="str">
        <f aca="false">IF(E267="","",E267/FatGoal)</f>
        <v/>
      </c>
      <c r="L267" s="33" t="str">
        <f aca="false">IF(F267="","",F267/FiberGoal)</f>
        <v/>
      </c>
      <c r="M267" s="33" t="str">
        <f aca="false">IF(G267="","",G267/WaterGoal)</f>
        <v/>
      </c>
    </row>
    <row r="268" customFormat="false" ht="15" hidden="false" customHeight="false" outlineLevel="0" collapsed="false">
      <c r="A268" s="35" t="n">
        <f aca="false">'Daily Tracker'!A268</f>
        <v>46286</v>
      </c>
      <c r="B268" s="28"/>
      <c r="C268" s="28"/>
      <c r="D268" s="28"/>
      <c r="E268" s="28"/>
      <c r="F268" s="28"/>
      <c r="G268" s="48" t="str">
        <f aca="false">IF('Daily Tracker'!I268="","",'Daily Tracker'!I268)</f>
        <v/>
      </c>
      <c r="H268" s="37" t="str">
        <f aca="false">IF(B268="","",B268/CalorieGoal)</f>
        <v/>
      </c>
      <c r="I268" s="37" t="str">
        <f aca="false">IF(C268="","",C268/ProteinGoal)</f>
        <v/>
      </c>
      <c r="J268" s="37" t="str">
        <f aca="false">IF(D268="","",D268/CarbGoal)</f>
        <v/>
      </c>
      <c r="K268" s="37" t="str">
        <f aca="false">IF(E268="","",E268/FatGoal)</f>
        <v/>
      </c>
      <c r="L268" s="37" t="str">
        <f aca="false">IF(F268="","",F268/FiberGoal)</f>
        <v/>
      </c>
      <c r="M268" s="37" t="str">
        <f aca="false">IF(G268="","",G268/WaterGoal)</f>
        <v/>
      </c>
    </row>
    <row r="269" customFormat="false" ht="15" hidden="false" customHeight="false" outlineLevel="0" collapsed="false">
      <c r="A269" s="26" t="n">
        <f aca="false">'Daily Tracker'!A269</f>
        <v>46287</v>
      </c>
      <c r="B269" s="28"/>
      <c r="C269" s="28"/>
      <c r="D269" s="28"/>
      <c r="E269" s="28"/>
      <c r="F269" s="28"/>
      <c r="G269" s="47" t="str">
        <f aca="false">IF('Daily Tracker'!I269="","",'Daily Tracker'!I269)</f>
        <v/>
      </c>
      <c r="H269" s="33" t="str">
        <f aca="false">IF(B269="","",B269/CalorieGoal)</f>
        <v/>
      </c>
      <c r="I269" s="33" t="str">
        <f aca="false">IF(C269="","",C269/ProteinGoal)</f>
        <v/>
      </c>
      <c r="J269" s="33" t="str">
        <f aca="false">IF(D269="","",D269/CarbGoal)</f>
        <v/>
      </c>
      <c r="K269" s="33" t="str">
        <f aca="false">IF(E269="","",E269/FatGoal)</f>
        <v/>
      </c>
      <c r="L269" s="33" t="str">
        <f aca="false">IF(F269="","",F269/FiberGoal)</f>
        <v/>
      </c>
      <c r="M269" s="33" t="str">
        <f aca="false">IF(G269="","",G269/WaterGoal)</f>
        <v/>
      </c>
    </row>
    <row r="270" customFormat="false" ht="15" hidden="false" customHeight="false" outlineLevel="0" collapsed="false">
      <c r="A270" s="35" t="n">
        <f aca="false">'Daily Tracker'!A270</f>
        <v>46288</v>
      </c>
      <c r="B270" s="28"/>
      <c r="C270" s="28"/>
      <c r="D270" s="28"/>
      <c r="E270" s="28"/>
      <c r="F270" s="28"/>
      <c r="G270" s="48" t="str">
        <f aca="false">IF('Daily Tracker'!I270="","",'Daily Tracker'!I270)</f>
        <v/>
      </c>
      <c r="H270" s="37" t="str">
        <f aca="false">IF(B270="","",B270/CalorieGoal)</f>
        <v/>
      </c>
      <c r="I270" s="37" t="str">
        <f aca="false">IF(C270="","",C270/ProteinGoal)</f>
        <v/>
      </c>
      <c r="J270" s="37" t="str">
        <f aca="false">IF(D270="","",D270/CarbGoal)</f>
        <v/>
      </c>
      <c r="K270" s="37" t="str">
        <f aca="false">IF(E270="","",E270/FatGoal)</f>
        <v/>
      </c>
      <c r="L270" s="37" t="str">
        <f aca="false">IF(F270="","",F270/FiberGoal)</f>
        <v/>
      </c>
      <c r="M270" s="37" t="str">
        <f aca="false">IF(G270="","",G270/WaterGoal)</f>
        <v/>
      </c>
    </row>
    <row r="271" customFormat="false" ht="15" hidden="false" customHeight="false" outlineLevel="0" collapsed="false">
      <c r="A271" s="26" t="n">
        <f aca="false">'Daily Tracker'!A271</f>
        <v>46289</v>
      </c>
      <c r="B271" s="28"/>
      <c r="C271" s="28"/>
      <c r="D271" s="28"/>
      <c r="E271" s="28"/>
      <c r="F271" s="28"/>
      <c r="G271" s="47" t="str">
        <f aca="false">IF('Daily Tracker'!I271="","",'Daily Tracker'!I271)</f>
        <v/>
      </c>
      <c r="H271" s="33" t="str">
        <f aca="false">IF(B271="","",B271/CalorieGoal)</f>
        <v/>
      </c>
      <c r="I271" s="33" t="str">
        <f aca="false">IF(C271="","",C271/ProteinGoal)</f>
        <v/>
      </c>
      <c r="J271" s="33" t="str">
        <f aca="false">IF(D271="","",D271/CarbGoal)</f>
        <v/>
      </c>
      <c r="K271" s="33" t="str">
        <f aca="false">IF(E271="","",E271/FatGoal)</f>
        <v/>
      </c>
      <c r="L271" s="33" t="str">
        <f aca="false">IF(F271="","",F271/FiberGoal)</f>
        <v/>
      </c>
      <c r="M271" s="33" t="str">
        <f aca="false">IF(G271="","",G271/WaterGoal)</f>
        <v/>
      </c>
    </row>
    <row r="272" customFormat="false" ht="15" hidden="false" customHeight="false" outlineLevel="0" collapsed="false">
      <c r="A272" s="35" t="n">
        <f aca="false">'Daily Tracker'!A272</f>
        <v>46290</v>
      </c>
      <c r="B272" s="28"/>
      <c r="C272" s="28"/>
      <c r="D272" s="28"/>
      <c r="E272" s="28"/>
      <c r="F272" s="28"/>
      <c r="G272" s="48" t="str">
        <f aca="false">IF('Daily Tracker'!I272="","",'Daily Tracker'!I272)</f>
        <v/>
      </c>
      <c r="H272" s="37" t="str">
        <f aca="false">IF(B272="","",B272/CalorieGoal)</f>
        <v/>
      </c>
      <c r="I272" s="37" t="str">
        <f aca="false">IF(C272="","",C272/ProteinGoal)</f>
        <v/>
      </c>
      <c r="J272" s="37" t="str">
        <f aca="false">IF(D272="","",D272/CarbGoal)</f>
        <v/>
      </c>
      <c r="K272" s="37" t="str">
        <f aca="false">IF(E272="","",E272/FatGoal)</f>
        <v/>
      </c>
      <c r="L272" s="37" t="str">
        <f aca="false">IF(F272="","",F272/FiberGoal)</f>
        <v/>
      </c>
      <c r="M272" s="37" t="str">
        <f aca="false">IF(G272="","",G272/WaterGoal)</f>
        <v/>
      </c>
    </row>
    <row r="273" customFormat="false" ht="15" hidden="false" customHeight="false" outlineLevel="0" collapsed="false">
      <c r="A273" s="26" t="n">
        <f aca="false">'Daily Tracker'!A273</f>
        <v>46291</v>
      </c>
      <c r="B273" s="28"/>
      <c r="C273" s="28"/>
      <c r="D273" s="28"/>
      <c r="E273" s="28"/>
      <c r="F273" s="28"/>
      <c r="G273" s="47" t="str">
        <f aca="false">IF('Daily Tracker'!I273="","",'Daily Tracker'!I273)</f>
        <v/>
      </c>
      <c r="H273" s="33" t="str">
        <f aca="false">IF(B273="","",B273/CalorieGoal)</f>
        <v/>
      </c>
      <c r="I273" s="33" t="str">
        <f aca="false">IF(C273="","",C273/ProteinGoal)</f>
        <v/>
      </c>
      <c r="J273" s="33" t="str">
        <f aca="false">IF(D273="","",D273/CarbGoal)</f>
        <v/>
      </c>
      <c r="K273" s="33" t="str">
        <f aca="false">IF(E273="","",E273/FatGoal)</f>
        <v/>
      </c>
      <c r="L273" s="33" t="str">
        <f aca="false">IF(F273="","",F273/FiberGoal)</f>
        <v/>
      </c>
      <c r="M273" s="33" t="str">
        <f aca="false">IF(G273="","",G273/WaterGoal)</f>
        <v/>
      </c>
    </row>
    <row r="274" customFormat="false" ht="15" hidden="false" customHeight="false" outlineLevel="0" collapsed="false">
      <c r="A274" s="35" t="n">
        <f aca="false">'Daily Tracker'!A274</f>
        <v>46292</v>
      </c>
      <c r="B274" s="28"/>
      <c r="C274" s="28"/>
      <c r="D274" s="28"/>
      <c r="E274" s="28"/>
      <c r="F274" s="28"/>
      <c r="G274" s="48" t="str">
        <f aca="false">IF('Daily Tracker'!I274="","",'Daily Tracker'!I274)</f>
        <v/>
      </c>
      <c r="H274" s="37" t="str">
        <f aca="false">IF(B274="","",B274/CalorieGoal)</f>
        <v/>
      </c>
      <c r="I274" s="37" t="str">
        <f aca="false">IF(C274="","",C274/ProteinGoal)</f>
        <v/>
      </c>
      <c r="J274" s="37" t="str">
        <f aca="false">IF(D274="","",D274/CarbGoal)</f>
        <v/>
      </c>
      <c r="K274" s="37" t="str">
        <f aca="false">IF(E274="","",E274/FatGoal)</f>
        <v/>
      </c>
      <c r="L274" s="37" t="str">
        <f aca="false">IF(F274="","",F274/FiberGoal)</f>
        <v/>
      </c>
      <c r="M274" s="37" t="str">
        <f aca="false">IF(G274="","",G274/WaterGoal)</f>
        <v/>
      </c>
    </row>
    <row r="275" customFormat="false" ht="15" hidden="false" customHeight="false" outlineLevel="0" collapsed="false">
      <c r="A275" s="26" t="n">
        <f aca="false">'Daily Tracker'!A275</f>
        <v>46293</v>
      </c>
      <c r="B275" s="28"/>
      <c r="C275" s="28"/>
      <c r="D275" s="28"/>
      <c r="E275" s="28"/>
      <c r="F275" s="28"/>
      <c r="G275" s="47" t="str">
        <f aca="false">IF('Daily Tracker'!I275="","",'Daily Tracker'!I275)</f>
        <v/>
      </c>
      <c r="H275" s="33" t="str">
        <f aca="false">IF(B275="","",B275/CalorieGoal)</f>
        <v/>
      </c>
      <c r="I275" s="33" t="str">
        <f aca="false">IF(C275="","",C275/ProteinGoal)</f>
        <v/>
      </c>
      <c r="J275" s="33" t="str">
        <f aca="false">IF(D275="","",D275/CarbGoal)</f>
        <v/>
      </c>
      <c r="K275" s="33" t="str">
        <f aca="false">IF(E275="","",E275/FatGoal)</f>
        <v/>
      </c>
      <c r="L275" s="33" t="str">
        <f aca="false">IF(F275="","",F275/FiberGoal)</f>
        <v/>
      </c>
      <c r="M275" s="33" t="str">
        <f aca="false">IF(G275="","",G275/WaterGoal)</f>
        <v/>
      </c>
    </row>
    <row r="276" customFormat="false" ht="15" hidden="false" customHeight="false" outlineLevel="0" collapsed="false">
      <c r="A276" s="35" t="n">
        <f aca="false">'Daily Tracker'!A276</f>
        <v>46294</v>
      </c>
      <c r="B276" s="28"/>
      <c r="C276" s="28"/>
      <c r="D276" s="28"/>
      <c r="E276" s="28"/>
      <c r="F276" s="28"/>
      <c r="G276" s="48" t="str">
        <f aca="false">IF('Daily Tracker'!I276="","",'Daily Tracker'!I276)</f>
        <v/>
      </c>
      <c r="H276" s="37" t="str">
        <f aca="false">IF(B276="","",B276/CalorieGoal)</f>
        <v/>
      </c>
      <c r="I276" s="37" t="str">
        <f aca="false">IF(C276="","",C276/ProteinGoal)</f>
        <v/>
      </c>
      <c r="J276" s="37" t="str">
        <f aca="false">IF(D276="","",D276/CarbGoal)</f>
        <v/>
      </c>
      <c r="K276" s="37" t="str">
        <f aca="false">IF(E276="","",E276/FatGoal)</f>
        <v/>
      </c>
      <c r="L276" s="37" t="str">
        <f aca="false">IF(F276="","",F276/FiberGoal)</f>
        <v/>
      </c>
      <c r="M276" s="37" t="str">
        <f aca="false">IF(G276="","",G276/WaterGoal)</f>
        <v/>
      </c>
    </row>
    <row r="277" customFormat="false" ht="15" hidden="false" customHeight="false" outlineLevel="0" collapsed="false">
      <c r="A277" s="26" t="n">
        <f aca="false">'Daily Tracker'!A277</f>
        <v>46295</v>
      </c>
      <c r="B277" s="28"/>
      <c r="C277" s="28"/>
      <c r="D277" s="28"/>
      <c r="E277" s="28"/>
      <c r="F277" s="28"/>
      <c r="G277" s="47" t="str">
        <f aca="false">IF('Daily Tracker'!I277="","",'Daily Tracker'!I277)</f>
        <v/>
      </c>
      <c r="H277" s="33" t="str">
        <f aca="false">IF(B277="","",B277/CalorieGoal)</f>
        <v/>
      </c>
      <c r="I277" s="33" t="str">
        <f aca="false">IF(C277="","",C277/ProteinGoal)</f>
        <v/>
      </c>
      <c r="J277" s="33" t="str">
        <f aca="false">IF(D277="","",D277/CarbGoal)</f>
        <v/>
      </c>
      <c r="K277" s="33" t="str">
        <f aca="false">IF(E277="","",E277/FatGoal)</f>
        <v/>
      </c>
      <c r="L277" s="33" t="str">
        <f aca="false">IF(F277="","",F277/FiberGoal)</f>
        <v/>
      </c>
      <c r="M277" s="33" t="str">
        <f aca="false">IF(G277="","",G277/WaterGoal)</f>
        <v/>
      </c>
    </row>
    <row r="278" customFormat="false" ht="15" hidden="false" customHeight="false" outlineLevel="0" collapsed="false">
      <c r="A278" s="35" t="n">
        <f aca="false">'Daily Tracker'!A278</f>
        <v>46296</v>
      </c>
      <c r="B278" s="28"/>
      <c r="C278" s="28"/>
      <c r="D278" s="28"/>
      <c r="E278" s="28"/>
      <c r="F278" s="28"/>
      <c r="G278" s="48" t="str">
        <f aca="false">IF('Daily Tracker'!I278="","",'Daily Tracker'!I278)</f>
        <v/>
      </c>
      <c r="H278" s="37" t="str">
        <f aca="false">IF(B278="","",B278/CalorieGoal)</f>
        <v/>
      </c>
      <c r="I278" s="37" t="str">
        <f aca="false">IF(C278="","",C278/ProteinGoal)</f>
        <v/>
      </c>
      <c r="J278" s="37" t="str">
        <f aca="false">IF(D278="","",D278/CarbGoal)</f>
        <v/>
      </c>
      <c r="K278" s="37" t="str">
        <f aca="false">IF(E278="","",E278/FatGoal)</f>
        <v/>
      </c>
      <c r="L278" s="37" t="str">
        <f aca="false">IF(F278="","",F278/FiberGoal)</f>
        <v/>
      </c>
      <c r="M278" s="37" t="str">
        <f aca="false">IF(G278="","",G278/WaterGoal)</f>
        <v/>
      </c>
    </row>
    <row r="279" customFormat="false" ht="15" hidden="false" customHeight="false" outlineLevel="0" collapsed="false">
      <c r="A279" s="26" t="n">
        <f aca="false">'Daily Tracker'!A279</f>
        <v>46297</v>
      </c>
      <c r="B279" s="28"/>
      <c r="C279" s="28"/>
      <c r="D279" s="28"/>
      <c r="E279" s="28"/>
      <c r="F279" s="28"/>
      <c r="G279" s="47" t="str">
        <f aca="false">IF('Daily Tracker'!I279="","",'Daily Tracker'!I279)</f>
        <v/>
      </c>
      <c r="H279" s="33" t="str">
        <f aca="false">IF(B279="","",B279/CalorieGoal)</f>
        <v/>
      </c>
      <c r="I279" s="33" t="str">
        <f aca="false">IF(C279="","",C279/ProteinGoal)</f>
        <v/>
      </c>
      <c r="J279" s="33" t="str">
        <f aca="false">IF(D279="","",D279/CarbGoal)</f>
        <v/>
      </c>
      <c r="K279" s="33" t="str">
        <f aca="false">IF(E279="","",E279/FatGoal)</f>
        <v/>
      </c>
      <c r="L279" s="33" t="str">
        <f aca="false">IF(F279="","",F279/FiberGoal)</f>
        <v/>
      </c>
      <c r="M279" s="33" t="str">
        <f aca="false">IF(G279="","",G279/WaterGoal)</f>
        <v/>
      </c>
    </row>
    <row r="280" customFormat="false" ht="15" hidden="false" customHeight="false" outlineLevel="0" collapsed="false">
      <c r="A280" s="35" t="n">
        <f aca="false">'Daily Tracker'!A280</f>
        <v>46298</v>
      </c>
      <c r="B280" s="28"/>
      <c r="C280" s="28"/>
      <c r="D280" s="28"/>
      <c r="E280" s="28"/>
      <c r="F280" s="28"/>
      <c r="G280" s="48" t="str">
        <f aca="false">IF('Daily Tracker'!I280="","",'Daily Tracker'!I280)</f>
        <v/>
      </c>
      <c r="H280" s="37" t="str">
        <f aca="false">IF(B280="","",B280/CalorieGoal)</f>
        <v/>
      </c>
      <c r="I280" s="37" t="str">
        <f aca="false">IF(C280="","",C280/ProteinGoal)</f>
        <v/>
      </c>
      <c r="J280" s="37" t="str">
        <f aca="false">IF(D280="","",D280/CarbGoal)</f>
        <v/>
      </c>
      <c r="K280" s="37" t="str">
        <f aca="false">IF(E280="","",E280/FatGoal)</f>
        <v/>
      </c>
      <c r="L280" s="37" t="str">
        <f aca="false">IF(F280="","",F280/FiberGoal)</f>
        <v/>
      </c>
      <c r="M280" s="37" t="str">
        <f aca="false">IF(G280="","",G280/WaterGoal)</f>
        <v/>
      </c>
    </row>
    <row r="281" customFormat="false" ht="15" hidden="false" customHeight="false" outlineLevel="0" collapsed="false">
      <c r="A281" s="26" t="n">
        <f aca="false">'Daily Tracker'!A281</f>
        <v>46299</v>
      </c>
      <c r="B281" s="28"/>
      <c r="C281" s="28"/>
      <c r="D281" s="28"/>
      <c r="E281" s="28"/>
      <c r="F281" s="28"/>
      <c r="G281" s="47" t="str">
        <f aca="false">IF('Daily Tracker'!I281="","",'Daily Tracker'!I281)</f>
        <v/>
      </c>
      <c r="H281" s="33" t="str">
        <f aca="false">IF(B281="","",B281/CalorieGoal)</f>
        <v/>
      </c>
      <c r="I281" s="33" t="str">
        <f aca="false">IF(C281="","",C281/ProteinGoal)</f>
        <v/>
      </c>
      <c r="J281" s="33" t="str">
        <f aca="false">IF(D281="","",D281/CarbGoal)</f>
        <v/>
      </c>
      <c r="K281" s="33" t="str">
        <f aca="false">IF(E281="","",E281/FatGoal)</f>
        <v/>
      </c>
      <c r="L281" s="33" t="str">
        <f aca="false">IF(F281="","",F281/FiberGoal)</f>
        <v/>
      </c>
      <c r="M281" s="33" t="str">
        <f aca="false">IF(G281="","",G281/WaterGoal)</f>
        <v/>
      </c>
    </row>
    <row r="282" customFormat="false" ht="15" hidden="false" customHeight="false" outlineLevel="0" collapsed="false">
      <c r="A282" s="35" t="n">
        <f aca="false">'Daily Tracker'!A282</f>
        <v>46300</v>
      </c>
      <c r="B282" s="28"/>
      <c r="C282" s="28"/>
      <c r="D282" s="28"/>
      <c r="E282" s="28"/>
      <c r="F282" s="28"/>
      <c r="G282" s="48" t="str">
        <f aca="false">IF('Daily Tracker'!I282="","",'Daily Tracker'!I282)</f>
        <v/>
      </c>
      <c r="H282" s="37" t="str">
        <f aca="false">IF(B282="","",B282/CalorieGoal)</f>
        <v/>
      </c>
      <c r="I282" s="37" t="str">
        <f aca="false">IF(C282="","",C282/ProteinGoal)</f>
        <v/>
      </c>
      <c r="J282" s="37" t="str">
        <f aca="false">IF(D282="","",D282/CarbGoal)</f>
        <v/>
      </c>
      <c r="K282" s="37" t="str">
        <f aca="false">IF(E282="","",E282/FatGoal)</f>
        <v/>
      </c>
      <c r="L282" s="37" t="str">
        <f aca="false">IF(F282="","",F282/FiberGoal)</f>
        <v/>
      </c>
      <c r="M282" s="37" t="str">
        <f aca="false">IF(G282="","",G282/WaterGoal)</f>
        <v/>
      </c>
    </row>
    <row r="283" customFormat="false" ht="15" hidden="false" customHeight="false" outlineLevel="0" collapsed="false">
      <c r="A283" s="26" t="n">
        <f aca="false">'Daily Tracker'!A283</f>
        <v>46301</v>
      </c>
      <c r="B283" s="28"/>
      <c r="C283" s="28"/>
      <c r="D283" s="28"/>
      <c r="E283" s="28"/>
      <c r="F283" s="28"/>
      <c r="G283" s="47" t="str">
        <f aca="false">IF('Daily Tracker'!I283="","",'Daily Tracker'!I283)</f>
        <v/>
      </c>
      <c r="H283" s="33" t="str">
        <f aca="false">IF(B283="","",B283/CalorieGoal)</f>
        <v/>
      </c>
      <c r="I283" s="33" t="str">
        <f aca="false">IF(C283="","",C283/ProteinGoal)</f>
        <v/>
      </c>
      <c r="J283" s="33" t="str">
        <f aca="false">IF(D283="","",D283/CarbGoal)</f>
        <v/>
      </c>
      <c r="K283" s="33" t="str">
        <f aca="false">IF(E283="","",E283/FatGoal)</f>
        <v/>
      </c>
      <c r="L283" s="33" t="str">
        <f aca="false">IF(F283="","",F283/FiberGoal)</f>
        <v/>
      </c>
      <c r="M283" s="33" t="str">
        <f aca="false">IF(G283="","",G283/WaterGoal)</f>
        <v/>
      </c>
    </row>
    <row r="284" customFormat="false" ht="15" hidden="false" customHeight="false" outlineLevel="0" collapsed="false">
      <c r="A284" s="35" t="n">
        <f aca="false">'Daily Tracker'!A284</f>
        <v>46302</v>
      </c>
      <c r="B284" s="28"/>
      <c r="C284" s="28"/>
      <c r="D284" s="28"/>
      <c r="E284" s="28"/>
      <c r="F284" s="28"/>
      <c r="G284" s="48" t="str">
        <f aca="false">IF('Daily Tracker'!I284="","",'Daily Tracker'!I284)</f>
        <v/>
      </c>
      <c r="H284" s="37" t="str">
        <f aca="false">IF(B284="","",B284/CalorieGoal)</f>
        <v/>
      </c>
      <c r="I284" s="37" t="str">
        <f aca="false">IF(C284="","",C284/ProteinGoal)</f>
        <v/>
      </c>
      <c r="J284" s="37" t="str">
        <f aca="false">IF(D284="","",D284/CarbGoal)</f>
        <v/>
      </c>
      <c r="K284" s="37" t="str">
        <f aca="false">IF(E284="","",E284/FatGoal)</f>
        <v/>
      </c>
      <c r="L284" s="37" t="str">
        <f aca="false">IF(F284="","",F284/FiberGoal)</f>
        <v/>
      </c>
      <c r="M284" s="37" t="str">
        <f aca="false">IF(G284="","",G284/WaterGoal)</f>
        <v/>
      </c>
    </row>
    <row r="285" customFormat="false" ht="15" hidden="false" customHeight="false" outlineLevel="0" collapsed="false">
      <c r="A285" s="26" t="n">
        <f aca="false">'Daily Tracker'!A285</f>
        <v>46303</v>
      </c>
      <c r="B285" s="28"/>
      <c r="C285" s="28"/>
      <c r="D285" s="28"/>
      <c r="E285" s="28"/>
      <c r="F285" s="28"/>
      <c r="G285" s="47" t="str">
        <f aca="false">IF('Daily Tracker'!I285="","",'Daily Tracker'!I285)</f>
        <v/>
      </c>
      <c r="H285" s="33" t="str">
        <f aca="false">IF(B285="","",B285/CalorieGoal)</f>
        <v/>
      </c>
      <c r="I285" s="33" t="str">
        <f aca="false">IF(C285="","",C285/ProteinGoal)</f>
        <v/>
      </c>
      <c r="J285" s="33" t="str">
        <f aca="false">IF(D285="","",D285/CarbGoal)</f>
        <v/>
      </c>
      <c r="K285" s="33" t="str">
        <f aca="false">IF(E285="","",E285/FatGoal)</f>
        <v/>
      </c>
      <c r="L285" s="33" t="str">
        <f aca="false">IF(F285="","",F285/FiberGoal)</f>
        <v/>
      </c>
      <c r="M285" s="33" t="str">
        <f aca="false">IF(G285="","",G285/WaterGoal)</f>
        <v/>
      </c>
    </row>
    <row r="286" customFormat="false" ht="15" hidden="false" customHeight="false" outlineLevel="0" collapsed="false">
      <c r="A286" s="35" t="n">
        <f aca="false">'Daily Tracker'!A286</f>
        <v>46304</v>
      </c>
      <c r="B286" s="28"/>
      <c r="C286" s="28"/>
      <c r="D286" s="28"/>
      <c r="E286" s="28"/>
      <c r="F286" s="28"/>
      <c r="G286" s="48" t="str">
        <f aca="false">IF('Daily Tracker'!I286="","",'Daily Tracker'!I286)</f>
        <v/>
      </c>
      <c r="H286" s="37" t="str">
        <f aca="false">IF(B286="","",B286/CalorieGoal)</f>
        <v/>
      </c>
      <c r="I286" s="37" t="str">
        <f aca="false">IF(C286="","",C286/ProteinGoal)</f>
        <v/>
      </c>
      <c r="J286" s="37" t="str">
        <f aca="false">IF(D286="","",D286/CarbGoal)</f>
        <v/>
      </c>
      <c r="K286" s="37" t="str">
        <f aca="false">IF(E286="","",E286/FatGoal)</f>
        <v/>
      </c>
      <c r="L286" s="37" t="str">
        <f aca="false">IF(F286="","",F286/FiberGoal)</f>
        <v/>
      </c>
      <c r="M286" s="37" t="str">
        <f aca="false">IF(G286="","",G286/WaterGoal)</f>
        <v/>
      </c>
    </row>
    <row r="287" customFormat="false" ht="15" hidden="false" customHeight="false" outlineLevel="0" collapsed="false">
      <c r="A287" s="26" t="n">
        <f aca="false">'Daily Tracker'!A287</f>
        <v>46305</v>
      </c>
      <c r="B287" s="28"/>
      <c r="C287" s="28"/>
      <c r="D287" s="28"/>
      <c r="E287" s="28"/>
      <c r="F287" s="28"/>
      <c r="G287" s="47" t="str">
        <f aca="false">IF('Daily Tracker'!I287="","",'Daily Tracker'!I287)</f>
        <v/>
      </c>
      <c r="H287" s="33" t="str">
        <f aca="false">IF(B287="","",B287/CalorieGoal)</f>
        <v/>
      </c>
      <c r="I287" s="33" t="str">
        <f aca="false">IF(C287="","",C287/ProteinGoal)</f>
        <v/>
      </c>
      <c r="J287" s="33" t="str">
        <f aca="false">IF(D287="","",D287/CarbGoal)</f>
        <v/>
      </c>
      <c r="K287" s="33" t="str">
        <f aca="false">IF(E287="","",E287/FatGoal)</f>
        <v/>
      </c>
      <c r="L287" s="33" t="str">
        <f aca="false">IF(F287="","",F287/FiberGoal)</f>
        <v/>
      </c>
      <c r="M287" s="33" t="str">
        <f aca="false">IF(G287="","",G287/WaterGoal)</f>
        <v/>
      </c>
    </row>
    <row r="288" customFormat="false" ht="15" hidden="false" customHeight="false" outlineLevel="0" collapsed="false">
      <c r="A288" s="35" t="n">
        <f aca="false">'Daily Tracker'!A288</f>
        <v>46306</v>
      </c>
      <c r="B288" s="28"/>
      <c r="C288" s="28"/>
      <c r="D288" s="28"/>
      <c r="E288" s="28"/>
      <c r="F288" s="28"/>
      <c r="G288" s="48" t="str">
        <f aca="false">IF('Daily Tracker'!I288="","",'Daily Tracker'!I288)</f>
        <v/>
      </c>
      <c r="H288" s="37" t="str">
        <f aca="false">IF(B288="","",B288/CalorieGoal)</f>
        <v/>
      </c>
      <c r="I288" s="37" t="str">
        <f aca="false">IF(C288="","",C288/ProteinGoal)</f>
        <v/>
      </c>
      <c r="J288" s="37" t="str">
        <f aca="false">IF(D288="","",D288/CarbGoal)</f>
        <v/>
      </c>
      <c r="K288" s="37" t="str">
        <f aca="false">IF(E288="","",E288/FatGoal)</f>
        <v/>
      </c>
      <c r="L288" s="37" t="str">
        <f aca="false">IF(F288="","",F288/FiberGoal)</f>
        <v/>
      </c>
      <c r="M288" s="37" t="str">
        <f aca="false">IF(G288="","",G288/WaterGoal)</f>
        <v/>
      </c>
    </row>
    <row r="289" customFormat="false" ht="15" hidden="false" customHeight="false" outlineLevel="0" collapsed="false">
      <c r="A289" s="26" t="n">
        <f aca="false">'Daily Tracker'!A289</f>
        <v>46307</v>
      </c>
      <c r="B289" s="28"/>
      <c r="C289" s="28"/>
      <c r="D289" s="28"/>
      <c r="E289" s="28"/>
      <c r="F289" s="28"/>
      <c r="G289" s="47" t="str">
        <f aca="false">IF('Daily Tracker'!I289="","",'Daily Tracker'!I289)</f>
        <v/>
      </c>
      <c r="H289" s="33" t="str">
        <f aca="false">IF(B289="","",B289/CalorieGoal)</f>
        <v/>
      </c>
      <c r="I289" s="33" t="str">
        <f aca="false">IF(C289="","",C289/ProteinGoal)</f>
        <v/>
      </c>
      <c r="J289" s="33" t="str">
        <f aca="false">IF(D289="","",D289/CarbGoal)</f>
        <v/>
      </c>
      <c r="K289" s="33" t="str">
        <f aca="false">IF(E289="","",E289/FatGoal)</f>
        <v/>
      </c>
      <c r="L289" s="33" t="str">
        <f aca="false">IF(F289="","",F289/FiberGoal)</f>
        <v/>
      </c>
      <c r="M289" s="33" t="str">
        <f aca="false">IF(G289="","",G289/WaterGoal)</f>
        <v/>
      </c>
    </row>
    <row r="290" customFormat="false" ht="15" hidden="false" customHeight="false" outlineLevel="0" collapsed="false">
      <c r="A290" s="35" t="n">
        <f aca="false">'Daily Tracker'!A290</f>
        <v>46308</v>
      </c>
      <c r="B290" s="28"/>
      <c r="C290" s="28"/>
      <c r="D290" s="28"/>
      <c r="E290" s="28"/>
      <c r="F290" s="28"/>
      <c r="G290" s="48" t="str">
        <f aca="false">IF('Daily Tracker'!I290="","",'Daily Tracker'!I290)</f>
        <v/>
      </c>
      <c r="H290" s="37" t="str">
        <f aca="false">IF(B290="","",B290/CalorieGoal)</f>
        <v/>
      </c>
      <c r="I290" s="37" t="str">
        <f aca="false">IF(C290="","",C290/ProteinGoal)</f>
        <v/>
      </c>
      <c r="J290" s="37" t="str">
        <f aca="false">IF(D290="","",D290/CarbGoal)</f>
        <v/>
      </c>
      <c r="K290" s="37" t="str">
        <f aca="false">IF(E290="","",E290/FatGoal)</f>
        <v/>
      </c>
      <c r="L290" s="37" t="str">
        <f aca="false">IF(F290="","",F290/FiberGoal)</f>
        <v/>
      </c>
      <c r="M290" s="37" t="str">
        <f aca="false">IF(G290="","",G290/WaterGoal)</f>
        <v/>
      </c>
    </row>
    <row r="291" customFormat="false" ht="15" hidden="false" customHeight="false" outlineLevel="0" collapsed="false">
      <c r="A291" s="26" t="n">
        <f aca="false">'Daily Tracker'!A291</f>
        <v>46309</v>
      </c>
      <c r="B291" s="28"/>
      <c r="C291" s="28"/>
      <c r="D291" s="28"/>
      <c r="E291" s="28"/>
      <c r="F291" s="28"/>
      <c r="G291" s="47" t="str">
        <f aca="false">IF('Daily Tracker'!I291="","",'Daily Tracker'!I291)</f>
        <v/>
      </c>
      <c r="H291" s="33" t="str">
        <f aca="false">IF(B291="","",B291/CalorieGoal)</f>
        <v/>
      </c>
      <c r="I291" s="33" t="str">
        <f aca="false">IF(C291="","",C291/ProteinGoal)</f>
        <v/>
      </c>
      <c r="J291" s="33" t="str">
        <f aca="false">IF(D291="","",D291/CarbGoal)</f>
        <v/>
      </c>
      <c r="K291" s="33" t="str">
        <f aca="false">IF(E291="","",E291/FatGoal)</f>
        <v/>
      </c>
      <c r="L291" s="33" t="str">
        <f aca="false">IF(F291="","",F291/FiberGoal)</f>
        <v/>
      </c>
      <c r="M291" s="33" t="str">
        <f aca="false">IF(G291="","",G291/WaterGoal)</f>
        <v/>
      </c>
    </row>
    <row r="292" customFormat="false" ht="15" hidden="false" customHeight="false" outlineLevel="0" collapsed="false">
      <c r="A292" s="35" t="n">
        <f aca="false">'Daily Tracker'!A292</f>
        <v>46310</v>
      </c>
      <c r="B292" s="28"/>
      <c r="C292" s="28"/>
      <c r="D292" s="28"/>
      <c r="E292" s="28"/>
      <c r="F292" s="28"/>
      <c r="G292" s="48" t="str">
        <f aca="false">IF('Daily Tracker'!I292="","",'Daily Tracker'!I292)</f>
        <v/>
      </c>
      <c r="H292" s="37" t="str">
        <f aca="false">IF(B292="","",B292/CalorieGoal)</f>
        <v/>
      </c>
      <c r="I292" s="37" t="str">
        <f aca="false">IF(C292="","",C292/ProteinGoal)</f>
        <v/>
      </c>
      <c r="J292" s="37" t="str">
        <f aca="false">IF(D292="","",D292/CarbGoal)</f>
        <v/>
      </c>
      <c r="K292" s="37" t="str">
        <f aca="false">IF(E292="","",E292/FatGoal)</f>
        <v/>
      </c>
      <c r="L292" s="37" t="str">
        <f aca="false">IF(F292="","",F292/FiberGoal)</f>
        <v/>
      </c>
      <c r="M292" s="37" t="str">
        <f aca="false">IF(G292="","",G292/WaterGoal)</f>
        <v/>
      </c>
    </row>
    <row r="293" customFormat="false" ht="15" hidden="false" customHeight="false" outlineLevel="0" collapsed="false">
      <c r="A293" s="26" t="n">
        <f aca="false">'Daily Tracker'!A293</f>
        <v>46311</v>
      </c>
      <c r="B293" s="28"/>
      <c r="C293" s="28"/>
      <c r="D293" s="28"/>
      <c r="E293" s="28"/>
      <c r="F293" s="28"/>
      <c r="G293" s="47" t="str">
        <f aca="false">IF('Daily Tracker'!I293="","",'Daily Tracker'!I293)</f>
        <v/>
      </c>
      <c r="H293" s="33" t="str">
        <f aca="false">IF(B293="","",B293/CalorieGoal)</f>
        <v/>
      </c>
      <c r="I293" s="33" t="str">
        <f aca="false">IF(C293="","",C293/ProteinGoal)</f>
        <v/>
      </c>
      <c r="J293" s="33" t="str">
        <f aca="false">IF(D293="","",D293/CarbGoal)</f>
        <v/>
      </c>
      <c r="K293" s="33" t="str">
        <f aca="false">IF(E293="","",E293/FatGoal)</f>
        <v/>
      </c>
      <c r="L293" s="33" t="str">
        <f aca="false">IF(F293="","",F293/FiberGoal)</f>
        <v/>
      </c>
      <c r="M293" s="33" t="str">
        <f aca="false">IF(G293="","",G293/WaterGoal)</f>
        <v/>
      </c>
    </row>
    <row r="294" customFormat="false" ht="15" hidden="false" customHeight="false" outlineLevel="0" collapsed="false">
      <c r="A294" s="35" t="n">
        <f aca="false">'Daily Tracker'!A294</f>
        <v>46312</v>
      </c>
      <c r="B294" s="28"/>
      <c r="C294" s="28"/>
      <c r="D294" s="28"/>
      <c r="E294" s="28"/>
      <c r="F294" s="28"/>
      <c r="G294" s="48" t="str">
        <f aca="false">IF('Daily Tracker'!I294="","",'Daily Tracker'!I294)</f>
        <v/>
      </c>
      <c r="H294" s="37" t="str">
        <f aca="false">IF(B294="","",B294/CalorieGoal)</f>
        <v/>
      </c>
      <c r="I294" s="37" t="str">
        <f aca="false">IF(C294="","",C294/ProteinGoal)</f>
        <v/>
      </c>
      <c r="J294" s="37" t="str">
        <f aca="false">IF(D294="","",D294/CarbGoal)</f>
        <v/>
      </c>
      <c r="K294" s="37" t="str">
        <f aca="false">IF(E294="","",E294/FatGoal)</f>
        <v/>
      </c>
      <c r="L294" s="37" t="str">
        <f aca="false">IF(F294="","",F294/FiberGoal)</f>
        <v/>
      </c>
      <c r="M294" s="37" t="str">
        <f aca="false">IF(G294="","",G294/WaterGoal)</f>
        <v/>
      </c>
    </row>
    <row r="295" customFormat="false" ht="15" hidden="false" customHeight="false" outlineLevel="0" collapsed="false">
      <c r="A295" s="26" t="n">
        <f aca="false">'Daily Tracker'!A295</f>
        <v>46313</v>
      </c>
      <c r="B295" s="28"/>
      <c r="C295" s="28"/>
      <c r="D295" s="28"/>
      <c r="E295" s="28"/>
      <c r="F295" s="28"/>
      <c r="G295" s="47" t="str">
        <f aca="false">IF('Daily Tracker'!I295="","",'Daily Tracker'!I295)</f>
        <v/>
      </c>
      <c r="H295" s="33" t="str">
        <f aca="false">IF(B295="","",B295/CalorieGoal)</f>
        <v/>
      </c>
      <c r="I295" s="33" t="str">
        <f aca="false">IF(C295="","",C295/ProteinGoal)</f>
        <v/>
      </c>
      <c r="J295" s="33" t="str">
        <f aca="false">IF(D295="","",D295/CarbGoal)</f>
        <v/>
      </c>
      <c r="K295" s="33" t="str">
        <f aca="false">IF(E295="","",E295/FatGoal)</f>
        <v/>
      </c>
      <c r="L295" s="33" t="str">
        <f aca="false">IF(F295="","",F295/FiberGoal)</f>
        <v/>
      </c>
      <c r="M295" s="33" t="str">
        <f aca="false">IF(G295="","",G295/WaterGoal)</f>
        <v/>
      </c>
    </row>
    <row r="296" customFormat="false" ht="15" hidden="false" customHeight="false" outlineLevel="0" collapsed="false">
      <c r="A296" s="35" t="n">
        <f aca="false">'Daily Tracker'!A296</f>
        <v>46314</v>
      </c>
      <c r="B296" s="28"/>
      <c r="C296" s="28"/>
      <c r="D296" s="28"/>
      <c r="E296" s="28"/>
      <c r="F296" s="28"/>
      <c r="G296" s="48" t="str">
        <f aca="false">IF('Daily Tracker'!I296="","",'Daily Tracker'!I296)</f>
        <v/>
      </c>
      <c r="H296" s="37" t="str">
        <f aca="false">IF(B296="","",B296/CalorieGoal)</f>
        <v/>
      </c>
      <c r="I296" s="37" t="str">
        <f aca="false">IF(C296="","",C296/ProteinGoal)</f>
        <v/>
      </c>
      <c r="J296" s="37" t="str">
        <f aca="false">IF(D296="","",D296/CarbGoal)</f>
        <v/>
      </c>
      <c r="K296" s="37" t="str">
        <f aca="false">IF(E296="","",E296/FatGoal)</f>
        <v/>
      </c>
      <c r="L296" s="37" t="str">
        <f aca="false">IF(F296="","",F296/FiberGoal)</f>
        <v/>
      </c>
      <c r="M296" s="37" t="str">
        <f aca="false">IF(G296="","",G296/WaterGoal)</f>
        <v/>
      </c>
    </row>
    <row r="297" customFormat="false" ht="15" hidden="false" customHeight="false" outlineLevel="0" collapsed="false">
      <c r="A297" s="26" t="n">
        <f aca="false">'Daily Tracker'!A297</f>
        <v>46315</v>
      </c>
      <c r="B297" s="28"/>
      <c r="C297" s="28"/>
      <c r="D297" s="28"/>
      <c r="E297" s="28"/>
      <c r="F297" s="28"/>
      <c r="G297" s="47" t="str">
        <f aca="false">IF('Daily Tracker'!I297="","",'Daily Tracker'!I297)</f>
        <v/>
      </c>
      <c r="H297" s="33" t="str">
        <f aca="false">IF(B297="","",B297/CalorieGoal)</f>
        <v/>
      </c>
      <c r="I297" s="33" t="str">
        <f aca="false">IF(C297="","",C297/ProteinGoal)</f>
        <v/>
      </c>
      <c r="J297" s="33" t="str">
        <f aca="false">IF(D297="","",D297/CarbGoal)</f>
        <v/>
      </c>
      <c r="K297" s="33" t="str">
        <f aca="false">IF(E297="","",E297/FatGoal)</f>
        <v/>
      </c>
      <c r="L297" s="33" t="str">
        <f aca="false">IF(F297="","",F297/FiberGoal)</f>
        <v/>
      </c>
      <c r="M297" s="33" t="str">
        <f aca="false">IF(G297="","",G297/WaterGoal)</f>
        <v/>
      </c>
    </row>
    <row r="298" customFormat="false" ht="15" hidden="false" customHeight="false" outlineLevel="0" collapsed="false">
      <c r="A298" s="35" t="n">
        <f aca="false">'Daily Tracker'!A298</f>
        <v>46316</v>
      </c>
      <c r="B298" s="28"/>
      <c r="C298" s="28"/>
      <c r="D298" s="28"/>
      <c r="E298" s="28"/>
      <c r="F298" s="28"/>
      <c r="G298" s="48" t="str">
        <f aca="false">IF('Daily Tracker'!I298="","",'Daily Tracker'!I298)</f>
        <v/>
      </c>
      <c r="H298" s="37" t="str">
        <f aca="false">IF(B298="","",B298/CalorieGoal)</f>
        <v/>
      </c>
      <c r="I298" s="37" t="str">
        <f aca="false">IF(C298="","",C298/ProteinGoal)</f>
        <v/>
      </c>
      <c r="J298" s="37" t="str">
        <f aca="false">IF(D298="","",D298/CarbGoal)</f>
        <v/>
      </c>
      <c r="K298" s="37" t="str">
        <f aca="false">IF(E298="","",E298/FatGoal)</f>
        <v/>
      </c>
      <c r="L298" s="37" t="str">
        <f aca="false">IF(F298="","",F298/FiberGoal)</f>
        <v/>
      </c>
      <c r="M298" s="37" t="str">
        <f aca="false">IF(G298="","",G298/WaterGoal)</f>
        <v/>
      </c>
    </row>
    <row r="299" customFormat="false" ht="15" hidden="false" customHeight="false" outlineLevel="0" collapsed="false">
      <c r="A299" s="26" t="n">
        <f aca="false">'Daily Tracker'!A299</f>
        <v>46317</v>
      </c>
      <c r="B299" s="28"/>
      <c r="C299" s="28"/>
      <c r="D299" s="28"/>
      <c r="E299" s="28"/>
      <c r="F299" s="28"/>
      <c r="G299" s="47" t="str">
        <f aca="false">IF('Daily Tracker'!I299="","",'Daily Tracker'!I299)</f>
        <v/>
      </c>
      <c r="H299" s="33" t="str">
        <f aca="false">IF(B299="","",B299/CalorieGoal)</f>
        <v/>
      </c>
      <c r="I299" s="33" t="str">
        <f aca="false">IF(C299="","",C299/ProteinGoal)</f>
        <v/>
      </c>
      <c r="J299" s="33" t="str">
        <f aca="false">IF(D299="","",D299/CarbGoal)</f>
        <v/>
      </c>
      <c r="K299" s="33" t="str">
        <f aca="false">IF(E299="","",E299/FatGoal)</f>
        <v/>
      </c>
      <c r="L299" s="33" t="str">
        <f aca="false">IF(F299="","",F299/FiberGoal)</f>
        <v/>
      </c>
      <c r="M299" s="33" t="str">
        <f aca="false">IF(G299="","",G299/WaterGoal)</f>
        <v/>
      </c>
    </row>
    <row r="300" customFormat="false" ht="15" hidden="false" customHeight="false" outlineLevel="0" collapsed="false">
      <c r="A300" s="35" t="n">
        <f aca="false">'Daily Tracker'!A300</f>
        <v>46318</v>
      </c>
      <c r="B300" s="28"/>
      <c r="C300" s="28"/>
      <c r="D300" s="28"/>
      <c r="E300" s="28"/>
      <c r="F300" s="28"/>
      <c r="G300" s="48" t="str">
        <f aca="false">IF('Daily Tracker'!I300="","",'Daily Tracker'!I300)</f>
        <v/>
      </c>
      <c r="H300" s="37" t="str">
        <f aca="false">IF(B300="","",B300/CalorieGoal)</f>
        <v/>
      </c>
      <c r="I300" s="37" t="str">
        <f aca="false">IF(C300="","",C300/ProteinGoal)</f>
        <v/>
      </c>
      <c r="J300" s="37" t="str">
        <f aca="false">IF(D300="","",D300/CarbGoal)</f>
        <v/>
      </c>
      <c r="K300" s="37" t="str">
        <f aca="false">IF(E300="","",E300/FatGoal)</f>
        <v/>
      </c>
      <c r="L300" s="37" t="str">
        <f aca="false">IF(F300="","",F300/FiberGoal)</f>
        <v/>
      </c>
      <c r="M300" s="37" t="str">
        <f aca="false">IF(G300="","",G300/WaterGoal)</f>
        <v/>
      </c>
    </row>
    <row r="301" customFormat="false" ht="15" hidden="false" customHeight="false" outlineLevel="0" collapsed="false">
      <c r="A301" s="26" t="n">
        <f aca="false">'Daily Tracker'!A301</f>
        <v>46319</v>
      </c>
      <c r="B301" s="28"/>
      <c r="C301" s="28"/>
      <c r="D301" s="28"/>
      <c r="E301" s="28"/>
      <c r="F301" s="28"/>
      <c r="G301" s="47" t="str">
        <f aca="false">IF('Daily Tracker'!I301="","",'Daily Tracker'!I301)</f>
        <v/>
      </c>
      <c r="H301" s="33" t="str">
        <f aca="false">IF(B301="","",B301/CalorieGoal)</f>
        <v/>
      </c>
      <c r="I301" s="33" t="str">
        <f aca="false">IF(C301="","",C301/ProteinGoal)</f>
        <v/>
      </c>
      <c r="J301" s="33" t="str">
        <f aca="false">IF(D301="","",D301/CarbGoal)</f>
        <v/>
      </c>
      <c r="K301" s="33" t="str">
        <f aca="false">IF(E301="","",E301/FatGoal)</f>
        <v/>
      </c>
      <c r="L301" s="33" t="str">
        <f aca="false">IF(F301="","",F301/FiberGoal)</f>
        <v/>
      </c>
      <c r="M301" s="33" t="str">
        <f aca="false">IF(G301="","",G301/WaterGoal)</f>
        <v/>
      </c>
    </row>
    <row r="302" customFormat="false" ht="15" hidden="false" customHeight="false" outlineLevel="0" collapsed="false">
      <c r="A302" s="35" t="n">
        <f aca="false">'Daily Tracker'!A302</f>
        <v>46320</v>
      </c>
      <c r="B302" s="28"/>
      <c r="C302" s="28"/>
      <c r="D302" s="28"/>
      <c r="E302" s="28"/>
      <c r="F302" s="28"/>
      <c r="G302" s="48" t="str">
        <f aca="false">IF('Daily Tracker'!I302="","",'Daily Tracker'!I302)</f>
        <v/>
      </c>
      <c r="H302" s="37" t="str">
        <f aca="false">IF(B302="","",B302/CalorieGoal)</f>
        <v/>
      </c>
      <c r="I302" s="37" t="str">
        <f aca="false">IF(C302="","",C302/ProteinGoal)</f>
        <v/>
      </c>
      <c r="J302" s="37" t="str">
        <f aca="false">IF(D302="","",D302/CarbGoal)</f>
        <v/>
      </c>
      <c r="K302" s="37" t="str">
        <f aca="false">IF(E302="","",E302/FatGoal)</f>
        <v/>
      </c>
      <c r="L302" s="37" t="str">
        <f aca="false">IF(F302="","",F302/FiberGoal)</f>
        <v/>
      </c>
      <c r="M302" s="37" t="str">
        <f aca="false">IF(G302="","",G302/WaterGoal)</f>
        <v/>
      </c>
    </row>
    <row r="303" customFormat="false" ht="15" hidden="false" customHeight="false" outlineLevel="0" collapsed="false">
      <c r="A303" s="26" t="n">
        <f aca="false">'Daily Tracker'!A303</f>
        <v>46321</v>
      </c>
      <c r="B303" s="28"/>
      <c r="C303" s="28"/>
      <c r="D303" s="28"/>
      <c r="E303" s="28"/>
      <c r="F303" s="28"/>
      <c r="G303" s="47" t="str">
        <f aca="false">IF('Daily Tracker'!I303="","",'Daily Tracker'!I303)</f>
        <v/>
      </c>
      <c r="H303" s="33" t="str">
        <f aca="false">IF(B303="","",B303/CalorieGoal)</f>
        <v/>
      </c>
      <c r="I303" s="33" t="str">
        <f aca="false">IF(C303="","",C303/ProteinGoal)</f>
        <v/>
      </c>
      <c r="J303" s="33" t="str">
        <f aca="false">IF(D303="","",D303/CarbGoal)</f>
        <v/>
      </c>
      <c r="K303" s="33" t="str">
        <f aca="false">IF(E303="","",E303/FatGoal)</f>
        <v/>
      </c>
      <c r="L303" s="33" t="str">
        <f aca="false">IF(F303="","",F303/FiberGoal)</f>
        <v/>
      </c>
      <c r="M303" s="33" t="str">
        <f aca="false">IF(G303="","",G303/WaterGoal)</f>
        <v/>
      </c>
    </row>
    <row r="304" customFormat="false" ht="15" hidden="false" customHeight="false" outlineLevel="0" collapsed="false">
      <c r="A304" s="35" t="n">
        <f aca="false">'Daily Tracker'!A304</f>
        <v>46322</v>
      </c>
      <c r="B304" s="28"/>
      <c r="C304" s="28"/>
      <c r="D304" s="28"/>
      <c r="E304" s="28"/>
      <c r="F304" s="28"/>
      <c r="G304" s="48" t="str">
        <f aca="false">IF('Daily Tracker'!I304="","",'Daily Tracker'!I304)</f>
        <v/>
      </c>
      <c r="H304" s="37" t="str">
        <f aca="false">IF(B304="","",B304/CalorieGoal)</f>
        <v/>
      </c>
      <c r="I304" s="37" t="str">
        <f aca="false">IF(C304="","",C304/ProteinGoal)</f>
        <v/>
      </c>
      <c r="J304" s="37" t="str">
        <f aca="false">IF(D304="","",D304/CarbGoal)</f>
        <v/>
      </c>
      <c r="K304" s="37" t="str">
        <f aca="false">IF(E304="","",E304/FatGoal)</f>
        <v/>
      </c>
      <c r="L304" s="37" t="str">
        <f aca="false">IF(F304="","",F304/FiberGoal)</f>
        <v/>
      </c>
      <c r="M304" s="37" t="str">
        <f aca="false">IF(G304="","",G304/WaterGoal)</f>
        <v/>
      </c>
    </row>
    <row r="305" customFormat="false" ht="15" hidden="false" customHeight="false" outlineLevel="0" collapsed="false">
      <c r="A305" s="26" t="n">
        <f aca="false">'Daily Tracker'!A305</f>
        <v>46323</v>
      </c>
      <c r="B305" s="28"/>
      <c r="C305" s="28"/>
      <c r="D305" s="28"/>
      <c r="E305" s="28"/>
      <c r="F305" s="28"/>
      <c r="G305" s="47" t="str">
        <f aca="false">IF('Daily Tracker'!I305="","",'Daily Tracker'!I305)</f>
        <v/>
      </c>
      <c r="H305" s="33" t="str">
        <f aca="false">IF(B305="","",B305/CalorieGoal)</f>
        <v/>
      </c>
      <c r="I305" s="33" t="str">
        <f aca="false">IF(C305="","",C305/ProteinGoal)</f>
        <v/>
      </c>
      <c r="J305" s="33" t="str">
        <f aca="false">IF(D305="","",D305/CarbGoal)</f>
        <v/>
      </c>
      <c r="K305" s="33" t="str">
        <f aca="false">IF(E305="","",E305/FatGoal)</f>
        <v/>
      </c>
      <c r="L305" s="33" t="str">
        <f aca="false">IF(F305="","",F305/FiberGoal)</f>
        <v/>
      </c>
      <c r="M305" s="33" t="str">
        <f aca="false">IF(G305="","",G305/WaterGoal)</f>
        <v/>
      </c>
    </row>
    <row r="306" customFormat="false" ht="15" hidden="false" customHeight="false" outlineLevel="0" collapsed="false">
      <c r="A306" s="35" t="n">
        <f aca="false">'Daily Tracker'!A306</f>
        <v>46324</v>
      </c>
      <c r="B306" s="28"/>
      <c r="C306" s="28"/>
      <c r="D306" s="28"/>
      <c r="E306" s="28"/>
      <c r="F306" s="28"/>
      <c r="G306" s="48" t="str">
        <f aca="false">IF('Daily Tracker'!I306="","",'Daily Tracker'!I306)</f>
        <v/>
      </c>
      <c r="H306" s="37" t="str">
        <f aca="false">IF(B306="","",B306/CalorieGoal)</f>
        <v/>
      </c>
      <c r="I306" s="37" t="str">
        <f aca="false">IF(C306="","",C306/ProteinGoal)</f>
        <v/>
      </c>
      <c r="J306" s="37" t="str">
        <f aca="false">IF(D306="","",D306/CarbGoal)</f>
        <v/>
      </c>
      <c r="K306" s="37" t="str">
        <f aca="false">IF(E306="","",E306/FatGoal)</f>
        <v/>
      </c>
      <c r="L306" s="37" t="str">
        <f aca="false">IF(F306="","",F306/FiberGoal)</f>
        <v/>
      </c>
      <c r="M306" s="37" t="str">
        <f aca="false">IF(G306="","",G306/WaterGoal)</f>
        <v/>
      </c>
    </row>
    <row r="307" customFormat="false" ht="15" hidden="false" customHeight="false" outlineLevel="0" collapsed="false">
      <c r="A307" s="26" t="n">
        <f aca="false">'Daily Tracker'!A307</f>
        <v>46325</v>
      </c>
      <c r="B307" s="28"/>
      <c r="C307" s="28"/>
      <c r="D307" s="28"/>
      <c r="E307" s="28"/>
      <c r="F307" s="28"/>
      <c r="G307" s="47" t="str">
        <f aca="false">IF('Daily Tracker'!I307="","",'Daily Tracker'!I307)</f>
        <v/>
      </c>
      <c r="H307" s="33" t="str">
        <f aca="false">IF(B307="","",B307/CalorieGoal)</f>
        <v/>
      </c>
      <c r="I307" s="33" t="str">
        <f aca="false">IF(C307="","",C307/ProteinGoal)</f>
        <v/>
      </c>
      <c r="J307" s="33" t="str">
        <f aca="false">IF(D307="","",D307/CarbGoal)</f>
        <v/>
      </c>
      <c r="K307" s="33" t="str">
        <f aca="false">IF(E307="","",E307/FatGoal)</f>
        <v/>
      </c>
      <c r="L307" s="33" t="str">
        <f aca="false">IF(F307="","",F307/FiberGoal)</f>
        <v/>
      </c>
      <c r="M307" s="33" t="str">
        <f aca="false">IF(G307="","",G307/WaterGoal)</f>
        <v/>
      </c>
    </row>
    <row r="308" customFormat="false" ht="15" hidden="false" customHeight="false" outlineLevel="0" collapsed="false">
      <c r="A308" s="35" t="n">
        <f aca="false">'Daily Tracker'!A308</f>
        <v>46326</v>
      </c>
      <c r="B308" s="28"/>
      <c r="C308" s="28"/>
      <c r="D308" s="28"/>
      <c r="E308" s="28"/>
      <c r="F308" s="28"/>
      <c r="G308" s="48" t="str">
        <f aca="false">IF('Daily Tracker'!I308="","",'Daily Tracker'!I308)</f>
        <v/>
      </c>
      <c r="H308" s="37" t="str">
        <f aca="false">IF(B308="","",B308/CalorieGoal)</f>
        <v/>
      </c>
      <c r="I308" s="37" t="str">
        <f aca="false">IF(C308="","",C308/ProteinGoal)</f>
        <v/>
      </c>
      <c r="J308" s="37" t="str">
        <f aca="false">IF(D308="","",D308/CarbGoal)</f>
        <v/>
      </c>
      <c r="K308" s="37" t="str">
        <f aca="false">IF(E308="","",E308/FatGoal)</f>
        <v/>
      </c>
      <c r="L308" s="37" t="str">
        <f aca="false">IF(F308="","",F308/FiberGoal)</f>
        <v/>
      </c>
      <c r="M308" s="37" t="str">
        <f aca="false">IF(G308="","",G308/WaterGoal)</f>
        <v/>
      </c>
    </row>
    <row r="309" customFormat="false" ht="15" hidden="false" customHeight="false" outlineLevel="0" collapsed="false">
      <c r="A309" s="26" t="n">
        <f aca="false">'Daily Tracker'!A309</f>
        <v>46327</v>
      </c>
      <c r="B309" s="28"/>
      <c r="C309" s="28"/>
      <c r="D309" s="28"/>
      <c r="E309" s="28"/>
      <c r="F309" s="28"/>
      <c r="G309" s="47" t="str">
        <f aca="false">IF('Daily Tracker'!I309="","",'Daily Tracker'!I309)</f>
        <v/>
      </c>
      <c r="H309" s="33" t="str">
        <f aca="false">IF(B309="","",B309/CalorieGoal)</f>
        <v/>
      </c>
      <c r="I309" s="33" t="str">
        <f aca="false">IF(C309="","",C309/ProteinGoal)</f>
        <v/>
      </c>
      <c r="J309" s="33" t="str">
        <f aca="false">IF(D309="","",D309/CarbGoal)</f>
        <v/>
      </c>
      <c r="K309" s="33" t="str">
        <f aca="false">IF(E309="","",E309/FatGoal)</f>
        <v/>
      </c>
      <c r="L309" s="33" t="str">
        <f aca="false">IF(F309="","",F309/FiberGoal)</f>
        <v/>
      </c>
      <c r="M309" s="33" t="str">
        <f aca="false">IF(G309="","",G309/WaterGoal)</f>
        <v/>
      </c>
    </row>
    <row r="310" customFormat="false" ht="15" hidden="false" customHeight="false" outlineLevel="0" collapsed="false">
      <c r="A310" s="35" t="n">
        <f aca="false">'Daily Tracker'!A310</f>
        <v>46328</v>
      </c>
      <c r="B310" s="28"/>
      <c r="C310" s="28"/>
      <c r="D310" s="28"/>
      <c r="E310" s="28"/>
      <c r="F310" s="28"/>
      <c r="G310" s="48" t="str">
        <f aca="false">IF('Daily Tracker'!I310="","",'Daily Tracker'!I310)</f>
        <v/>
      </c>
      <c r="H310" s="37" t="str">
        <f aca="false">IF(B310="","",B310/CalorieGoal)</f>
        <v/>
      </c>
      <c r="I310" s="37" t="str">
        <f aca="false">IF(C310="","",C310/ProteinGoal)</f>
        <v/>
      </c>
      <c r="J310" s="37" t="str">
        <f aca="false">IF(D310="","",D310/CarbGoal)</f>
        <v/>
      </c>
      <c r="K310" s="37" t="str">
        <f aca="false">IF(E310="","",E310/FatGoal)</f>
        <v/>
      </c>
      <c r="L310" s="37" t="str">
        <f aca="false">IF(F310="","",F310/FiberGoal)</f>
        <v/>
      </c>
      <c r="M310" s="37" t="str">
        <f aca="false">IF(G310="","",G310/WaterGoal)</f>
        <v/>
      </c>
    </row>
    <row r="311" customFormat="false" ht="15" hidden="false" customHeight="false" outlineLevel="0" collapsed="false">
      <c r="A311" s="26" t="n">
        <f aca="false">'Daily Tracker'!A311</f>
        <v>46329</v>
      </c>
      <c r="B311" s="28"/>
      <c r="C311" s="28"/>
      <c r="D311" s="28"/>
      <c r="E311" s="28"/>
      <c r="F311" s="28"/>
      <c r="G311" s="47" t="str">
        <f aca="false">IF('Daily Tracker'!I311="","",'Daily Tracker'!I311)</f>
        <v/>
      </c>
      <c r="H311" s="33" t="str">
        <f aca="false">IF(B311="","",B311/CalorieGoal)</f>
        <v/>
      </c>
      <c r="I311" s="33" t="str">
        <f aca="false">IF(C311="","",C311/ProteinGoal)</f>
        <v/>
      </c>
      <c r="J311" s="33" t="str">
        <f aca="false">IF(D311="","",D311/CarbGoal)</f>
        <v/>
      </c>
      <c r="K311" s="33" t="str">
        <f aca="false">IF(E311="","",E311/FatGoal)</f>
        <v/>
      </c>
      <c r="L311" s="33" t="str">
        <f aca="false">IF(F311="","",F311/FiberGoal)</f>
        <v/>
      </c>
      <c r="M311" s="33" t="str">
        <f aca="false">IF(G311="","",G311/WaterGoal)</f>
        <v/>
      </c>
    </row>
    <row r="312" customFormat="false" ht="15" hidden="false" customHeight="false" outlineLevel="0" collapsed="false">
      <c r="A312" s="35" t="n">
        <f aca="false">'Daily Tracker'!A312</f>
        <v>46330</v>
      </c>
      <c r="B312" s="28"/>
      <c r="C312" s="28"/>
      <c r="D312" s="28"/>
      <c r="E312" s="28"/>
      <c r="F312" s="28"/>
      <c r="G312" s="48" t="str">
        <f aca="false">IF('Daily Tracker'!I312="","",'Daily Tracker'!I312)</f>
        <v/>
      </c>
      <c r="H312" s="37" t="str">
        <f aca="false">IF(B312="","",B312/CalorieGoal)</f>
        <v/>
      </c>
      <c r="I312" s="37" t="str">
        <f aca="false">IF(C312="","",C312/ProteinGoal)</f>
        <v/>
      </c>
      <c r="J312" s="37" t="str">
        <f aca="false">IF(D312="","",D312/CarbGoal)</f>
        <v/>
      </c>
      <c r="K312" s="37" t="str">
        <f aca="false">IF(E312="","",E312/FatGoal)</f>
        <v/>
      </c>
      <c r="L312" s="37" t="str">
        <f aca="false">IF(F312="","",F312/FiberGoal)</f>
        <v/>
      </c>
      <c r="M312" s="37" t="str">
        <f aca="false">IF(G312="","",G312/WaterGoal)</f>
        <v/>
      </c>
    </row>
    <row r="313" customFormat="false" ht="15" hidden="false" customHeight="false" outlineLevel="0" collapsed="false">
      <c r="A313" s="26" t="n">
        <f aca="false">'Daily Tracker'!A313</f>
        <v>46331</v>
      </c>
      <c r="B313" s="28"/>
      <c r="C313" s="28"/>
      <c r="D313" s="28"/>
      <c r="E313" s="28"/>
      <c r="F313" s="28"/>
      <c r="G313" s="47" t="str">
        <f aca="false">IF('Daily Tracker'!I313="","",'Daily Tracker'!I313)</f>
        <v/>
      </c>
      <c r="H313" s="33" t="str">
        <f aca="false">IF(B313="","",B313/CalorieGoal)</f>
        <v/>
      </c>
      <c r="I313" s="33" t="str">
        <f aca="false">IF(C313="","",C313/ProteinGoal)</f>
        <v/>
      </c>
      <c r="J313" s="33" t="str">
        <f aca="false">IF(D313="","",D313/CarbGoal)</f>
        <v/>
      </c>
      <c r="K313" s="33" t="str">
        <f aca="false">IF(E313="","",E313/FatGoal)</f>
        <v/>
      </c>
      <c r="L313" s="33" t="str">
        <f aca="false">IF(F313="","",F313/FiberGoal)</f>
        <v/>
      </c>
      <c r="M313" s="33" t="str">
        <f aca="false">IF(G313="","",G313/WaterGoal)</f>
        <v/>
      </c>
    </row>
    <row r="314" customFormat="false" ht="15" hidden="false" customHeight="false" outlineLevel="0" collapsed="false">
      <c r="A314" s="35" t="n">
        <f aca="false">'Daily Tracker'!A314</f>
        <v>46332</v>
      </c>
      <c r="B314" s="28"/>
      <c r="C314" s="28"/>
      <c r="D314" s="28"/>
      <c r="E314" s="28"/>
      <c r="F314" s="28"/>
      <c r="G314" s="48" t="str">
        <f aca="false">IF('Daily Tracker'!I314="","",'Daily Tracker'!I314)</f>
        <v/>
      </c>
      <c r="H314" s="37" t="str">
        <f aca="false">IF(B314="","",B314/CalorieGoal)</f>
        <v/>
      </c>
      <c r="I314" s="37" t="str">
        <f aca="false">IF(C314="","",C314/ProteinGoal)</f>
        <v/>
      </c>
      <c r="J314" s="37" t="str">
        <f aca="false">IF(D314="","",D314/CarbGoal)</f>
        <v/>
      </c>
      <c r="K314" s="37" t="str">
        <f aca="false">IF(E314="","",E314/FatGoal)</f>
        <v/>
      </c>
      <c r="L314" s="37" t="str">
        <f aca="false">IF(F314="","",F314/FiberGoal)</f>
        <v/>
      </c>
      <c r="M314" s="37" t="str">
        <f aca="false">IF(G314="","",G314/WaterGoal)</f>
        <v/>
      </c>
    </row>
    <row r="315" customFormat="false" ht="15" hidden="false" customHeight="false" outlineLevel="0" collapsed="false">
      <c r="A315" s="26" t="n">
        <f aca="false">'Daily Tracker'!A315</f>
        <v>46333</v>
      </c>
      <c r="B315" s="28"/>
      <c r="C315" s="28"/>
      <c r="D315" s="28"/>
      <c r="E315" s="28"/>
      <c r="F315" s="28"/>
      <c r="G315" s="47" t="str">
        <f aca="false">IF('Daily Tracker'!I315="","",'Daily Tracker'!I315)</f>
        <v/>
      </c>
      <c r="H315" s="33" t="str">
        <f aca="false">IF(B315="","",B315/CalorieGoal)</f>
        <v/>
      </c>
      <c r="I315" s="33" t="str">
        <f aca="false">IF(C315="","",C315/ProteinGoal)</f>
        <v/>
      </c>
      <c r="J315" s="33" t="str">
        <f aca="false">IF(D315="","",D315/CarbGoal)</f>
        <v/>
      </c>
      <c r="K315" s="33" t="str">
        <f aca="false">IF(E315="","",E315/FatGoal)</f>
        <v/>
      </c>
      <c r="L315" s="33" t="str">
        <f aca="false">IF(F315="","",F315/FiberGoal)</f>
        <v/>
      </c>
      <c r="M315" s="33" t="str">
        <f aca="false">IF(G315="","",G315/WaterGoal)</f>
        <v/>
      </c>
    </row>
    <row r="316" customFormat="false" ht="15" hidden="false" customHeight="false" outlineLevel="0" collapsed="false">
      <c r="A316" s="35" t="n">
        <f aca="false">'Daily Tracker'!A316</f>
        <v>46334</v>
      </c>
      <c r="B316" s="28"/>
      <c r="C316" s="28"/>
      <c r="D316" s="28"/>
      <c r="E316" s="28"/>
      <c r="F316" s="28"/>
      <c r="G316" s="48" t="str">
        <f aca="false">IF('Daily Tracker'!I316="","",'Daily Tracker'!I316)</f>
        <v/>
      </c>
      <c r="H316" s="37" t="str">
        <f aca="false">IF(B316="","",B316/CalorieGoal)</f>
        <v/>
      </c>
      <c r="I316" s="37" t="str">
        <f aca="false">IF(C316="","",C316/ProteinGoal)</f>
        <v/>
      </c>
      <c r="J316" s="37" t="str">
        <f aca="false">IF(D316="","",D316/CarbGoal)</f>
        <v/>
      </c>
      <c r="K316" s="37" t="str">
        <f aca="false">IF(E316="","",E316/FatGoal)</f>
        <v/>
      </c>
      <c r="L316" s="37" t="str">
        <f aca="false">IF(F316="","",F316/FiberGoal)</f>
        <v/>
      </c>
      <c r="M316" s="37" t="str">
        <f aca="false">IF(G316="","",G316/WaterGoal)</f>
        <v/>
      </c>
    </row>
    <row r="317" customFormat="false" ht="15" hidden="false" customHeight="false" outlineLevel="0" collapsed="false">
      <c r="A317" s="26" t="n">
        <f aca="false">'Daily Tracker'!A317</f>
        <v>46335</v>
      </c>
      <c r="B317" s="28"/>
      <c r="C317" s="28"/>
      <c r="D317" s="28"/>
      <c r="E317" s="28"/>
      <c r="F317" s="28"/>
      <c r="G317" s="47" t="str">
        <f aca="false">IF('Daily Tracker'!I317="","",'Daily Tracker'!I317)</f>
        <v/>
      </c>
      <c r="H317" s="33" t="str">
        <f aca="false">IF(B317="","",B317/CalorieGoal)</f>
        <v/>
      </c>
      <c r="I317" s="33" t="str">
        <f aca="false">IF(C317="","",C317/ProteinGoal)</f>
        <v/>
      </c>
      <c r="J317" s="33" t="str">
        <f aca="false">IF(D317="","",D317/CarbGoal)</f>
        <v/>
      </c>
      <c r="K317" s="33" t="str">
        <f aca="false">IF(E317="","",E317/FatGoal)</f>
        <v/>
      </c>
      <c r="L317" s="33" t="str">
        <f aca="false">IF(F317="","",F317/FiberGoal)</f>
        <v/>
      </c>
      <c r="M317" s="33" t="str">
        <f aca="false">IF(G317="","",G317/WaterGoal)</f>
        <v/>
      </c>
    </row>
    <row r="318" customFormat="false" ht="15" hidden="false" customHeight="false" outlineLevel="0" collapsed="false">
      <c r="A318" s="35" t="n">
        <f aca="false">'Daily Tracker'!A318</f>
        <v>46336</v>
      </c>
      <c r="B318" s="28"/>
      <c r="C318" s="28"/>
      <c r="D318" s="28"/>
      <c r="E318" s="28"/>
      <c r="F318" s="28"/>
      <c r="G318" s="48" t="str">
        <f aca="false">IF('Daily Tracker'!I318="","",'Daily Tracker'!I318)</f>
        <v/>
      </c>
      <c r="H318" s="37" t="str">
        <f aca="false">IF(B318="","",B318/CalorieGoal)</f>
        <v/>
      </c>
      <c r="I318" s="37" t="str">
        <f aca="false">IF(C318="","",C318/ProteinGoal)</f>
        <v/>
      </c>
      <c r="J318" s="37" t="str">
        <f aca="false">IF(D318="","",D318/CarbGoal)</f>
        <v/>
      </c>
      <c r="K318" s="37" t="str">
        <f aca="false">IF(E318="","",E318/FatGoal)</f>
        <v/>
      </c>
      <c r="L318" s="37" t="str">
        <f aca="false">IF(F318="","",F318/FiberGoal)</f>
        <v/>
      </c>
      <c r="M318" s="37" t="str">
        <f aca="false">IF(G318="","",G318/WaterGoal)</f>
        <v/>
      </c>
    </row>
    <row r="319" customFormat="false" ht="15" hidden="false" customHeight="false" outlineLevel="0" collapsed="false">
      <c r="A319" s="26" t="n">
        <f aca="false">'Daily Tracker'!A319</f>
        <v>46337</v>
      </c>
      <c r="B319" s="28"/>
      <c r="C319" s="28"/>
      <c r="D319" s="28"/>
      <c r="E319" s="28"/>
      <c r="F319" s="28"/>
      <c r="G319" s="47" t="str">
        <f aca="false">IF('Daily Tracker'!I319="","",'Daily Tracker'!I319)</f>
        <v/>
      </c>
      <c r="H319" s="33" t="str">
        <f aca="false">IF(B319="","",B319/CalorieGoal)</f>
        <v/>
      </c>
      <c r="I319" s="33" t="str">
        <f aca="false">IF(C319="","",C319/ProteinGoal)</f>
        <v/>
      </c>
      <c r="J319" s="33" t="str">
        <f aca="false">IF(D319="","",D319/CarbGoal)</f>
        <v/>
      </c>
      <c r="K319" s="33" t="str">
        <f aca="false">IF(E319="","",E319/FatGoal)</f>
        <v/>
      </c>
      <c r="L319" s="33" t="str">
        <f aca="false">IF(F319="","",F319/FiberGoal)</f>
        <v/>
      </c>
      <c r="M319" s="33" t="str">
        <f aca="false">IF(G319="","",G319/WaterGoal)</f>
        <v/>
      </c>
    </row>
    <row r="320" customFormat="false" ht="15" hidden="false" customHeight="false" outlineLevel="0" collapsed="false">
      <c r="A320" s="35" t="n">
        <f aca="false">'Daily Tracker'!A320</f>
        <v>46338</v>
      </c>
      <c r="B320" s="28"/>
      <c r="C320" s="28"/>
      <c r="D320" s="28"/>
      <c r="E320" s="28"/>
      <c r="F320" s="28"/>
      <c r="G320" s="48" t="str">
        <f aca="false">IF('Daily Tracker'!I320="","",'Daily Tracker'!I320)</f>
        <v/>
      </c>
      <c r="H320" s="37" t="str">
        <f aca="false">IF(B320="","",B320/CalorieGoal)</f>
        <v/>
      </c>
      <c r="I320" s="37" t="str">
        <f aca="false">IF(C320="","",C320/ProteinGoal)</f>
        <v/>
      </c>
      <c r="J320" s="37" t="str">
        <f aca="false">IF(D320="","",D320/CarbGoal)</f>
        <v/>
      </c>
      <c r="K320" s="37" t="str">
        <f aca="false">IF(E320="","",E320/FatGoal)</f>
        <v/>
      </c>
      <c r="L320" s="37" t="str">
        <f aca="false">IF(F320="","",F320/FiberGoal)</f>
        <v/>
      </c>
      <c r="M320" s="37" t="str">
        <f aca="false">IF(G320="","",G320/WaterGoal)</f>
        <v/>
      </c>
    </row>
    <row r="321" customFormat="false" ht="15" hidden="false" customHeight="false" outlineLevel="0" collapsed="false">
      <c r="A321" s="26" t="n">
        <f aca="false">'Daily Tracker'!A321</f>
        <v>46339</v>
      </c>
      <c r="B321" s="28"/>
      <c r="C321" s="28"/>
      <c r="D321" s="28"/>
      <c r="E321" s="28"/>
      <c r="F321" s="28"/>
      <c r="G321" s="47" t="str">
        <f aca="false">IF('Daily Tracker'!I321="","",'Daily Tracker'!I321)</f>
        <v/>
      </c>
      <c r="H321" s="33" t="str">
        <f aca="false">IF(B321="","",B321/CalorieGoal)</f>
        <v/>
      </c>
      <c r="I321" s="33" t="str">
        <f aca="false">IF(C321="","",C321/ProteinGoal)</f>
        <v/>
      </c>
      <c r="J321" s="33" t="str">
        <f aca="false">IF(D321="","",D321/CarbGoal)</f>
        <v/>
      </c>
      <c r="K321" s="33" t="str">
        <f aca="false">IF(E321="","",E321/FatGoal)</f>
        <v/>
      </c>
      <c r="L321" s="33" t="str">
        <f aca="false">IF(F321="","",F321/FiberGoal)</f>
        <v/>
      </c>
      <c r="M321" s="33" t="str">
        <f aca="false">IF(G321="","",G321/WaterGoal)</f>
        <v/>
      </c>
    </row>
    <row r="322" customFormat="false" ht="15" hidden="false" customHeight="false" outlineLevel="0" collapsed="false">
      <c r="A322" s="35" t="n">
        <f aca="false">'Daily Tracker'!A322</f>
        <v>46340</v>
      </c>
      <c r="B322" s="28"/>
      <c r="C322" s="28"/>
      <c r="D322" s="28"/>
      <c r="E322" s="28"/>
      <c r="F322" s="28"/>
      <c r="G322" s="48" t="str">
        <f aca="false">IF('Daily Tracker'!I322="","",'Daily Tracker'!I322)</f>
        <v/>
      </c>
      <c r="H322" s="37" t="str">
        <f aca="false">IF(B322="","",B322/CalorieGoal)</f>
        <v/>
      </c>
      <c r="I322" s="37" t="str">
        <f aca="false">IF(C322="","",C322/ProteinGoal)</f>
        <v/>
      </c>
      <c r="J322" s="37" t="str">
        <f aca="false">IF(D322="","",D322/CarbGoal)</f>
        <v/>
      </c>
      <c r="K322" s="37" t="str">
        <f aca="false">IF(E322="","",E322/FatGoal)</f>
        <v/>
      </c>
      <c r="L322" s="37" t="str">
        <f aca="false">IF(F322="","",F322/FiberGoal)</f>
        <v/>
      </c>
      <c r="M322" s="37" t="str">
        <f aca="false">IF(G322="","",G322/WaterGoal)</f>
        <v/>
      </c>
    </row>
    <row r="323" customFormat="false" ht="15" hidden="false" customHeight="false" outlineLevel="0" collapsed="false">
      <c r="A323" s="26" t="n">
        <f aca="false">'Daily Tracker'!A323</f>
        <v>46341</v>
      </c>
      <c r="B323" s="28"/>
      <c r="C323" s="28"/>
      <c r="D323" s="28"/>
      <c r="E323" s="28"/>
      <c r="F323" s="28"/>
      <c r="G323" s="47" t="str">
        <f aca="false">IF('Daily Tracker'!I323="","",'Daily Tracker'!I323)</f>
        <v/>
      </c>
      <c r="H323" s="33" t="str">
        <f aca="false">IF(B323="","",B323/CalorieGoal)</f>
        <v/>
      </c>
      <c r="I323" s="33" t="str">
        <f aca="false">IF(C323="","",C323/ProteinGoal)</f>
        <v/>
      </c>
      <c r="J323" s="33" t="str">
        <f aca="false">IF(D323="","",D323/CarbGoal)</f>
        <v/>
      </c>
      <c r="K323" s="33" t="str">
        <f aca="false">IF(E323="","",E323/FatGoal)</f>
        <v/>
      </c>
      <c r="L323" s="33" t="str">
        <f aca="false">IF(F323="","",F323/FiberGoal)</f>
        <v/>
      </c>
      <c r="M323" s="33" t="str">
        <f aca="false">IF(G323="","",G323/WaterGoal)</f>
        <v/>
      </c>
    </row>
    <row r="324" customFormat="false" ht="15" hidden="false" customHeight="false" outlineLevel="0" collapsed="false">
      <c r="A324" s="35" t="n">
        <f aca="false">'Daily Tracker'!A324</f>
        <v>46342</v>
      </c>
      <c r="B324" s="28"/>
      <c r="C324" s="28"/>
      <c r="D324" s="28"/>
      <c r="E324" s="28"/>
      <c r="F324" s="28"/>
      <c r="G324" s="48" t="str">
        <f aca="false">IF('Daily Tracker'!I324="","",'Daily Tracker'!I324)</f>
        <v/>
      </c>
      <c r="H324" s="37" t="str">
        <f aca="false">IF(B324="","",B324/CalorieGoal)</f>
        <v/>
      </c>
      <c r="I324" s="37" t="str">
        <f aca="false">IF(C324="","",C324/ProteinGoal)</f>
        <v/>
      </c>
      <c r="J324" s="37" t="str">
        <f aca="false">IF(D324="","",D324/CarbGoal)</f>
        <v/>
      </c>
      <c r="K324" s="37" t="str">
        <f aca="false">IF(E324="","",E324/FatGoal)</f>
        <v/>
      </c>
      <c r="L324" s="37" t="str">
        <f aca="false">IF(F324="","",F324/FiberGoal)</f>
        <v/>
      </c>
      <c r="M324" s="37" t="str">
        <f aca="false">IF(G324="","",G324/WaterGoal)</f>
        <v/>
      </c>
    </row>
    <row r="325" customFormat="false" ht="15" hidden="false" customHeight="false" outlineLevel="0" collapsed="false">
      <c r="A325" s="26" t="n">
        <f aca="false">'Daily Tracker'!A325</f>
        <v>46343</v>
      </c>
      <c r="B325" s="28"/>
      <c r="C325" s="28"/>
      <c r="D325" s="28"/>
      <c r="E325" s="28"/>
      <c r="F325" s="28"/>
      <c r="G325" s="47" t="str">
        <f aca="false">IF('Daily Tracker'!I325="","",'Daily Tracker'!I325)</f>
        <v/>
      </c>
      <c r="H325" s="33" t="str">
        <f aca="false">IF(B325="","",B325/CalorieGoal)</f>
        <v/>
      </c>
      <c r="I325" s="33" t="str">
        <f aca="false">IF(C325="","",C325/ProteinGoal)</f>
        <v/>
      </c>
      <c r="J325" s="33" t="str">
        <f aca="false">IF(D325="","",D325/CarbGoal)</f>
        <v/>
      </c>
      <c r="K325" s="33" t="str">
        <f aca="false">IF(E325="","",E325/FatGoal)</f>
        <v/>
      </c>
      <c r="L325" s="33" t="str">
        <f aca="false">IF(F325="","",F325/FiberGoal)</f>
        <v/>
      </c>
      <c r="M325" s="33" t="str">
        <f aca="false">IF(G325="","",G325/WaterGoal)</f>
        <v/>
      </c>
    </row>
    <row r="326" customFormat="false" ht="15" hidden="false" customHeight="false" outlineLevel="0" collapsed="false">
      <c r="A326" s="35" t="n">
        <f aca="false">'Daily Tracker'!A326</f>
        <v>46344</v>
      </c>
      <c r="B326" s="28"/>
      <c r="C326" s="28"/>
      <c r="D326" s="28"/>
      <c r="E326" s="28"/>
      <c r="F326" s="28"/>
      <c r="G326" s="48" t="str">
        <f aca="false">IF('Daily Tracker'!I326="","",'Daily Tracker'!I326)</f>
        <v/>
      </c>
      <c r="H326" s="37" t="str">
        <f aca="false">IF(B326="","",B326/CalorieGoal)</f>
        <v/>
      </c>
      <c r="I326" s="37" t="str">
        <f aca="false">IF(C326="","",C326/ProteinGoal)</f>
        <v/>
      </c>
      <c r="J326" s="37" t="str">
        <f aca="false">IF(D326="","",D326/CarbGoal)</f>
        <v/>
      </c>
      <c r="K326" s="37" t="str">
        <f aca="false">IF(E326="","",E326/FatGoal)</f>
        <v/>
      </c>
      <c r="L326" s="37" t="str">
        <f aca="false">IF(F326="","",F326/FiberGoal)</f>
        <v/>
      </c>
      <c r="M326" s="37" t="str">
        <f aca="false">IF(G326="","",G326/WaterGoal)</f>
        <v/>
      </c>
    </row>
    <row r="327" customFormat="false" ht="15" hidden="false" customHeight="false" outlineLevel="0" collapsed="false">
      <c r="A327" s="26" t="n">
        <f aca="false">'Daily Tracker'!A327</f>
        <v>46345</v>
      </c>
      <c r="B327" s="28"/>
      <c r="C327" s="28"/>
      <c r="D327" s="28"/>
      <c r="E327" s="28"/>
      <c r="F327" s="28"/>
      <c r="G327" s="47" t="str">
        <f aca="false">IF('Daily Tracker'!I327="","",'Daily Tracker'!I327)</f>
        <v/>
      </c>
      <c r="H327" s="33" t="str">
        <f aca="false">IF(B327="","",B327/CalorieGoal)</f>
        <v/>
      </c>
      <c r="I327" s="33" t="str">
        <f aca="false">IF(C327="","",C327/ProteinGoal)</f>
        <v/>
      </c>
      <c r="J327" s="33" t="str">
        <f aca="false">IF(D327="","",D327/CarbGoal)</f>
        <v/>
      </c>
      <c r="K327" s="33" t="str">
        <f aca="false">IF(E327="","",E327/FatGoal)</f>
        <v/>
      </c>
      <c r="L327" s="33" t="str">
        <f aca="false">IF(F327="","",F327/FiberGoal)</f>
        <v/>
      </c>
      <c r="M327" s="33" t="str">
        <f aca="false">IF(G327="","",G327/WaterGoal)</f>
        <v/>
      </c>
    </row>
    <row r="328" customFormat="false" ht="15" hidden="false" customHeight="false" outlineLevel="0" collapsed="false">
      <c r="A328" s="35" t="n">
        <f aca="false">'Daily Tracker'!A328</f>
        <v>46346</v>
      </c>
      <c r="B328" s="28"/>
      <c r="C328" s="28"/>
      <c r="D328" s="28"/>
      <c r="E328" s="28"/>
      <c r="F328" s="28"/>
      <c r="G328" s="48" t="str">
        <f aca="false">IF('Daily Tracker'!I328="","",'Daily Tracker'!I328)</f>
        <v/>
      </c>
      <c r="H328" s="37" t="str">
        <f aca="false">IF(B328="","",B328/CalorieGoal)</f>
        <v/>
      </c>
      <c r="I328" s="37" t="str">
        <f aca="false">IF(C328="","",C328/ProteinGoal)</f>
        <v/>
      </c>
      <c r="J328" s="37" t="str">
        <f aca="false">IF(D328="","",D328/CarbGoal)</f>
        <v/>
      </c>
      <c r="K328" s="37" t="str">
        <f aca="false">IF(E328="","",E328/FatGoal)</f>
        <v/>
      </c>
      <c r="L328" s="37" t="str">
        <f aca="false">IF(F328="","",F328/FiberGoal)</f>
        <v/>
      </c>
      <c r="M328" s="37" t="str">
        <f aca="false">IF(G328="","",G328/WaterGoal)</f>
        <v/>
      </c>
    </row>
    <row r="329" customFormat="false" ht="15" hidden="false" customHeight="false" outlineLevel="0" collapsed="false">
      <c r="A329" s="26" t="n">
        <f aca="false">'Daily Tracker'!A329</f>
        <v>46347</v>
      </c>
      <c r="B329" s="28"/>
      <c r="C329" s="28"/>
      <c r="D329" s="28"/>
      <c r="E329" s="28"/>
      <c r="F329" s="28"/>
      <c r="G329" s="47" t="str">
        <f aca="false">IF('Daily Tracker'!I329="","",'Daily Tracker'!I329)</f>
        <v/>
      </c>
      <c r="H329" s="33" t="str">
        <f aca="false">IF(B329="","",B329/CalorieGoal)</f>
        <v/>
      </c>
      <c r="I329" s="33" t="str">
        <f aca="false">IF(C329="","",C329/ProteinGoal)</f>
        <v/>
      </c>
      <c r="J329" s="33" t="str">
        <f aca="false">IF(D329="","",D329/CarbGoal)</f>
        <v/>
      </c>
      <c r="K329" s="33" t="str">
        <f aca="false">IF(E329="","",E329/FatGoal)</f>
        <v/>
      </c>
      <c r="L329" s="33" t="str">
        <f aca="false">IF(F329="","",F329/FiberGoal)</f>
        <v/>
      </c>
      <c r="M329" s="33" t="str">
        <f aca="false">IF(G329="","",G329/WaterGoal)</f>
        <v/>
      </c>
    </row>
    <row r="330" customFormat="false" ht="15" hidden="false" customHeight="false" outlineLevel="0" collapsed="false">
      <c r="A330" s="35" t="n">
        <f aca="false">'Daily Tracker'!A330</f>
        <v>46348</v>
      </c>
      <c r="B330" s="28"/>
      <c r="C330" s="28"/>
      <c r="D330" s="28"/>
      <c r="E330" s="28"/>
      <c r="F330" s="28"/>
      <c r="G330" s="48" t="str">
        <f aca="false">IF('Daily Tracker'!I330="","",'Daily Tracker'!I330)</f>
        <v/>
      </c>
      <c r="H330" s="37" t="str">
        <f aca="false">IF(B330="","",B330/CalorieGoal)</f>
        <v/>
      </c>
      <c r="I330" s="37" t="str">
        <f aca="false">IF(C330="","",C330/ProteinGoal)</f>
        <v/>
      </c>
      <c r="J330" s="37" t="str">
        <f aca="false">IF(D330="","",D330/CarbGoal)</f>
        <v/>
      </c>
      <c r="K330" s="37" t="str">
        <f aca="false">IF(E330="","",E330/FatGoal)</f>
        <v/>
      </c>
      <c r="L330" s="37" t="str">
        <f aca="false">IF(F330="","",F330/FiberGoal)</f>
        <v/>
      </c>
      <c r="M330" s="37" t="str">
        <f aca="false">IF(G330="","",G330/WaterGoal)</f>
        <v/>
      </c>
    </row>
    <row r="331" customFormat="false" ht="15" hidden="false" customHeight="false" outlineLevel="0" collapsed="false">
      <c r="A331" s="26" t="n">
        <f aca="false">'Daily Tracker'!A331</f>
        <v>46349</v>
      </c>
      <c r="B331" s="28"/>
      <c r="C331" s="28"/>
      <c r="D331" s="28"/>
      <c r="E331" s="28"/>
      <c r="F331" s="28"/>
      <c r="G331" s="47" t="str">
        <f aca="false">IF('Daily Tracker'!I331="","",'Daily Tracker'!I331)</f>
        <v/>
      </c>
      <c r="H331" s="33" t="str">
        <f aca="false">IF(B331="","",B331/CalorieGoal)</f>
        <v/>
      </c>
      <c r="I331" s="33" t="str">
        <f aca="false">IF(C331="","",C331/ProteinGoal)</f>
        <v/>
      </c>
      <c r="J331" s="33" t="str">
        <f aca="false">IF(D331="","",D331/CarbGoal)</f>
        <v/>
      </c>
      <c r="K331" s="33" t="str">
        <f aca="false">IF(E331="","",E331/FatGoal)</f>
        <v/>
      </c>
      <c r="L331" s="33" t="str">
        <f aca="false">IF(F331="","",F331/FiberGoal)</f>
        <v/>
      </c>
      <c r="M331" s="33" t="str">
        <f aca="false">IF(G331="","",G331/WaterGoal)</f>
        <v/>
      </c>
    </row>
    <row r="332" customFormat="false" ht="15" hidden="false" customHeight="false" outlineLevel="0" collapsed="false">
      <c r="A332" s="35" t="n">
        <f aca="false">'Daily Tracker'!A332</f>
        <v>46350</v>
      </c>
      <c r="B332" s="28"/>
      <c r="C332" s="28"/>
      <c r="D332" s="28"/>
      <c r="E332" s="28"/>
      <c r="F332" s="28"/>
      <c r="G332" s="48" t="str">
        <f aca="false">IF('Daily Tracker'!I332="","",'Daily Tracker'!I332)</f>
        <v/>
      </c>
      <c r="H332" s="37" t="str">
        <f aca="false">IF(B332="","",B332/CalorieGoal)</f>
        <v/>
      </c>
      <c r="I332" s="37" t="str">
        <f aca="false">IF(C332="","",C332/ProteinGoal)</f>
        <v/>
      </c>
      <c r="J332" s="37" t="str">
        <f aca="false">IF(D332="","",D332/CarbGoal)</f>
        <v/>
      </c>
      <c r="K332" s="37" t="str">
        <f aca="false">IF(E332="","",E332/FatGoal)</f>
        <v/>
      </c>
      <c r="L332" s="37" t="str">
        <f aca="false">IF(F332="","",F332/FiberGoal)</f>
        <v/>
      </c>
      <c r="M332" s="37" t="str">
        <f aca="false">IF(G332="","",G332/WaterGoal)</f>
        <v/>
      </c>
    </row>
    <row r="333" customFormat="false" ht="15" hidden="false" customHeight="false" outlineLevel="0" collapsed="false">
      <c r="A333" s="26" t="n">
        <f aca="false">'Daily Tracker'!A333</f>
        <v>46351</v>
      </c>
      <c r="B333" s="28"/>
      <c r="C333" s="28"/>
      <c r="D333" s="28"/>
      <c r="E333" s="28"/>
      <c r="F333" s="28"/>
      <c r="G333" s="47" t="str">
        <f aca="false">IF('Daily Tracker'!I333="","",'Daily Tracker'!I333)</f>
        <v/>
      </c>
      <c r="H333" s="33" t="str">
        <f aca="false">IF(B333="","",B333/CalorieGoal)</f>
        <v/>
      </c>
      <c r="I333" s="33" t="str">
        <f aca="false">IF(C333="","",C333/ProteinGoal)</f>
        <v/>
      </c>
      <c r="J333" s="33" t="str">
        <f aca="false">IF(D333="","",D333/CarbGoal)</f>
        <v/>
      </c>
      <c r="K333" s="33" t="str">
        <f aca="false">IF(E333="","",E333/FatGoal)</f>
        <v/>
      </c>
      <c r="L333" s="33" t="str">
        <f aca="false">IF(F333="","",F333/FiberGoal)</f>
        <v/>
      </c>
      <c r="M333" s="33" t="str">
        <f aca="false">IF(G333="","",G333/WaterGoal)</f>
        <v/>
      </c>
    </row>
    <row r="334" customFormat="false" ht="15" hidden="false" customHeight="false" outlineLevel="0" collapsed="false">
      <c r="A334" s="35" t="n">
        <f aca="false">'Daily Tracker'!A334</f>
        <v>46352</v>
      </c>
      <c r="B334" s="28"/>
      <c r="C334" s="28"/>
      <c r="D334" s="28"/>
      <c r="E334" s="28"/>
      <c r="F334" s="28"/>
      <c r="G334" s="48" t="str">
        <f aca="false">IF('Daily Tracker'!I334="","",'Daily Tracker'!I334)</f>
        <v/>
      </c>
      <c r="H334" s="37" t="str">
        <f aca="false">IF(B334="","",B334/CalorieGoal)</f>
        <v/>
      </c>
      <c r="I334" s="37" t="str">
        <f aca="false">IF(C334="","",C334/ProteinGoal)</f>
        <v/>
      </c>
      <c r="J334" s="37" t="str">
        <f aca="false">IF(D334="","",D334/CarbGoal)</f>
        <v/>
      </c>
      <c r="K334" s="37" t="str">
        <f aca="false">IF(E334="","",E334/FatGoal)</f>
        <v/>
      </c>
      <c r="L334" s="37" t="str">
        <f aca="false">IF(F334="","",F334/FiberGoal)</f>
        <v/>
      </c>
      <c r="M334" s="37" t="str">
        <f aca="false">IF(G334="","",G334/WaterGoal)</f>
        <v/>
      </c>
    </row>
    <row r="335" customFormat="false" ht="15" hidden="false" customHeight="false" outlineLevel="0" collapsed="false">
      <c r="A335" s="26" t="n">
        <f aca="false">'Daily Tracker'!A335</f>
        <v>46353</v>
      </c>
      <c r="B335" s="28"/>
      <c r="C335" s="28"/>
      <c r="D335" s="28"/>
      <c r="E335" s="28"/>
      <c r="F335" s="28"/>
      <c r="G335" s="47" t="str">
        <f aca="false">IF('Daily Tracker'!I335="","",'Daily Tracker'!I335)</f>
        <v/>
      </c>
      <c r="H335" s="33" t="str">
        <f aca="false">IF(B335="","",B335/CalorieGoal)</f>
        <v/>
      </c>
      <c r="I335" s="33" t="str">
        <f aca="false">IF(C335="","",C335/ProteinGoal)</f>
        <v/>
      </c>
      <c r="J335" s="33" t="str">
        <f aca="false">IF(D335="","",D335/CarbGoal)</f>
        <v/>
      </c>
      <c r="K335" s="33" t="str">
        <f aca="false">IF(E335="","",E335/FatGoal)</f>
        <v/>
      </c>
      <c r="L335" s="33" t="str">
        <f aca="false">IF(F335="","",F335/FiberGoal)</f>
        <v/>
      </c>
      <c r="M335" s="33" t="str">
        <f aca="false">IF(G335="","",G335/WaterGoal)</f>
        <v/>
      </c>
    </row>
    <row r="336" customFormat="false" ht="15" hidden="false" customHeight="false" outlineLevel="0" collapsed="false">
      <c r="A336" s="35" t="n">
        <f aca="false">'Daily Tracker'!A336</f>
        <v>46354</v>
      </c>
      <c r="B336" s="28"/>
      <c r="C336" s="28"/>
      <c r="D336" s="28"/>
      <c r="E336" s="28"/>
      <c r="F336" s="28"/>
      <c r="G336" s="48" t="str">
        <f aca="false">IF('Daily Tracker'!I336="","",'Daily Tracker'!I336)</f>
        <v/>
      </c>
      <c r="H336" s="37" t="str">
        <f aca="false">IF(B336="","",B336/CalorieGoal)</f>
        <v/>
      </c>
      <c r="I336" s="37" t="str">
        <f aca="false">IF(C336="","",C336/ProteinGoal)</f>
        <v/>
      </c>
      <c r="J336" s="37" t="str">
        <f aca="false">IF(D336="","",D336/CarbGoal)</f>
        <v/>
      </c>
      <c r="K336" s="37" t="str">
        <f aca="false">IF(E336="","",E336/FatGoal)</f>
        <v/>
      </c>
      <c r="L336" s="37" t="str">
        <f aca="false">IF(F336="","",F336/FiberGoal)</f>
        <v/>
      </c>
      <c r="M336" s="37" t="str">
        <f aca="false">IF(G336="","",G336/WaterGoal)</f>
        <v/>
      </c>
    </row>
    <row r="337" customFormat="false" ht="15" hidden="false" customHeight="false" outlineLevel="0" collapsed="false">
      <c r="A337" s="26" t="n">
        <f aca="false">'Daily Tracker'!A337</f>
        <v>46355</v>
      </c>
      <c r="B337" s="28"/>
      <c r="C337" s="28"/>
      <c r="D337" s="28"/>
      <c r="E337" s="28"/>
      <c r="F337" s="28"/>
      <c r="G337" s="47" t="str">
        <f aca="false">IF('Daily Tracker'!I337="","",'Daily Tracker'!I337)</f>
        <v/>
      </c>
      <c r="H337" s="33" t="str">
        <f aca="false">IF(B337="","",B337/CalorieGoal)</f>
        <v/>
      </c>
      <c r="I337" s="33" t="str">
        <f aca="false">IF(C337="","",C337/ProteinGoal)</f>
        <v/>
      </c>
      <c r="J337" s="33" t="str">
        <f aca="false">IF(D337="","",D337/CarbGoal)</f>
        <v/>
      </c>
      <c r="K337" s="33" t="str">
        <f aca="false">IF(E337="","",E337/FatGoal)</f>
        <v/>
      </c>
      <c r="L337" s="33" t="str">
        <f aca="false">IF(F337="","",F337/FiberGoal)</f>
        <v/>
      </c>
      <c r="M337" s="33" t="str">
        <f aca="false">IF(G337="","",G337/WaterGoal)</f>
        <v/>
      </c>
    </row>
    <row r="338" customFormat="false" ht="15" hidden="false" customHeight="false" outlineLevel="0" collapsed="false">
      <c r="A338" s="35" t="n">
        <f aca="false">'Daily Tracker'!A338</f>
        <v>46356</v>
      </c>
      <c r="B338" s="28"/>
      <c r="C338" s="28"/>
      <c r="D338" s="28"/>
      <c r="E338" s="28"/>
      <c r="F338" s="28"/>
      <c r="G338" s="48" t="str">
        <f aca="false">IF('Daily Tracker'!I338="","",'Daily Tracker'!I338)</f>
        <v/>
      </c>
      <c r="H338" s="37" t="str">
        <f aca="false">IF(B338="","",B338/CalorieGoal)</f>
        <v/>
      </c>
      <c r="I338" s="37" t="str">
        <f aca="false">IF(C338="","",C338/ProteinGoal)</f>
        <v/>
      </c>
      <c r="J338" s="37" t="str">
        <f aca="false">IF(D338="","",D338/CarbGoal)</f>
        <v/>
      </c>
      <c r="K338" s="37" t="str">
        <f aca="false">IF(E338="","",E338/FatGoal)</f>
        <v/>
      </c>
      <c r="L338" s="37" t="str">
        <f aca="false">IF(F338="","",F338/FiberGoal)</f>
        <v/>
      </c>
      <c r="M338" s="37" t="str">
        <f aca="false">IF(G338="","",G338/WaterGoal)</f>
        <v/>
      </c>
    </row>
    <row r="339" customFormat="false" ht="15" hidden="false" customHeight="false" outlineLevel="0" collapsed="false">
      <c r="A339" s="26" t="n">
        <f aca="false">'Daily Tracker'!A339</f>
        <v>46357</v>
      </c>
      <c r="B339" s="28"/>
      <c r="C339" s="28"/>
      <c r="D339" s="28"/>
      <c r="E339" s="28"/>
      <c r="F339" s="28"/>
      <c r="G339" s="47" t="str">
        <f aca="false">IF('Daily Tracker'!I339="","",'Daily Tracker'!I339)</f>
        <v/>
      </c>
      <c r="H339" s="33" t="str">
        <f aca="false">IF(B339="","",B339/CalorieGoal)</f>
        <v/>
      </c>
      <c r="I339" s="33" t="str">
        <f aca="false">IF(C339="","",C339/ProteinGoal)</f>
        <v/>
      </c>
      <c r="J339" s="33" t="str">
        <f aca="false">IF(D339="","",D339/CarbGoal)</f>
        <v/>
      </c>
      <c r="K339" s="33" t="str">
        <f aca="false">IF(E339="","",E339/FatGoal)</f>
        <v/>
      </c>
      <c r="L339" s="33" t="str">
        <f aca="false">IF(F339="","",F339/FiberGoal)</f>
        <v/>
      </c>
      <c r="M339" s="33" t="str">
        <f aca="false">IF(G339="","",G339/WaterGoal)</f>
        <v/>
      </c>
    </row>
    <row r="340" customFormat="false" ht="15" hidden="false" customHeight="false" outlineLevel="0" collapsed="false">
      <c r="A340" s="35" t="n">
        <f aca="false">'Daily Tracker'!A340</f>
        <v>46358</v>
      </c>
      <c r="B340" s="28"/>
      <c r="C340" s="28"/>
      <c r="D340" s="28"/>
      <c r="E340" s="28"/>
      <c r="F340" s="28"/>
      <c r="G340" s="48" t="str">
        <f aca="false">IF('Daily Tracker'!I340="","",'Daily Tracker'!I340)</f>
        <v/>
      </c>
      <c r="H340" s="37" t="str">
        <f aca="false">IF(B340="","",B340/CalorieGoal)</f>
        <v/>
      </c>
      <c r="I340" s="37" t="str">
        <f aca="false">IF(C340="","",C340/ProteinGoal)</f>
        <v/>
      </c>
      <c r="J340" s="37" t="str">
        <f aca="false">IF(D340="","",D340/CarbGoal)</f>
        <v/>
      </c>
      <c r="K340" s="37" t="str">
        <f aca="false">IF(E340="","",E340/FatGoal)</f>
        <v/>
      </c>
      <c r="L340" s="37" t="str">
        <f aca="false">IF(F340="","",F340/FiberGoal)</f>
        <v/>
      </c>
      <c r="M340" s="37" t="str">
        <f aca="false">IF(G340="","",G340/WaterGoal)</f>
        <v/>
      </c>
    </row>
    <row r="341" customFormat="false" ht="15" hidden="false" customHeight="false" outlineLevel="0" collapsed="false">
      <c r="A341" s="26" t="n">
        <f aca="false">'Daily Tracker'!A341</f>
        <v>46359</v>
      </c>
      <c r="B341" s="28"/>
      <c r="C341" s="28"/>
      <c r="D341" s="28"/>
      <c r="E341" s="28"/>
      <c r="F341" s="28"/>
      <c r="G341" s="47" t="str">
        <f aca="false">IF('Daily Tracker'!I341="","",'Daily Tracker'!I341)</f>
        <v/>
      </c>
      <c r="H341" s="33" t="str">
        <f aca="false">IF(B341="","",B341/CalorieGoal)</f>
        <v/>
      </c>
      <c r="I341" s="33" t="str">
        <f aca="false">IF(C341="","",C341/ProteinGoal)</f>
        <v/>
      </c>
      <c r="J341" s="33" t="str">
        <f aca="false">IF(D341="","",D341/CarbGoal)</f>
        <v/>
      </c>
      <c r="K341" s="33" t="str">
        <f aca="false">IF(E341="","",E341/FatGoal)</f>
        <v/>
      </c>
      <c r="L341" s="33" t="str">
        <f aca="false">IF(F341="","",F341/FiberGoal)</f>
        <v/>
      </c>
      <c r="M341" s="33" t="str">
        <f aca="false">IF(G341="","",G341/WaterGoal)</f>
        <v/>
      </c>
    </row>
    <row r="342" customFormat="false" ht="15" hidden="false" customHeight="false" outlineLevel="0" collapsed="false">
      <c r="A342" s="35" t="n">
        <f aca="false">'Daily Tracker'!A342</f>
        <v>46360</v>
      </c>
      <c r="B342" s="28"/>
      <c r="C342" s="28"/>
      <c r="D342" s="28"/>
      <c r="E342" s="28"/>
      <c r="F342" s="28"/>
      <c r="G342" s="48" t="str">
        <f aca="false">IF('Daily Tracker'!I342="","",'Daily Tracker'!I342)</f>
        <v/>
      </c>
      <c r="H342" s="37" t="str">
        <f aca="false">IF(B342="","",B342/CalorieGoal)</f>
        <v/>
      </c>
      <c r="I342" s="37" t="str">
        <f aca="false">IF(C342="","",C342/ProteinGoal)</f>
        <v/>
      </c>
      <c r="J342" s="37" t="str">
        <f aca="false">IF(D342="","",D342/CarbGoal)</f>
        <v/>
      </c>
      <c r="K342" s="37" t="str">
        <f aca="false">IF(E342="","",E342/FatGoal)</f>
        <v/>
      </c>
      <c r="L342" s="37" t="str">
        <f aca="false">IF(F342="","",F342/FiberGoal)</f>
        <v/>
      </c>
      <c r="M342" s="37" t="str">
        <f aca="false">IF(G342="","",G342/WaterGoal)</f>
        <v/>
      </c>
    </row>
    <row r="343" customFormat="false" ht="15" hidden="false" customHeight="false" outlineLevel="0" collapsed="false">
      <c r="A343" s="26" t="n">
        <f aca="false">'Daily Tracker'!A343</f>
        <v>46361</v>
      </c>
      <c r="B343" s="28"/>
      <c r="C343" s="28"/>
      <c r="D343" s="28"/>
      <c r="E343" s="28"/>
      <c r="F343" s="28"/>
      <c r="G343" s="47" t="str">
        <f aca="false">IF('Daily Tracker'!I343="","",'Daily Tracker'!I343)</f>
        <v/>
      </c>
      <c r="H343" s="33" t="str">
        <f aca="false">IF(B343="","",B343/CalorieGoal)</f>
        <v/>
      </c>
      <c r="I343" s="33" t="str">
        <f aca="false">IF(C343="","",C343/ProteinGoal)</f>
        <v/>
      </c>
      <c r="J343" s="33" t="str">
        <f aca="false">IF(D343="","",D343/CarbGoal)</f>
        <v/>
      </c>
      <c r="K343" s="33" t="str">
        <f aca="false">IF(E343="","",E343/FatGoal)</f>
        <v/>
      </c>
      <c r="L343" s="33" t="str">
        <f aca="false">IF(F343="","",F343/FiberGoal)</f>
        <v/>
      </c>
      <c r="M343" s="33" t="str">
        <f aca="false">IF(G343="","",G343/WaterGoal)</f>
        <v/>
      </c>
    </row>
    <row r="344" customFormat="false" ht="15" hidden="false" customHeight="false" outlineLevel="0" collapsed="false">
      <c r="A344" s="35" t="n">
        <f aca="false">'Daily Tracker'!A344</f>
        <v>46362</v>
      </c>
      <c r="B344" s="28"/>
      <c r="C344" s="28"/>
      <c r="D344" s="28"/>
      <c r="E344" s="28"/>
      <c r="F344" s="28"/>
      <c r="G344" s="48" t="str">
        <f aca="false">IF('Daily Tracker'!I344="","",'Daily Tracker'!I344)</f>
        <v/>
      </c>
      <c r="H344" s="37" t="str">
        <f aca="false">IF(B344="","",B344/CalorieGoal)</f>
        <v/>
      </c>
      <c r="I344" s="37" t="str">
        <f aca="false">IF(C344="","",C344/ProteinGoal)</f>
        <v/>
      </c>
      <c r="J344" s="37" t="str">
        <f aca="false">IF(D344="","",D344/CarbGoal)</f>
        <v/>
      </c>
      <c r="K344" s="37" t="str">
        <f aca="false">IF(E344="","",E344/FatGoal)</f>
        <v/>
      </c>
      <c r="L344" s="37" t="str">
        <f aca="false">IF(F344="","",F344/FiberGoal)</f>
        <v/>
      </c>
      <c r="M344" s="37" t="str">
        <f aca="false">IF(G344="","",G344/WaterGoal)</f>
        <v/>
      </c>
    </row>
    <row r="345" customFormat="false" ht="15" hidden="false" customHeight="false" outlineLevel="0" collapsed="false">
      <c r="A345" s="26" t="n">
        <f aca="false">'Daily Tracker'!A345</f>
        <v>46363</v>
      </c>
      <c r="B345" s="28"/>
      <c r="C345" s="28"/>
      <c r="D345" s="28"/>
      <c r="E345" s="28"/>
      <c r="F345" s="28"/>
      <c r="G345" s="47" t="str">
        <f aca="false">IF('Daily Tracker'!I345="","",'Daily Tracker'!I345)</f>
        <v/>
      </c>
      <c r="H345" s="33" t="str">
        <f aca="false">IF(B345="","",B345/CalorieGoal)</f>
        <v/>
      </c>
      <c r="I345" s="33" t="str">
        <f aca="false">IF(C345="","",C345/ProteinGoal)</f>
        <v/>
      </c>
      <c r="J345" s="33" t="str">
        <f aca="false">IF(D345="","",D345/CarbGoal)</f>
        <v/>
      </c>
      <c r="K345" s="33" t="str">
        <f aca="false">IF(E345="","",E345/FatGoal)</f>
        <v/>
      </c>
      <c r="L345" s="33" t="str">
        <f aca="false">IF(F345="","",F345/FiberGoal)</f>
        <v/>
      </c>
      <c r="M345" s="33" t="str">
        <f aca="false">IF(G345="","",G345/WaterGoal)</f>
        <v/>
      </c>
    </row>
    <row r="346" customFormat="false" ht="15" hidden="false" customHeight="false" outlineLevel="0" collapsed="false">
      <c r="A346" s="35" t="n">
        <f aca="false">'Daily Tracker'!A346</f>
        <v>46364</v>
      </c>
      <c r="B346" s="28"/>
      <c r="C346" s="28"/>
      <c r="D346" s="28"/>
      <c r="E346" s="28"/>
      <c r="F346" s="28"/>
      <c r="G346" s="48" t="str">
        <f aca="false">IF('Daily Tracker'!I346="","",'Daily Tracker'!I346)</f>
        <v/>
      </c>
      <c r="H346" s="37" t="str">
        <f aca="false">IF(B346="","",B346/CalorieGoal)</f>
        <v/>
      </c>
      <c r="I346" s="37" t="str">
        <f aca="false">IF(C346="","",C346/ProteinGoal)</f>
        <v/>
      </c>
      <c r="J346" s="37" t="str">
        <f aca="false">IF(D346="","",D346/CarbGoal)</f>
        <v/>
      </c>
      <c r="K346" s="37" t="str">
        <f aca="false">IF(E346="","",E346/FatGoal)</f>
        <v/>
      </c>
      <c r="L346" s="37" t="str">
        <f aca="false">IF(F346="","",F346/FiberGoal)</f>
        <v/>
      </c>
      <c r="M346" s="37" t="str">
        <f aca="false">IF(G346="","",G346/WaterGoal)</f>
        <v/>
      </c>
    </row>
    <row r="347" customFormat="false" ht="15" hidden="false" customHeight="false" outlineLevel="0" collapsed="false">
      <c r="A347" s="26" t="n">
        <f aca="false">'Daily Tracker'!A347</f>
        <v>46365</v>
      </c>
      <c r="B347" s="28"/>
      <c r="C347" s="28"/>
      <c r="D347" s="28"/>
      <c r="E347" s="28"/>
      <c r="F347" s="28"/>
      <c r="G347" s="47" t="str">
        <f aca="false">IF('Daily Tracker'!I347="","",'Daily Tracker'!I347)</f>
        <v/>
      </c>
      <c r="H347" s="33" t="str">
        <f aca="false">IF(B347="","",B347/CalorieGoal)</f>
        <v/>
      </c>
      <c r="I347" s="33" t="str">
        <f aca="false">IF(C347="","",C347/ProteinGoal)</f>
        <v/>
      </c>
      <c r="J347" s="33" t="str">
        <f aca="false">IF(D347="","",D347/CarbGoal)</f>
        <v/>
      </c>
      <c r="K347" s="33" t="str">
        <f aca="false">IF(E347="","",E347/FatGoal)</f>
        <v/>
      </c>
      <c r="L347" s="33" t="str">
        <f aca="false">IF(F347="","",F347/FiberGoal)</f>
        <v/>
      </c>
      <c r="M347" s="33" t="str">
        <f aca="false">IF(G347="","",G347/WaterGoal)</f>
        <v/>
      </c>
    </row>
    <row r="348" customFormat="false" ht="15" hidden="false" customHeight="false" outlineLevel="0" collapsed="false">
      <c r="A348" s="35" t="n">
        <f aca="false">'Daily Tracker'!A348</f>
        <v>46366</v>
      </c>
      <c r="B348" s="28"/>
      <c r="C348" s="28"/>
      <c r="D348" s="28"/>
      <c r="E348" s="28"/>
      <c r="F348" s="28"/>
      <c r="G348" s="48" t="str">
        <f aca="false">IF('Daily Tracker'!I348="","",'Daily Tracker'!I348)</f>
        <v/>
      </c>
      <c r="H348" s="37" t="str">
        <f aca="false">IF(B348="","",B348/CalorieGoal)</f>
        <v/>
      </c>
      <c r="I348" s="37" t="str">
        <f aca="false">IF(C348="","",C348/ProteinGoal)</f>
        <v/>
      </c>
      <c r="J348" s="37" t="str">
        <f aca="false">IF(D348="","",D348/CarbGoal)</f>
        <v/>
      </c>
      <c r="K348" s="37" t="str">
        <f aca="false">IF(E348="","",E348/FatGoal)</f>
        <v/>
      </c>
      <c r="L348" s="37" t="str">
        <f aca="false">IF(F348="","",F348/FiberGoal)</f>
        <v/>
      </c>
      <c r="M348" s="37" t="str">
        <f aca="false">IF(G348="","",G348/WaterGoal)</f>
        <v/>
      </c>
    </row>
    <row r="349" customFormat="false" ht="15" hidden="false" customHeight="false" outlineLevel="0" collapsed="false">
      <c r="A349" s="26" t="n">
        <f aca="false">'Daily Tracker'!A349</f>
        <v>46367</v>
      </c>
      <c r="B349" s="28"/>
      <c r="C349" s="28"/>
      <c r="D349" s="28"/>
      <c r="E349" s="28"/>
      <c r="F349" s="28"/>
      <c r="G349" s="47" t="str">
        <f aca="false">IF('Daily Tracker'!I349="","",'Daily Tracker'!I349)</f>
        <v/>
      </c>
      <c r="H349" s="33" t="str">
        <f aca="false">IF(B349="","",B349/CalorieGoal)</f>
        <v/>
      </c>
      <c r="I349" s="33" t="str">
        <f aca="false">IF(C349="","",C349/ProteinGoal)</f>
        <v/>
      </c>
      <c r="J349" s="33" t="str">
        <f aca="false">IF(D349="","",D349/CarbGoal)</f>
        <v/>
      </c>
      <c r="K349" s="33" t="str">
        <f aca="false">IF(E349="","",E349/FatGoal)</f>
        <v/>
      </c>
      <c r="L349" s="33" t="str">
        <f aca="false">IF(F349="","",F349/FiberGoal)</f>
        <v/>
      </c>
      <c r="M349" s="33" t="str">
        <f aca="false">IF(G349="","",G349/WaterGoal)</f>
        <v/>
      </c>
    </row>
    <row r="350" customFormat="false" ht="15" hidden="false" customHeight="false" outlineLevel="0" collapsed="false">
      <c r="A350" s="35" t="n">
        <f aca="false">'Daily Tracker'!A350</f>
        <v>46368</v>
      </c>
      <c r="B350" s="28"/>
      <c r="C350" s="28"/>
      <c r="D350" s="28"/>
      <c r="E350" s="28"/>
      <c r="F350" s="28"/>
      <c r="G350" s="48" t="str">
        <f aca="false">IF('Daily Tracker'!I350="","",'Daily Tracker'!I350)</f>
        <v/>
      </c>
      <c r="H350" s="37" t="str">
        <f aca="false">IF(B350="","",B350/CalorieGoal)</f>
        <v/>
      </c>
      <c r="I350" s="37" t="str">
        <f aca="false">IF(C350="","",C350/ProteinGoal)</f>
        <v/>
      </c>
      <c r="J350" s="37" t="str">
        <f aca="false">IF(D350="","",D350/CarbGoal)</f>
        <v/>
      </c>
      <c r="K350" s="37" t="str">
        <f aca="false">IF(E350="","",E350/FatGoal)</f>
        <v/>
      </c>
      <c r="L350" s="37" t="str">
        <f aca="false">IF(F350="","",F350/FiberGoal)</f>
        <v/>
      </c>
      <c r="M350" s="37" t="str">
        <f aca="false">IF(G350="","",G350/WaterGoal)</f>
        <v/>
      </c>
    </row>
    <row r="351" customFormat="false" ht="15" hidden="false" customHeight="false" outlineLevel="0" collapsed="false">
      <c r="A351" s="26" t="n">
        <f aca="false">'Daily Tracker'!A351</f>
        <v>46369</v>
      </c>
      <c r="B351" s="28"/>
      <c r="C351" s="28"/>
      <c r="D351" s="28"/>
      <c r="E351" s="28"/>
      <c r="F351" s="28"/>
      <c r="G351" s="47" t="str">
        <f aca="false">IF('Daily Tracker'!I351="","",'Daily Tracker'!I351)</f>
        <v/>
      </c>
      <c r="H351" s="33" t="str">
        <f aca="false">IF(B351="","",B351/CalorieGoal)</f>
        <v/>
      </c>
      <c r="I351" s="33" t="str">
        <f aca="false">IF(C351="","",C351/ProteinGoal)</f>
        <v/>
      </c>
      <c r="J351" s="33" t="str">
        <f aca="false">IF(D351="","",D351/CarbGoal)</f>
        <v/>
      </c>
      <c r="K351" s="33" t="str">
        <f aca="false">IF(E351="","",E351/FatGoal)</f>
        <v/>
      </c>
      <c r="L351" s="33" t="str">
        <f aca="false">IF(F351="","",F351/FiberGoal)</f>
        <v/>
      </c>
      <c r="M351" s="33" t="str">
        <f aca="false">IF(G351="","",G351/WaterGoal)</f>
        <v/>
      </c>
    </row>
    <row r="352" customFormat="false" ht="15" hidden="false" customHeight="false" outlineLevel="0" collapsed="false">
      <c r="A352" s="35" t="n">
        <f aca="false">'Daily Tracker'!A352</f>
        <v>46370</v>
      </c>
      <c r="B352" s="28"/>
      <c r="C352" s="28"/>
      <c r="D352" s="28"/>
      <c r="E352" s="28"/>
      <c r="F352" s="28"/>
      <c r="G352" s="48" t="str">
        <f aca="false">IF('Daily Tracker'!I352="","",'Daily Tracker'!I352)</f>
        <v/>
      </c>
      <c r="H352" s="37" t="str">
        <f aca="false">IF(B352="","",B352/CalorieGoal)</f>
        <v/>
      </c>
      <c r="I352" s="37" t="str">
        <f aca="false">IF(C352="","",C352/ProteinGoal)</f>
        <v/>
      </c>
      <c r="J352" s="37" t="str">
        <f aca="false">IF(D352="","",D352/CarbGoal)</f>
        <v/>
      </c>
      <c r="K352" s="37" t="str">
        <f aca="false">IF(E352="","",E352/FatGoal)</f>
        <v/>
      </c>
      <c r="L352" s="37" t="str">
        <f aca="false">IF(F352="","",F352/FiberGoal)</f>
        <v/>
      </c>
      <c r="M352" s="37" t="str">
        <f aca="false">IF(G352="","",G352/WaterGoal)</f>
        <v/>
      </c>
    </row>
    <row r="353" customFormat="false" ht="15" hidden="false" customHeight="false" outlineLevel="0" collapsed="false">
      <c r="A353" s="26" t="n">
        <f aca="false">'Daily Tracker'!A353</f>
        <v>46371</v>
      </c>
      <c r="B353" s="28"/>
      <c r="C353" s="28"/>
      <c r="D353" s="28"/>
      <c r="E353" s="28"/>
      <c r="F353" s="28"/>
      <c r="G353" s="47" t="str">
        <f aca="false">IF('Daily Tracker'!I353="","",'Daily Tracker'!I353)</f>
        <v/>
      </c>
      <c r="H353" s="33" t="str">
        <f aca="false">IF(B353="","",B353/CalorieGoal)</f>
        <v/>
      </c>
      <c r="I353" s="33" t="str">
        <f aca="false">IF(C353="","",C353/ProteinGoal)</f>
        <v/>
      </c>
      <c r="J353" s="33" t="str">
        <f aca="false">IF(D353="","",D353/CarbGoal)</f>
        <v/>
      </c>
      <c r="K353" s="33" t="str">
        <f aca="false">IF(E353="","",E353/FatGoal)</f>
        <v/>
      </c>
      <c r="L353" s="33" t="str">
        <f aca="false">IF(F353="","",F353/FiberGoal)</f>
        <v/>
      </c>
      <c r="M353" s="33" t="str">
        <f aca="false">IF(G353="","",G353/WaterGoal)</f>
        <v/>
      </c>
    </row>
    <row r="354" customFormat="false" ht="15" hidden="false" customHeight="false" outlineLevel="0" collapsed="false">
      <c r="A354" s="35" t="n">
        <f aca="false">'Daily Tracker'!A354</f>
        <v>46372</v>
      </c>
      <c r="B354" s="28"/>
      <c r="C354" s="28"/>
      <c r="D354" s="28"/>
      <c r="E354" s="28"/>
      <c r="F354" s="28"/>
      <c r="G354" s="48" t="str">
        <f aca="false">IF('Daily Tracker'!I354="","",'Daily Tracker'!I354)</f>
        <v/>
      </c>
      <c r="H354" s="37" t="str">
        <f aca="false">IF(B354="","",B354/CalorieGoal)</f>
        <v/>
      </c>
      <c r="I354" s="37" t="str">
        <f aca="false">IF(C354="","",C354/ProteinGoal)</f>
        <v/>
      </c>
      <c r="J354" s="37" t="str">
        <f aca="false">IF(D354="","",D354/CarbGoal)</f>
        <v/>
      </c>
      <c r="K354" s="37" t="str">
        <f aca="false">IF(E354="","",E354/FatGoal)</f>
        <v/>
      </c>
      <c r="L354" s="37" t="str">
        <f aca="false">IF(F354="","",F354/FiberGoal)</f>
        <v/>
      </c>
      <c r="M354" s="37" t="str">
        <f aca="false">IF(G354="","",G354/WaterGoal)</f>
        <v/>
      </c>
    </row>
    <row r="355" customFormat="false" ht="15" hidden="false" customHeight="false" outlineLevel="0" collapsed="false">
      <c r="A355" s="26" t="n">
        <f aca="false">'Daily Tracker'!A355</f>
        <v>46373</v>
      </c>
      <c r="B355" s="28"/>
      <c r="C355" s="28"/>
      <c r="D355" s="28"/>
      <c r="E355" s="28"/>
      <c r="F355" s="28"/>
      <c r="G355" s="47" t="str">
        <f aca="false">IF('Daily Tracker'!I355="","",'Daily Tracker'!I355)</f>
        <v/>
      </c>
      <c r="H355" s="33" t="str">
        <f aca="false">IF(B355="","",B355/CalorieGoal)</f>
        <v/>
      </c>
      <c r="I355" s="33" t="str">
        <f aca="false">IF(C355="","",C355/ProteinGoal)</f>
        <v/>
      </c>
      <c r="J355" s="33" t="str">
        <f aca="false">IF(D355="","",D355/CarbGoal)</f>
        <v/>
      </c>
      <c r="K355" s="33" t="str">
        <f aca="false">IF(E355="","",E355/FatGoal)</f>
        <v/>
      </c>
      <c r="L355" s="33" t="str">
        <f aca="false">IF(F355="","",F355/FiberGoal)</f>
        <v/>
      </c>
      <c r="M355" s="33" t="str">
        <f aca="false">IF(G355="","",G355/WaterGoal)</f>
        <v/>
      </c>
    </row>
    <row r="356" customFormat="false" ht="15" hidden="false" customHeight="false" outlineLevel="0" collapsed="false">
      <c r="A356" s="35" t="n">
        <f aca="false">'Daily Tracker'!A356</f>
        <v>46374</v>
      </c>
      <c r="B356" s="28"/>
      <c r="C356" s="28"/>
      <c r="D356" s="28"/>
      <c r="E356" s="28"/>
      <c r="F356" s="28"/>
      <c r="G356" s="48" t="str">
        <f aca="false">IF('Daily Tracker'!I356="","",'Daily Tracker'!I356)</f>
        <v/>
      </c>
      <c r="H356" s="37" t="str">
        <f aca="false">IF(B356="","",B356/CalorieGoal)</f>
        <v/>
      </c>
      <c r="I356" s="37" t="str">
        <f aca="false">IF(C356="","",C356/ProteinGoal)</f>
        <v/>
      </c>
      <c r="J356" s="37" t="str">
        <f aca="false">IF(D356="","",D356/CarbGoal)</f>
        <v/>
      </c>
      <c r="K356" s="37" t="str">
        <f aca="false">IF(E356="","",E356/FatGoal)</f>
        <v/>
      </c>
      <c r="L356" s="37" t="str">
        <f aca="false">IF(F356="","",F356/FiberGoal)</f>
        <v/>
      </c>
      <c r="M356" s="37" t="str">
        <f aca="false">IF(G356="","",G356/WaterGoal)</f>
        <v/>
      </c>
    </row>
    <row r="357" customFormat="false" ht="15" hidden="false" customHeight="false" outlineLevel="0" collapsed="false">
      <c r="A357" s="26" t="n">
        <f aca="false">'Daily Tracker'!A357</f>
        <v>46375</v>
      </c>
      <c r="B357" s="28"/>
      <c r="C357" s="28"/>
      <c r="D357" s="28"/>
      <c r="E357" s="28"/>
      <c r="F357" s="28"/>
      <c r="G357" s="47" t="str">
        <f aca="false">IF('Daily Tracker'!I357="","",'Daily Tracker'!I357)</f>
        <v/>
      </c>
      <c r="H357" s="33" t="str">
        <f aca="false">IF(B357="","",B357/CalorieGoal)</f>
        <v/>
      </c>
      <c r="I357" s="33" t="str">
        <f aca="false">IF(C357="","",C357/ProteinGoal)</f>
        <v/>
      </c>
      <c r="J357" s="33" t="str">
        <f aca="false">IF(D357="","",D357/CarbGoal)</f>
        <v/>
      </c>
      <c r="K357" s="33" t="str">
        <f aca="false">IF(E357="","",E357/FatGoal)</f>
        <v/>
      </c>
      <c r="L357" s="33" t="str">
        <f aca="false">IF(F357="","",F357/FiberGoal)</f>
        <v/>
      </c>
      <c r="M357" s="33" t="str">
        <f aca="false">IF(G357="","",G357/WaterGoal)</f>
        <v/>
      </c>
    </row>
    <row r="358" customFormat="false" ht="15" hidden="false" customHeight="false" outlineLevel="0" collapsed="false">
      <c r="A358" s="35" t="n">
        <f aca="false">'Daily Tracker'!A358</f>
        <v>46376</v>
      </c>
      <c r="B358" s="28"/>
      <c r="C358" s="28"/>
      <c r="D358" s="28"/>
      <c r="E358" s="28"/>
      <c r="F358" s="28"/>
      <c r="G358" s="48" t="str">
        <f aca="false">IF('Daily Tracker'!I358="","",'Daily Tracker'!I358)</f>
        <v/>
      </c>
      <c r="H358" s="37" t="str">
        <f aca="false">IF(B358="","",B358/CalorieGoal)</f>
        <v/>
      </c>
      <c r="I358" s="37" t="str">
        <f aca="false">IF(C358="","",C358/ProteinGoal)</f>
        <v/>
      </c>
      <c r="J358" s="37" t="str">
        <f aca="false">IF(D358="","",D358/CarbGoal)</f>
        <v/>
      </c>
      <c r="K358" s="37" t="str">
        <f aca="false">IF(E358="","",E358/FatGoal)</f>
        <v/>
      </c>
      <c r="L358" s="37" t="str">
        <f aca="false">IF(F358="","",F358/FiberGoal)</f>
        <v/>
      </c>
      <c r="M358" s="37" t="str">
        <f aca="false">IF(G358="","",G358/WaterGoal)</f>
        <v/>
      </c>
    </row>
    <row r="359" customFormat="false" ht="15" hidden="false" customHeight="false" outlineLevel="0" collapsed="false">
      <c r="A359" s="26" t="n">
        <f aca="false">'Daily Tracker'!A359</f>
        <v>46377</v>
      </c>
      <c r="B359" s="28"/>
      <c r="C359" s="28"/>
      <c r="D359" s="28"/>
      <c r="E359" s="28"/>
      <c r="F359" s="28"/>
      <c r="G359" s="47" t="str">
        <f aca="false">IF('Daily Tracker'!I359="","",'Daily Tracker'!I359)</f>
        <v/>
      </c>
      <c r="H359" s="33" t="str">
        <f aca="false">IF(B359="","",B359/CalorieGoal)</f>
        <v/>
      </c>
      <c r="I359" s="33" t="str">
        <f aca="false">IF(C359="","",C359/ProteinGoal)</f>
        <v/>
      </c>
      <c r="J359" s="33" t="str">
        <f aca="false">IF(D359="","",D359/CarbGoal)</f>
        <v/>
      </c>
      <c r="K359" s="33" t="str">
        <f aca="false">IF(E359="","",E359/FatGoal)</f>
        <v/>
      </c>
      <c r="L359" s="33" t="str">
        <f aca="false">IF(F359="","",F359/FiberGoal)</f>
        <v/>
      </c>
      <c r="M359" s="33" t="str">
        <f aca="false">IF(G359="","",G359/WaterGoal)</f>
        <v/>
      </c>
    </row>
    <row r="360" customFormat="false" ht="15" hidden="false" customHeight="false" outlineLevel="0" collapsed="false">
      <c r="A360" s="35" t="n">
        <f aca="false">'Daily Tracker'!A360</f>
        <v>46378</v>
      </c>
      <c r="B360" s="28"/>
      <c r="C360" s="28"/>
      <c r="D360" s="28"/>
      <c r="E360" s="28"/>
      <c r="F360" s="28"/>
      <c r="G360" s="48" t="str">
        <f aca="false">IF('Daily Tracker'!I360="","",'Daily Tracker'!I360)</f>
        <v/>
      </c>
      <c r="H360" s="37" t="str">
        <f aca="false">IF(B360="","",B360/CalorieGoal)</f>
        <v/>
      </c>
      <c r="I360" s="37" t="str">
        <f aca="false">IF(C360="","",C360/ProteinGoal)</f>
        <v/>
      </c>
      <c r="J360" s="37" t="str">
        <f aca="false">IF(D360="","",D360/CarbGoal)</f>
        <v/>
      </c>
      <c r="K360" s="37" t="str">
        <f aca="false">IF(E360="","",E360/FatGoal)</f>
        <v/>
      </c>
      <c r="L360" s="37" t="str">
        <f aca="false">IF(F360="","",F360/FiberGoal)</f>
        <v/>
      </c>
      <c r="M360" s="37" t="str">
        <f aca="false">IF(G360="","",G360/WaterGoal)</f>
        <v/>
      </c>
    </row>
    <row r="361" customFormat="false" ht="15" hidden="false" customHeight="false" outlineLevel="0" collapsed="false">
      <c r="A361" s="26" t="n">
        <f aca="false">'Daily Tracker'!A361</f>
        <v>46379</v>
      </c>
      <c r="B361" s="28"/>
      <c r="C361" s="28"/>
      <c r="D361" s="28"/>
      <c r="E361" s="28"/>
      <c r="F361" s="28"/>
      <c r="G361" s="47" t="str">
        <f aca="false">IF('Daily Tracker'!I361="","",'Daily Tracker'!I361)</f>
        <v/>
      </c>
      <c r="H361" s="33" t="str">
        <f aca="false">IF(B361="","",B361/CalorieGoal)</f>
        <v/>
      </c>
      <c r="I361" s="33" t="str">
        <f aca="false">IF(C361="","",C361/ProteinGoal)</f>
        <v/>
      </c>
      <c r="J361" s="33" t="str">
        <f aca="false">IF(D361="","",D361/CarbGoal)</f>
        <v/>
      </c>
      <c r="K361" s="33" t="str">
        <f aca="false">IF(E361="","",E361/FatGoal)</f>
        <v/>
      </c>
      <c r="L361" s="33" t="str">
        <f aca="false">IF(F361="","",F361/FiberGoal)</f>
        <v/>
      </c>
      <c r="M361" s="33" t="str">
        <f aca="false">IF(G361="","",G361/WaterGoal)</f>
        <v/>
      </c>
    </row>
    <row r="362" customFormat="false" ht="15" hidden="false" customHeight="false" outlineLevel="0" collapsed="false">
      <c r="A362" s="35" t="n">
        <f aca="false">'Daily Tracker'!A362</f>
        <v>46380</v>
      </c>
      <c r="B362" s="28"/>
      <c r="C362" s="28"/>
      <c r="D362" s="28"/>
      <c r="E362" s="28"/>
      <c r="F362" s="28"/>
      <c r="G362" s="48" t="str">
        <f aca="false">IF('Daily Tracker'!I362="","",'Daily Tracker'!I362)</f>
        <v/>
      </c>
      <c r="H362" s="37" t="str">
        <f aca="false">IF(B362="","",B362/CalorieGoal)</f>
        <v/>
      </c>
      <c r="I362" s="37" t="str">
        <f aca="false">IF(C362="","",C362/ProteinGoal)</f>
        <v/>
      </c>
      <c r="J362" s="37" t="str">
        <f aca="false">IF(D362="","",D362/CarbGoal)</f>
        <v/>
      </c>
      <c r="K362" s="37" t="str">
        <f aca="false">IF(E362="","",E362/FatGoal)</f>
        <v/>
      </c>
      <c r="L362" s="37" t="str">
        <f aca="false">IF(F362="","",F362/FiberGoal)</f>
        <v/>
      </c>
      <c r="M362" s="37" t="str">
        <f aca="false">IF(G362="","",G362/WaterGoal)</f>
        <v/>
      </c>
    </row>
    <row r="363" customFormat="false" ht="15" hidden="false" customHeight="false" outlineLevel="0" collapsed="false">
      <c r="A363" s="26" t="n">
        <f aca="false">'Daily Tracker'!A363</f>
        <v>46381</v>
      </c>
      <c r="B363" s="28"/>
      <c r="C363" s="28"/>
      <c r="D363" s="28"/>
      <c r="E363" s="28"/>
      <c r="F363" s="28"/>
      <c r="G363" s="47" t="str">
        <f aca="false">IF('Daily Tracker'!I363="","",'Daily Tracker'!I363)</f>
        <v/>
      </c>
      <c r="H363" s="33" t="str">
        <f aca="false">IF(B363="","",B363/CalorieGoal)</f>
        <v/>
      </c>
      <c r="I363" s="33" t="str">
        <f aca="false">IF(C363="","",C363/ProteinGoal)</f>
        <v/>
      </c>
      <c r="J363" s="33" t="str">
        <f aca="false">IF(D363="","",D363/CarbGoal)</f>
        <v/>
      </c>
      <c r="K363" s="33" t="str">
        <f aca="false">IF(E363="","",E363/FatGoal)</f>
        <v/>
      </c>
      <c r="L363" s="33" t="str">
        <f aca="false">IF(F363="","",F363/FiberGoal)</f>
        <v/>
      </c>
      <c r="M363" s="33" t="str">
        <f aca="false">IF(G363="","",G363/WaterGoal)</f>
        <v/>
      </c>
    </row>
    <row r="364" customFormat="false" ht="15" hidden="false" customHeight="false" outlineLevel="0" collapsed="false">
      <c r="A364" s="35" t="n">
        <f aca="false">'Daily Tracker'!A364</f>
        <v>46382</v>
      </c>
      <c r="B364" s="28"/>
      <c r="C364" s="28"/>
      <c r="D364" s="28"/>
      <c r="E364" s="28"/>
      <c r="F364" s="28"/>
      <c r="G364" s="48" t="str">
        <f aca="false">IF('Daily Tracker'!I364="","",'Daily Tracker'!I364)</f>
        <v/>
      </c>
      <c r="H364" s="37" t="str">
        <f aca="false">IF(B364="","",B364/CalorieGoal)</f>
        <v/>
      </c>
      <c r="I364" s="37" t="str">
        <f aca="false">IF(C364="","",C364/ProteinGoal)</f>
        <v/>
      </c>
      <c r="J364" s="37" t="str">
        <f aca="false">IF(D364="","",D364/CarbGoal)</f>
        <v/>
      </c>
      <c r="K364" s="37" t="str">
        <f aca="false">IF(E364="","",E364/FatGoal)</f>
        <v/>
      </c>
      <c r="L364" s="37" t="str">
        <f aca="false">IF(F364="","",F364/FiberGoal)</f>
        <v/>
      </c>
      <c r="M364" s="37" t="str">
        <f aca="false">IF(G364="","",G364/WaterGoal)</f>
        <v/>
      </c>
    </row>
    <row r="365" customFormat="false" ht="15" hidden="false" customHeight="false" outlineLevel="0" collapsed="false">
      <c r="A365" s="26" t="n">
        <f aca="false">'Daily Tracker'!A365</f>
        <v>46383</v>
      </c>
      <c r="B365" s="28"/>
      <c r="C365" s="28"/>
      <c r="D365" s="28"/>
      <c r="E365" s="28"/>
      <c r="F365" s="28"/>
      <c r="G365" s="47" t="str">
        <f aca="false">IF('Daily Tracker'!I365="","",'Daily Tracker'!I365)</f>
        <v/>
      </c>
      <c r="H365" s="33" t="str">
        <f aca="false">IF(B365="","",B365/CalorieGoal)</f>
        <v/>
      </c>
      <c r="I365" s="33" t="str">
        <f aca="false">IF(C365="","",C365/ProteinGoal)</f>
        <v/>
      </c>
      <c r="J365" s="33" t="str">
        <f aca="false">IF(D365="","",D365/CarbGoal)</f>
        <v/>
      </c>
      <c r="K365" s="33" t="str">
        <f aca="false">IF(E365="","",E365/FatGoal)</f>
        <v/>
      </c>
      <c r="L365" s="33" t="str">
        <f aca="false">IF(F365="","",F365/FiberGoal)</f>
        <v/>
      </c>
      <c r="M365" s="33" t="str">
        <f aca="false">IF(G365="","",G365/WaterGoal)</f>
        <v/>
      </c>
    </row>
    <row r="366" customFormat="false" ht="15" hidden="false" customHeight="false" outlineLevel="0" collapsed="false">
      <c r="A366" s="35" t="n">
        <f aca="false">'Daily Tracker'!A366</f>
        <v>46384</v>
      </c>
      <c r="B366" s="28"/>
      <c r="C366" s="28"/>
      <c r="D366" s="28"/>
      <c r="E366" s="28"/>
      <c r="F366" s="28"/>
      <c r="G366" s="48" t="str">
        <f aca="false">IF('Daily Tracker'!I366="","",'Daily Tracker'!I366)</f>
        <v/>
      </c>
      <c r="H366" s="37" t="str">
        <f aca="false">IF(B366="","",B366/CalorieGoal)</f>
        <v/>
      </c>
      <c r="I366" s="37" t="str">
        <f aca="false">IF(C366="","",C366/ProteinGoal)</f>
        <v/>
      </c>
      <c r="J366" s="37" t="str">
        <f aca="false">IF(D366="","",D366/CarbGoal)</f>
        <v/>
      </c>
      <c r="K366" s="37" t="str">
        <f aca="false">IF(E366="","",E366/FatGoal)</f>
        <v/>
      </c>
      <c r="L366" s="37" t="str">
        <f aca="false">IF(F366="","",F366/FiberGoal)</f>
        <v/>
      </c>
      <c r="M366" s="37" t="str">
        <f aca="false">IF(G366="","",G366/WaterGoal)</f>
        <v/>
      </c>
    </row>
    <row r="367" customFormat="false" ht="15" hidden="false" customHeight="false" outlineLevel="0" collapsed="false">
      <c r="A367" s="26" t="n">
        <f aca="false">'Daily Tracker'!A367</f>
        <v>46385</v>
      </c>
      <c r="B367" s="28"/>
      <c r="C367" s="28"/>
      <c r="D367" s="28"/>
      <c r="E367" s="28"/>
      <c r="F367" s="28"/>
      <c r="G367" s="47" t="str">
        <f aca="false">IF('Daily Tracker'!I367="","",'Daily Tracker'!I367)</f>
        <v/>
      </c>
      <c r="H367" s="33" t="str">
        <f aca="false">IF(B367="","",B367/CalorieGoal)</f>
        <v/>
      </c>
      <c r="I367" s="33" t="str">
        <f aca="false">IF(C367="","",C367/ProteinGoal)</f>
        <v/>
      </c>
      <c r="J367" s="33" t="str">
        <f aca="false">IF(D367="","",D367/CarbGoal)</f>
        <v/>
      </c>
      <c r="K367" s="33" t="str">
        <f aca="false">IF(E367="","",E367/FatGoal)</f>
        <v/>
      </c>
      <c r="L367" s="33" t="str">
        <f aca="false">IF(F367="","",F367/FiberGoal)</f>
        <v/>
      </c>
      <c r="M367" s="33" t="str">
        <f aca="false">IF(G367="","",G367/WaterGoal)</f>
        <v/>
      </c>
    </row>
    <row r="368" customFormat="false" ht="15" hidden="false" customHeight="false" outlineLevel="0" collapsed="false">
      <c r="A368" s="35" t="n">
        <f aca="false">'Daily Tracker'!A368</f>
        <v>46386</v>
      </c>
      <c r="B368" s="28"/>
      <c r="C368" s="28"/>
      <c r="D368" s="28"/>
      <c r="E368" s="28"/>
      <c r="F368" s="28"/>
      <c r="G368" s="48" t="str">
        <f aca="false">IF('Daily Tracker'!I368="","",'Daily Tracker'!I368)</f>
        <v/>
      </c>
      <c r="H368" s="37" t="str">
        <f aca="false">IF(B368="","",B368/CalorieGoal)</f>
        <v/>
      </c>
      <c r="I368" s="37" t="str">
        <f aca="false">IF(C368="","",C368/ProteinGoal)</f>
        <v/>
      </c>
      <c r="J368" s="37" t="str">
        <f aca="false">IF(D368="","",D368/CarbGoal)</f>
        <v/>
      </c>
      <c r="K368" s="37" t="str">
        <f aca="false">IF(E368="","",E368/FatGoal)</f>
        <v/>
      </c>
      <c r="L368" s="37" t="str">
        <f aca="false">IF(F368="","",F368/FiberGoal)</f>
        <v/>
      </c>
      <c r="M368" s="37" t="str">
        <f aca="false">IF(G368="","",G368/WaterGoal)</f>
        <v/>
      </c>
    </row>
    <row r="369" customFormat="false" ht="15" hidden="false" customHeight="false" outlineLevel="0" collapsed="false">
      <c r="A369" s="26" t="n">
        <f aca="false">'Daily Tracker'!A369</f>
        <v>46387</v>
      </c>
      <c r="B369" s="28"/>
      <c r="C369" s="28"/>
      <c r="D369" s="28"/>
      <c r="E369" s="28"/>
      <c r="F369" s="28"/>
      <c r="G369" s="47" t="str">
        <f aca="false">IF('Daily Tracker'!I369="","",'Daily Tracker'!I369)</f>
        <v/>
      </c>
      <c r="H369" s="33" t="str">
        <f aca="false">IF(B369="","",B369/CalorieGoal)</f>
        <v/>
      </c>
      <c r="I369" s="33" t="str">
        <f aca="false">IF(C369="","",C369/ProteinGoal)</f>
        <v/>
      </c>
      <c r="J369" s="33" t="str">
        <f aca="false">IF(D369="","",D369/CarbGoal)</f>
        <v/>
      </c>
      <c r="K369" s="33" t="str">
        <f aca="false">IF(E369="","",E369/FatGoal)</f>
        <v/>
      </c>
      <c r="L369" s="33" t="str">
        <f aca="false">IF(F369="","",F369/FiberGoal)</f>
        <v/>
      </c>
      <c r="M369" s="33" t="str">
        <f aca="false">IF(G369="","",G369/WaterGoal)</f>
        <v/>
      </c>
    </row>
  </sheetData>
  <mergeCells count="2">
    <mergeCell ref="A1:M1"/>
    <mergeCell ref="A2:M2"/>
  </mergeCells>
  <conditionalFormatting sqref="H5:H369">
    <cfRule type="dataBar" priority="2">
      <dataBar showValue="1" minLength="10" maxLength="90">
        <cfvo type="num" val="0"/>
        <cfvo type="num" val="1.5"/>
        <color rgb="FF3B82F6"/>
      </dataBar>
      <extLst>
        <ext xmlns:x14="http://schemas.microsoft.com/office/spreadsheetml/2009/9/main" uri="{B025F937-C7B1-47D3-B67F-A62EFF666E3E}">
          <x14:id>{D4D1617D-4A88-4125-9740-7F6B98E89D8E}</x14:id>
        </ext>
      </extLst>
    </cfRule>
  </conditionalFormatting>
  <conditionalFormatting sqref="I5:I369">
    <cfRule type="dataBar" priority="3">
      <dataBar showValue="1" minLength="10" maxLength="90">
        <cfvo type="num" val="0"/>
        <cfvo type="num" val="1.5"/>
        <color rgb="FF3B82F6"/>
      </dataBar>
      <extLst>
        <ext xmlns:x14="http://schemas.microsoft.com/office/spreadsheetml/2009/9/main" uri="{B025F937-C7B1-47D3-B67F-A62EFF666E3E}">
          <x14:id>{9AA36FD6-E0AF-43F4-BAF4-F1BDA2211B4B}</x14:id>
        </ext>
      </extLst>
    </cfRule>
  </conditionalFormatting>
  <conditionalFormatting sqref="J5:J369">
    <cfRule type="dataBar" priority="4">
      <dataBar showValue="1" minLength="10" maxLength="90">
        <cfvo type="num" val="0"/>
        <cfvo type="num" val="1.5"/>
        <color rgb="FF3B82F6"/>
      </dataBar>
      <extLst>
        <ext xmlns:x14="http://schemas.microsoft.com/office/spreadsheetml/2009/9/main" uri="{B025F937-C7B1-47D3-B67F-A62EFF666E3E}">
          <x14:id>{3AAC52B8-F88C-44F1-9A1D-259AC2286DFA}</x14:id>
        </ext>
      </extLst>
    </cfRule>
  </conditionalFormatting>
  <conditionalFormatting sqref="K5:K369">
    <cfRule type="dataBar" priority="5">
      <dataBar showValue="1" minLength="10" maxLength="90">
        <cfvo type="num" val="0"/>
        <cfvo type="num" val="1.5"/>
        <color rgb="FF3B82F6"/>
      </dataBar>
      <extLst>
        <ext xmlns:x14="http://schemas.microsoft.com/office/spreadsheetml/2009/9/main" uri="{B025F937-C7B1-47D3-B67F-A62EFF666E3E}">
          <x14:id>{82C860E0-A98B-4A60-B531-4B24DCCB8E67}</x14:id>
        </ext>
      </extLst>
    </cfRule>
  </conditionalFormatting>
  <conditionalFormatting sqref="L5:L369">
    <cfRule type="dataBar" priority="6">
      <dataBar showValue="1" minLength="10" maxLength="90">
        <cfvo type="num" val="0"/>
        <cfvo type="num" val="1.5"/>
        <color rgb="FF3B82F6"/>
      </dataBar>
      <extLst>
        <ext xmlns:x14="http://schemas.microsoft.com/office/spreadsheetml/2009/9/main" uri="{B025F937-C7B1-47D3-B67F-A62EFF666E3E}">
          <x14:id>{212AC6A2-12E7-4A5D-96F9-5F6F5139CD65}</x14:id>
        </ext>
      </extLst>
    </cfRule>
  </conditionalFormatting>
  <conditionalFormatting sqref="M5:M369">
    <cfRule type="dataBar" priority="7">
      <dataBar showValue="1" minLength="10" maxLength="90">
        <cfvo type="num" val="0"/>
        <cfvo type="num" val="1.5"/>
        <color rgb="FF3B82F6"/>
      </dataBar>
      <extLst>
        <ext xmlns:x14="http://schemas.microsoft.com/office/spreadsheetml/2009/9/main" uri="{B025F937-C7B1-47D3-B67F-A62EFF666E3E}">
          <x14:id>{ED3A1838-F038-49C6-871E-F6234A983BF5}</x14:id>
        </ext>
      </extLst>
    </cfRule>
  </conditionalFormatting>
  <printOptions headings="false" gridLines="false" gridLinesSet="true" horizontalCentered="false" verticalCentered="false"/>
  <pageMargins left="0.3" right="0.3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&amp;N&amp;R&amp;F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D1617D-4A88-4125-9740-7F6B98E89D8E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3B82F6"/>
              <x14:axisColor rgb="FF000000"/>
            </x14:dataBar>
          </x14:cfRule>
          <xm:sqref>H5:H369</xm:sqref>
        </x14:conditionalFormatting>
        <x14:conditionalFormatting xmlns:xm="http://schemas.microsoft.com/office/excel/2006/main">
          <x14:cfRule type="dataBar" id="{9AA36FD6-E0AF-43F4-BAF4-F1BDA2211B4B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3B82F6"/>
              <x14:axisColor rgb="FF000000"/>
            </x14:dataBar>
          </x14:cfRule>
          <xm:sqref>I5:I369</xm:sqref>
        </x14:conditionalFormatting>
        <x14:conditionalFormatting xmlns:xm="http://schemas.microsoft.com/office/excel/2006/main">
          <x14:cfRule type="dataBar" id="{3AAC52B8-F88C-44F1-9A1D-259AC2286DFA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3B82F6"/>
              <x14:axisColor rgb="FF000000"/>
            </x14:dataBar>
          </x14:cfRule>
          <xm:sqref>J5:J369</xm:sqref>
        </x14:conditionalFormatting>
        <x14:conditionalFormatting xmlns:xm="http://schemas.microsoft.com/office/excel/2006/main">
          <x14:cfRule type="dataBar" id="{82C860E0-A98B-4A60-B531-4B24DCCB8E67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3B82F6"/>
              <x14:axisColor rgb="FF000000"/>
            </x14:dataBar>
          </x14:cfRule>
          <xm:sqref>K5:K369</xm:sqref>
        </x14:conditionalFormatting>
        <x14:conditionalFormatting xmlns:xm="http://schemas.microsoft.com/office/excel/2006/main">
          <x14:cfRule type="dataBar" id="{212AC6A2-12E7-4A5D-96F9-5F6F5139CD65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3B82F6"/>
              <x14:axisColor rgb="FF000000"/>
            </x14:dataBar>
          </x14:cfRule>
          <xm:sqref>L5:L369</xm:sqref>
        </x14:conditionalFormatting>
        <x14:conditionalFormatting xmlns:xm="http://schemas.microsoft.com/office/excel/2006/main">
          <x14:cfRule type="dataBar" id="{ED3A1838-F038-49C6-871E-F6234A983BF5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3B82F6"/>
              <x14:axisColor rgb="FF000000"/>
            </x14:dataBar>
          </x14:cfRule>
          <xm:sqref>M5:M369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true"/>
  </sheetPr>
  <dimension ref="A1:N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true" outlineLevel="0" max="14" min="14" style="0" width="7"/>
  </cols>
  <sheetData>
    <row r="1" customFormat="false" ht="39.75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30" hidden="false" customHeight="true" outlineLevel="0" collapsed="false">
      <c r="A4" s="24" t="s">
        <v>39</v>
      </c>
      <c r="B4" s="24" t="s">
        <v>145</v>
      </c>
      <c r="C4" s="24" t="s">
        <v>146</v>
      </c>
      <c r="D4" s="24" t="s">
        <v>147</v>
      </c>
      <c r="E4" s="24" t="s">
        <v>148</v>
      </c>
      <c r="F4" s="24" t="s">
        <v>149</v>
      </c>
      <c r="G4" s="24" t="s">
        <v>150</v>
      </c>
      <c r="H4" s="24" t="s">
        <v>151</v>
      </c>
      <c r="I4" s="24" t="s">
        <v>152</v>
      </c>
      <c r="J4" s="24" t="s">
        <v>153</v>
      </c>
      <c r="K4" s="24" t="s">
        <v>154</v>
      </c>
      <c r="L4" s="24" t="s">
        <v>155</v>
      </c>
      <c r="M4" s="24" t="s">
        <v>156</v>
      </c>
      <c r="N4" s="24" t="s">
        <v>40</v>
      </c>
    </row>
    <row r="5" customFormat="false" ht="15" hidden="false" customHeight="false" outlineLevel="0" collapsed="false">
      <c r="A5" s="27" t="n">
        <v>1</v>
      </c>
      <c r="B5" s="57" t="n">
        <f aca="false">StartDate+(A5-1)*7</f>
        <v>46023</v>
      </c>
      <c r="C5" s="58" t="n">
        <f aca="false">SUMIFS('Daily Tracker'!$E$5:$E$369,'Daily Tracker'!$C$5:$C$369,A5)</f>
        <v>11500</v>
      </c>
      <c r="D5" s="47" t="n">
        <f aca="false">IFERROR(AVERAGEIFS('Daily Tracker'!$E$5:$E$369,'Daily Tracker'!$C$5:$C$369,A5),"")</f>
        <v>11500</v>
      </c>
      <c r="E5" s="47" t="n">
        <f aca="false">IFERROR(AVERAGEIFS('Daily Tracker'!$F$5:$F$369,'Daily Tracker'!$C$5:$C$369,A5),"")</f>
        <v>7.5</v>
      </c>
      <c r="F5" s="58" t="n">
        <f aca="false">COUNTIFS('Daily Tracker'!$C$5:$C$369,A5,'Daily Tracker'!$X$5:$X$369,1)</f>
        <v>1</v>
      </c>
      <c r="G5" s="58" t="n">
        <f aca="false">SUMIFS('Daily Tracker'!$M$5:$M$369,'Daily Tracker'!$C$5:$C$369,A5)</f>
        <v>75</v>
      </c>
      <c r="H5" s="58" t="n">
        <f aca="false">SUMIFS('Daily Tracker'!$K$5:$K$369,'Daily Tracker'!$C$5:$C$369,A5)</f>
        <v>3100</v>
      </c>
      <c r="I5" s="47" t="n">
        <f aca="false">SUMIFS('Daily Tracker'!$I$5:$I$369,'Daily Tracker'!$C$5:$C$369,A5)</f>
        <v>4.2</v>
      </c>
      <c r="J5" s="47" t="n">
        <f aca="false">IFERROR(AVERAGEIFS('Daily Tracker'!$G$5:$G$369,'Daily Tracker'!$C$5:$C$369,A5),"")</f>
        <v>76</v>
      </c>
      <c r="K5" s="47"/>
      <c r="L5" s="34" t="n">
        <f aca="false">IFERROR(AVERAGEIFS('Recovery Tracker'!$E$5:$E$369,'Daily Tracker'!$C$5:$C$369,A5),"")</f>
        <v>84</v>
      </c>
      <c r="M5" s="58" t="n">
        <f aca="false">SUMIFS('Workout Log'!$G$5:$G$504,'Workout Log'!$L$5:$L$504,A5)</f>
        <v>6880</v>
      </c>
      <c r="N5" s="27" t="str">
        <f aca="false">IF(B5="","",TEXT(B5,"mmm"))</f>
        <v>Jan</v>
      </c>
    </row>
    <row r="6" customFormat="false" ht="15" hidden="false" customHeight="false" outlineLevel="0" collapsed="false">
      <c r="A6" s="36" t="n">
        <v>2</v>
      </c>
      <c r="B6" s="59" t="n">
        <f aca="false">StartDate+(A6-1)*7</f>
        <v>46030</v>
      </c>
      <c r="C6" s="60" t="n">
        <f aca="false">SUMIFS('Daily Tracker'!$E$5:$E$369,'Daily Tracker'!$C$5:$C$369,A6)</f>
        <v>0</v>
      </c>
      <c r="D6" s="48" t="str">
        <f aca="false">IFERROR(AVERAGEIFS('Daily Tracker'!$E$5:$E$369,'Daily Tracker'!$C$5:$C$369,A6),"")</f>
        <v/>
      </c>
      <c r="E6" s="48" t="str">
        <f aca="false">IFERROR(AVERAGEIFS('Daily Tracker'!$F$5:$F$369,'Daily Tracker'!$C$5:$C$369,A6),"")</f>
        <v/>
      </c>
      <c r="F6" s="60" t="n">
        <f aca="false">COUNTIFS('Daily Tracker'!$C$5:$C$369,A6,'Daily Tracker'!$X$5:$X$369,1)</f>
        <v>0</v>
      </c>
      <c r="G6" s="60" t="n">
        <f aca="false">SUMIFS('Daily Tracker'!$M$5:$M$369,'Daily Tracker'!$C$5:$C$369,A6)</f>
        <v>0</v>
      </c>
      <c r="H6" s="60" t="n">
        <f aca="false">SUMIFS('Daily Tracker'!$K$5:$K$369,'Daily Tracker'!$C$5:$C$369,A6)</f>
        <v>0</v>
      </c>
      <c r="I6" s="48" t="n">
        <f aca="false">SUMIFS('Daily Tracker'!$I$5:$I$369,'Daily Tracker'!$C$5:$C$369,A6)</f>
        <v>0</v>
      </c>
      <c r="J6" s="48" t="str">
        <f aca="false">IFERROR(AVERAGEIFS('Daily Tracker'!$G$5:$G$369,'Daily Tracker'!$C$5:$C$369,A6),"")</f>
        <v/>
      </c>
      <c r="K6" s="48" t="str">
        <f aca="false">IF(OR(J6="",J5=""),"",J6-J5)</f>
        <v/>
      </c>
      <c r="L6" s="38" t="str">
        <f aca="false">IFERROR(AVERAGEIFS('Recovery Tracker'!$E$5:$E$369,'Daily Tracker'!$C$5:$C$369,A6),"")</f>
        <v/>
      </c>
      <c r="M6" s="60" t="n">
        <f aca="false">SUMIFS('Workout Log'!$G$5:$G$504,'Workout Log'!$L$5:$L$504,A6)</f>
        <v>0</v>
      </c>
      <c r="N6" s="36" t="str">
        <f aca="false">IF(B6="","",TEXT(B6,"mmm"))</f>
        <v>Jan</v>
      </c>
    </row>
    <row r="7" customFormat="false" ht="15" hidden="false" customHeight="false" outlineLevel="0" collapsed="false">
      <c r="A7" s="27" t="n">
        <v>3</v>
      </c>
      <c r="B7" s="57" t="n">
        <f aca="false">StartDate+(A7-1)*7</f>
        <v>46037</v>
      </c>
      <c r="C7" s="58" t="n">
        <f aca="false">SUMIFS('Daily Tracker'!$E$5:$E$369,'Daily Tracker'!$C$5:$C$369,A7)</f>
        <v>0</v>
      </c>
      <c r="D7" s="47" t="str">
        <f aca="false">IFERROR(AVERAGEIFS('Daily Tracker'!$E$5:$E$369,'Daily Tracker'!$C$5:$C$369,A7),"")</f>
        <v/>
      </c>
      <c r="E7" s="47" t="str">
        <f aca="false">IFERROR(AVERAGEIFS('Daily Tracker'!$F$5:$F$369,'Daily Tracker'!$C$5:$C$369,A7),"")</f>
        <v/>
      </c>
      <c r="F7" s="58" t="n">
        <f aca="false">COUNTIFS('Daily Tracker'!$C$5:$C$369,A7,'Daily Tracker'!$X$5:$X$369,1)</f>
        <v>0</v>
      </c>
      <c r="G7" s="58" t="n">
        <f aca="false">SUMIFS('Daily Tracker'!$M$5:$M$369,'Daily Tracker'!$C$5:$C$369,A7)</f>
        <v>0</v>
      </c>
      <c r="H7" s="58" t="n">
        <f aca="false">SUMIFS('Daily Tracker'!$K$5:$K$369,'Daily Tracker'!$C$5:$C$369,A7)</f>
        <v>0</v>
      </c>
      <c r="I7" s="47" t="n">
        <f aca="false">SUMIFS('Daily Tracker'!$I$5:$I$369,'Daily Tracker'!$C$5:$C$369,A7)</f>
        <v>0</v>
      </c>
      <c r="J7" s="47" t="str">
        <f aca="false">IFERROR(AVERAGEIFS('Daily Tracker'!$G$5:$G$369,'Daily Tracker'!$C$5:$C$369,A7),"")</f>
        <v/>
      </c>
      <c r="K7" s="47" t="str">
        <f aca="false">IF(OR(J7="",J6=""),"",J7-J6)</f>
        <v/>
      </c>
      <c r="L7" s="34" t="str">
        <f aca="false">IFERROR(AVERAGEIFS('Recovery Tracker'!$E$5:$E$369,'Daily Tracker'!$C$5:$C$369,A7),"")</f>
        <v/>
      </c>
      <c r="M7" s="58" t="n">
        <f aca="false">SUMIFS('Workout Log'!$G$5:$G$504,'Workout Log'!$L$5:$L$504,A7)</f>
        <v>0</v>
      </c>
      <c r="N7" s="27" t="str">
        <f aca="false">IF(B7="","",TEXT(B7,"mmm"))</f>
        <v>Jan</v>
      </c>
    </row>
    <row r="8" customFormat="false" ht="15" hidden="false" customHeight="false" outlineLevel="0" collapsed="false">
      <c r="A8" s="36" t="n">
        <v>4</v>
      </c>
      <c r="B8" s="59" t="n">
        <f aca="false">StartDate+(A8-1)*7</f>
        <v>46044</v>
      </c>
      <c r="C8" s="60" t="n">
        <f aca="false">SUMIFS('Daily Tracker'!$E$5:$E$369,'Daily Tracker'!$C$5:$C$369,A8)</f>
        <v>0</v>
      </c>
      <c r="D8" s="48" t="str">
        <f aca="false">IFERROR(AVERAGEIFS('Daily Tracker'!$E$5:$E$369,'Daily Tracker'!$C$5:$C$369,A8),"")</f>
        <v/>
      </c>
      <c r="E8" s="48" t="str">
        <f aca="false">IFERROR(AVERAGEIFS('Daily Tracker'!$F$5:$F$369,'Daily Tracker'!$C$5:$C$369,A8),"")</f>
        <v/>
      </c>
      <c r="F8" s="60" t="n">
        <f aca="false">COUNTIFS('Daily Tracker'!$C$5:$C$369,A8,'Daily Tracker'!$X$5:$X$369,1)</f>
        <v>0</v>
      </c>
      <c r="G8" s="60" t="n">
        <f aca="false">SUMIFS('Daily Tracker'!$M$5:$M$369,'Daily Tracker'!$C$5:$C$369,A8)</f>
        <v>0</v>
      </c>
      <c r="H8" s="60" t="n">
        <f aca="false">SUMIFS('Daily Tracker'!$K$5:$K$369,'Daily Tracker'!$C$5:$C$369,A8)</f>
        <v>0</v>
      </c>
      <c r="I8" s="48" t="n">
        <f aca="false">SUMIFS('Daily Tracker'!$I$5:$I$369,'Daily Tracker'!$C$5:$C$369,A8)</f>
        <v>0</v>
      </c>
      <c r="J8" s="48" t="str">
        <f aca="false">IFERROR(AVERAGEIFS('Daily Tracker'!$G$5:$G$369,'Daily Tracker'!$C$5:$C$369,A8),"")</f>
        <v/>
      </c>
      <c r="K8" s="48" t="str">
        <f aca="false">IF(OR(J8="",J7=""),"",J8-J7)</f>
        <v/>
      </c>
      <c r="L8" s="38" t="str">
        <f aca="false">IFERROR(AVERAGEIFS('Recovery Tracker'!$E$5:$E$369,'Daily Tracker'!$C$5:$C$369,A8),"")</f>
        <v/>
      </c>
      <c r="M8" s="60" t="n">
        <f aca="false">SUMIFS('Workout Log'!$G$5:$G$504,'Workout Log'!$L$5:$L$504,A8)</f>
        <v>0</v>
      </c>
      <c r="N8" s="36" t="str">
        <f aca="false">IF(B8="","",TEXT(B8,"mmm"))</f>
        <v>Jan</v>
      </c>
    </row>
    <row r="9" customFormat="false" ht="15" hidden="false" customHeight="false" outlineLevel="0" collapsed="false">
      <c r="A9" s="27" t="n">
        <v>5</v>
      </c>
      <c r="B9" s="57" t="n">
        <f aca="false">StartDate+(A9-1)*7</f>
        <v>46051</v>
      </c>
      <c r="C9" s="58" t="n">
        <f aca="false">SUMIFS('Daily Tracker'!$E$5:$E$369,'Daily Tracker'!$C$5:$C$369,A9)</f>
        <v>0</v>
      </c>
      <c r="D9" s="47" t="str">
        <f aca="false">IFERROR(AVERAGEIFS('Daily Tracker'!$E$5:$E$369,'Daily Tracker'!$C$5:$C$369,A9),"")</f>
        <v/>
      </c>
      <c r="E9" s="47" t="str">
        <f aca="false">IFERROR(AVERAGEIFS('Daily Tracker'!$F$5:$F$369,'Daily Tracker'!$C$5:$C$369,A9),"")</f>
        <v/>
      </c>
      <c r="F9" s="58" t="n">
        <f aca="false">COUNTIFS('Daily Tracker'!$C$5:$C$369,A9,'Daily Tracker'!$X$5:$X$369,1)</f>
        <v>0</v>
      </c>
      <c r="G9" s="58" t="n">
        <f aca="false">SUMIFS('Daily Tracker'!$M$5:$M$369,'Daily Tracker'!$C$5:$C$369,A9)</f>
        <v>0</v>
      </c>
      <c r="H9" s="58" t="n">
        <f aca="false">SUMIFS('Daily Tracker'!$K$5:$K$369,'Daily Tracker'!$C$5:$C$369,A9)</f>
        <v>0</v>
      </c>
      <c r="I9" s="47" t="n">
        <f aca="false">SUMIFS('Daily Tracker'!$I$5:$I$369,'Daily Tracker'!$C$5:$C$369,A9)</f>
        <v>0</v>
      </c>
      <c r="J9" s="47" t="str">
        <f aca="false">IFERROR(AVERAGEIFS('Daily Tracker'!$G$5:$G$369,'Daily Tracker'!$C$5:$C$369,A9),"")</f>
        <v/>
      </c>
      <c r="K9" s="47" t="str">
        <f aca="false">IF(OR(J9="",J8=""),"",J9-J8)</f>
        <v/>
      </c>
      <c r="L9" s="34" t="str">
        <f aca="false">IFERROR(AVERAGEIFS('Recovery Tracker'!$E$5:$E$369,'Daily Tracker'!$C$5:$C$369,A9),"")</f>
        <v/>
      </c>
      <c r="M9" s="58" t="n">
        <f aca="false">SUMIFS('Workout Log'!$G$5:$G$504,'Workout Log'!$L$5:$L$504,A9)</f>
        <v>0</v>
      </c>
      <c r="N9" s="27" t="str">
        <f aca="false">IF(B9="","",TEXT(B9,"mmm"))</f>
        <v>Jan</v>
      </c>
    </row>
    <row r="10" customFormat="false" ht="15" hidden="false" customHeight="false" outlineLevel="0" collapsed="false">
      <c r="A10" s="36" t="n">
        <v>6</v>
      </c>
      <c r="B10" s="59" t="n">
        <f aca="false">StartDate+(A10-1)*7</f>
        <v>46058</v>
      </c>
      <c r="C10" s="60" t="n">
        <f aca="false">SUMIFS('Daily Tracker'!$E$5:$E$369,'Daily Tracker'!$C$5:$C$369,A10)</f>
        <v>0</v>
      </c>
      <c r="D10" s="48" t="str">
        <f aca="false">IFERROR(AVERAGEIFS('Daily Tracker'!$E$5:$E$369,'Daily Tracker'!$C$5:$C$369,A10),"")</f>
        <v/>
      </c>
      <c r="E10" s="48" t="str">
        <f aca="false">IFERROR(AVERAGEIFS('Daily Tracker'!$F$5:$F$369,'Daily Tracker'!$C$5:$C$369,A10),"")</f>
        <v/>
      </c>
      <c r="F10" s="60" t="n">
        <f aca="false">COUNTIFS('Daily Tracker'!$C$5:$C$369,A10,'Daily Tracker'!$X$5:$X$369,1)</f>
        <v>0</v>
      </c>
      <c r="G10" s="60" t="n">
        <f aca="false">SUMIFS('Daily Tracker'!$M$5:$M$369,'Daily Tracker'!$C$5:$C$369,A10)</f>
        <v>0</v>
      </c>
      <c r="H10" s="60" t="n">
        <f aca="false">SUMIFS('Daily Tracker'!$K$5:$K$369,'Daily Tracker'!$C$5:$C$369,A10)</f>
        <v>0</v>
      </c>
      <c r="I10" s="48" t="n">
        <f aca="false">SUMIFS('Daily Tracker'!$I$5:$I$369,'Daily Tracker'!$C$5:$C$369,A10)</f>
        <v>0</v>
      </c>
      <c r="J10" s="48" t="str">
        <f aca="false">IFERROR(AVERAGEIFS('Daily Tracker'!$G$5:$G$369,'Daily Tracker'!$C$5:$C$369,A10),"")</f>
        <v/>
      </c>
      <c r="K10" s="48" t="str">
        <f aca="false">IF(OR(J10="",J9=""),"",J10-J9)</f>
        <v/>
      </c>
      <c r="L10" s="38" t="str">
        <f aca="false">IFERROR(AVERAGEIFS('Recovery Tracker'!$E$5:$E$369,'Daily Tracker'!$C$5:$C$369,A10),"")</f>
        <v/>
      </c>
      <c r="M10" s="60" t="n">
        <f aca="false">SUMIFS('Workout Log'!$G$5:$G$504,'Workout Log'!$L$5:$L$504,A10)</f>
        <v>0</v>
      </c>
      <c r="N10" s="36" t="str">
        <f aca="false">IF(B10="","",TEXT(B10,"mmm"))</f>
        <v>Feb</v>
      </c>
    </row>
    <row r="11" customFormat="false" ht="15" hidden="false" customHeight="false" outlineLevel="0" collapsed="false">
      <c r="A11" s="27" t="n">
        <v>7</v>
      </c>
      <c r="B11" s="57" t="n">
        <f aca="false">StartDate+(A11-1)*7</f>
        <v>46065</v>
      </c>
      <c r="C11" s="58" t="n">
        <f aca="false">SUMIFS('Daily Tracker'!$E$5:$E$369,'Daily Tracker'!$C$5:$C$369,A11)</f>
        <v>0</v>
      </c>
      <c r="D11" s="47" t="str">
        <f aca="false">IFERROR(AVERAGEIFS('Daily Tracker'!$E$5:$E$369,'Daily Tracker'!$C$5:$C$369,A11),"")</f>
        <v/>
      </c>
      <c r="E11" s="47" t="str">
        <f aca="false">IFERROR(AVERAGEIFS('Daily Tracker'!$F$5:$F$369,'Daily Tracker'!$C$5:$C$369,A11),"")</f>
        <v/>
      </c>
      <c r="F11" s="58" t="n">
        <f aca="false">COUNTIFS('Daily Tracker'!$C$5:$C$369,A11,'Daily Tracker'!$X$5:$X$369,1)</f>
        <v>0</v>
      </c>
      <c r="G11" s="58" t="n">
        <f aca="false">SUMIFS('Daily Tracker'!$M$5:$M$369,'Daily Tracker'!$C$5:$C$369,A11)</f>
        <v>0</v>
      </c>
      <c r="H11" s="58" t="n">
        <f aca="false">SUMIFS('Daily Tracker'!$K$5:$K$369,'Daily Tracker'!$C$5:$C$369,A11)</f>
        <v>0</v>
      </c>
      <c r="I11" s="47" t="n">
        <f aca="false">SUMIFS('Daily Tracker'!$I$5:$I$369,'Daily Tracker'!$C$5:$C$369,A11)</f>
        <v>0</v>
      </c>
      <c r="J11" s="47" t="str">
        <f aca="false">IFERROR(AVERAGEIFS('Daily Tracker'!$G$5:$G$369,'Daily Tracker'!$C$5:$C$369,A11),"")</f>
        <v/>
      </c>
      <c r="K11" s="47" t="str">
        <f aca="false">IF(OR(J11="",J10=""),"",J11-J10)</f>
        <v/>
      </c>
      <c r="L11" s="34" t="str">
        <f aca="false">IFERROR(AVERAGEIFS('Recovery Tracker'!$E$5:$E$369,'Daily Tracker'!$C$5:$C$369,A11),"")</f>
        <v/>
      </c>
      <c r="M11" s="58" t="n">
        <f aca="false">SUMIFS('Workout Log'!$G$5:$G$504,'Workout Log'!$L$5:$L$504,A11)</f>
        <v>0</v>
      </c>
      <c r="N11" s="27" t="str">
        <f aca="false">IF(B11="","",TEXT(B11,"mmm"))</f>
        <v>Feb</v>
      </c>
    </row>
    <row r="12" customFormat="false" ht="15" hidden="false" customHeight="false" outlineLevel="0" collapsed="false">
      <c r="A12" s="36" t="n">
        <v>8</v>
      </c>
      <c r="B12" s="59" t="n">
        <f aca="false">StartDate+(A12-1)*7</f>
        <v>46072</v>
      </c>
      <c r="C12" s="60" t="n">
        <f aca="false">SUMIFS('Daily Tracker'!$E$5:$E$369,'Daily Tracker'!$C$5:$C$369,A12)</f>
        <v>0</v>
      </c>
      <c r="D12" s="48" t="str">
        <f aca="false">IFERROR(AVERAGEIFS('Daily Tracker'!$E$5:$E$369,'Daily Tracker'!$C$5:$C$369,A12),"")</f>
        <v/>
      </c>
      <c r="E12" s="48" t="str">
        <f aca="false">IFERROR(AVERAGEIFS('Daily Tracker'!$F$5:$F$369,'Daily Tracker'!$C$5:$C$369,A12),"")</f>
        <v/>
      </c>
      <c r="F12" s="60" t="n">
        <f aca="false">COUNTIFS('Daily Tracker'!$C$5:$C$369,A12,'Daily Tracker'!$X$5:$X$369,1)</f>
        <v>0</v>
      </c>
      <c r="G12" s="60" t="n">
        <f aca="false">SUMIFS('Daily Tracker'!$M$5:$M$369,'Daily Tracker'!$C$5:$C$369,A12)</f>
        <v>0</v>
      </c>
      <c r="H12" s="60" t="n">
        <f aca="false">SUMIFS('Daily Tracker'!$K$5:$K$369,'Daily Tracker'!$C$5:$C$369,A12)</f>
        <v>0</v>
      </c>
      <c r="I12" s="48" t="n">
        <f aca="false">SUMIFS('Daily Tracker'!$I$5:$I$369,'Daily Tracker'!$C$5:$C$369,A12)</f>
        <v>0</v>
      </c>
      <c r="J12" s="48" t="str">
        <f aca="false">IFERROR(AVERAGEIFS('Daily Tracker'!$G$5:$G$369,'Daily Tracker'!$C$5:$C$369,A12),"")</f>
        <v/>
      </c>
      <c r="K12" s="48" t="str">
        <f aca="false">IF(OR(J12="",J11=""),"",J12-J11)</f>
        <v/>
      </c>
      <c r="L12" s="38" t="str">
        <f aca="false">IFERROR(AVERAGEIFS('Recovery Tracker'!$E$5:$E$369,'Daily Tracker'!$C$5:$C$369,A12),"")</f>
        <v/>
      </c>
      <c r="M12" s="60" t="n">
        <f aca="false">SUMIFS('Workout Log'!$G$5:$G$504,'Workout Log'!$L$5:$L$504,A12)</f>
        <v>0</v>
      </c>
      <c r="N12" s="36" t="str">
        <f aca="false">IF(B12="","",TEXT(B12,"mmm"))</f>
        <v>Feb</v>
      </c>
    </row>
    <row r="13" customFormat="false" ht="15" hidden="false" customHeight="false" outlineLevel="0" collapsed="false">
      <c r="A13" s="27" t="n">
        <v>9</v>
      </c>
      <c r="B13" s="57" t="n">
        <f aca="false">StartDate+(A13-1)*7</f>
        <v>46079</v>
      </c>
      <c r="C13" s="58" t="n">
        <f aca="false">SUMIFS('Daily Tracker'!$E$5:$E$369,'Daily Tracker'!$C$5:$C$369,A13)</f>
        <v>0</v>
      </c>
      <c r="D13" s="47" t="str">
        <f aca="false">IFERROR(AVERAGEIFS('Daily Tracker'!$E$5:$E$369,'Daily Tracker'!$C$5:$C$369,A13),"")</f>
        <v/>
      </c>
      <c r="E13" s="47" t="str">
        <f aca="false">IFERROR(AVERAGEIFS('Daily Tracker'!$F$5:$F$369,'Daily Tracker'!$C$5:$C$369,A13),"")</f>
        <v/>
      </c>
      <c r="F13" s="58" t="n">
        <f aca="false">COUNTIFS('Daily Tracker'!$C$5:$C$369,A13,'Daily Tracker'!$X$5:$X$369,1)</f>
        <v>0</v>
      </c>
      <c r="G13" s="58" t="n">
        <f aca="false">SUMIFS('Daily Tracker'!$M$5:$M$369,'Daily Tracker'!$C$5:$C$369,A13)</f>
        <v>0</v>
      </c>
      <c r="H13" s="58" t="n">
        <f aca="false">SUMIFS('Daily Tracker'!$K$5:$K$369,'Daily Tracker'!$C$5:$C$369,A13)</f>
        <v>0</v>
      </c>
      <c r="I13" s="47" t="n">
        <f aca="false">SUMIFS('Daily Tracker'!$I$5:$I$369,'Daily Tracker'!$C$5:$C$369,A13)</f>
        <v>0</v>
      </c>
      <c r="J13" s="47" t="str">
        <f aca="false">IFERROR(AVERAGEIFS('Daily Tracker'!$G$5:$G$369,'Daily Tracker'!$C$5:$C$369,A13),"")</f>
        <v/>
      </c>
      <c r="K13" s="47" t="str">
        <f aca="false">IF(OR(J13="",J12=""),"",J13-J12)</f>
        <v/>
      </c>
      <c r="L13" s="34" t="str">
        <f aca="false">IFERROR(AVERAGEIFS('Recovery Tracker'!$E$5:$E$369,'Daily Tracker'!$C$5:$C$369,A13),"")</f>
        <v/>
      </c>
      <c r="M13" s="58" t="n">
        <f aca="false">SUMIFS('Workout Log'!$G$5:$G$504,'Workout Log'!$L$5:$L$504,A13)</f>
        <v>0</v>
      </c>
      <c r="N13" s="27" t="str">
        <f aca="false">IF(B13="","",TEXT(B13,"mmm"))</f>
        <v>Feb</v>
      </c>
    </row>
    <row r="14" customFormat="false" ht="15" hidden="false" customHeight="false" outlineLevel="0" collapsed="false">
      <c r="A14" s="36" t="n">
        <v>10</v>
      </c>
      <c r="B14" s="59" t="n">
        <f aca="false">StartDate+(A14-1)*7</f>
        <v>46086</v>
      </c>
      <c r="C14" s="60" t="n">
        <f aca="false">SUMIFS('Daily Tracker'!$E$5:$E$369,'Daily Tracker'!$C$5:$C$369,A14)</f>
        <v>0</v>
      </c>
      <c r="D14" s="48" t="str">
        <f aca="false">IFERROR(AVERAGEIFS('Daily Tracker'!$E$5:$E$369,'Daily Tracker'!$C$5:$C$369,A14),"")</f>
        <v/>
      </c>
      <c r="E14" s="48" t="str">
        <f aca="false">IFERROR(AVERAGEIFS('Daily Tracker'!$F$5:$F$369,'Daily Tracker'!$C$5:$C$369,A14),"")</f>
        <v/>
      </c>
      <c r="F14" s="60" t="n">
        <f aca="false">COUNTIFS('Daily Tracker'!$C$5:$C$369,A14,'Daily Tracker'!$X$5:$X$369,1)</f>
        <v>0</v>
      </c>
      <c r="G14" s="60" t="n">
        <f aca="false">SUMIFS('Daily Tracker'!$M$5:$M$369,'Daily Tracker'!$C$5:$C$369,A14)</f>
        <v>0</v>
      </c>
      <c r="H14" s="60" t="n">
        <f aca="false">SUMIFS('Daily Tracker'!$K$5:$K$369,'Daily Tracker'!$C$5:$C$369,A14)</f>
        <v>0</v>
      </c>
      <c r="I14" s="48" t="n">
        <f aca="false">SUMIFS('Daily Tracker'!$I$5:$I$369,'Daily Tracker'!$C$5:$C$369,A14)</f>
        <v>0</v>
      </c>
      <c r="J14" s="48" t="str">
        <f aca="false">IFERROR(AVERAGEIFS('Daily Tracker'!$G$5:$G$369,'Daily Tracker'!$C$5:$C$369,A14),"")</f>
        <v/>
      </c>
      <c r="K14" s="48" t="str">
        <f aca="false">IF(OR(J14="",J13=""),"",J14-J13)</f>
        <v/>
      </c>
      <c r="L14" s="38" t="str">
        <f aca="false">IFERROR(AVERAGEIFS('Recovery Tracker'!$E$5:$E$369,'Daily Tracker'!$C$5:$C$369,A14),"")</f>
        <v/>
      </c>
      <c r="M14" s="60" t="n">
        <f aca="false">SUMIFS('Workout Log'!$G$5:$G$504,'Workout Log'!$L$5:$L$504,A14)</f>
        <v>0</v>
      </c>
      <c r="N14" s="36" t="str">
        <f aca="false">IF(B14="","",TEXT(B14,"mmm"))</f>
        <v>Mar</v>
      </c>
    </row>
    <row r="15" customFormat="false" ht="15" hidden="false" customHeight="false" outlineLevel="0" collapsed="false">
      <c r="A15" s="27" t="n">
        <v>11</v>
      </c>
      <c r="B15" s="57" t="n">
        <f aca="false">StartDate+(A15-1)*7</f>
        <v>46093</v>
      </c>
      <c r="C15" s="58" t="n">
        <f aca="false">SUMIFS('Daily Tracker'!$E$5:$E$369,'Daily Tracker'!$C$5:$C$369,A15)</f>
        <v>0</v>
      </c>
      <c r="D15" s="47" t="str">
        <f aca="false">IFERROR(AVERAGEIFS('Daily Tracker'!$E$5:$E$369,'Daily Tracker'!$C$5:$C$369,A15),"")</f>
        <v/>
      </c>
      <c r="E15" s="47" t="str">
        <f aca="false">IFERROR(AVERAGEIFS('Daily Tracker'!$F$5:$F$369,'Daily Tracker'!$C$5:$C$369,A15),"")</f>
        <v/>
      </c>
      <c r="F15" s="58" t="n">
        <f aca="false">COUNTIFS('Daily Tracker'!$C$5:$C$369,A15,'Daily Tracker'!$X$5:$X$369,1)</f>
        <v>0</v>
      </c>
      <c r="G15" s="58" t="n">
        <f aca="false">SUMIFS('Daily Tracker'!$M$5:$M$369,'Daily Tracker'!$C$5:$C$369,A15)</f>
        <v>0</v>
      </c>
      <c r="H15" s="58" t="n">
        <f aca="false">SUMIFS('Daily Tracker'!$K$5:$K$369,'Daily Tracker'!$C$5:$C$369,A15)</f>
        <v>0</v>
      </c>
      <c r="I15" s="47" t="n">
        <f aca="false">SUMIFS('Daily Tracker'!$I$5:$I$369,'Daily Tracker'!$C$5:$C$369,A15)</f>
        <v>0</v>
      </c>
      <c r="J15" s="47" t="str">
        <f aca="false">IFERROR(AVERAGEIFS('Daily Tracker'!$G$5:$G$369,'Daily Tracker'!$C$5:$C$369,A15),"")</f>
        <v/>
      </c>
      <c r="K15" s="47" t="str">
        <f aca="false">IF(OR(J15="",J14=""),"",J15-J14)</f>
        <v/>
      </c>
      <c r="L15" s="34" t="str">
        <f aca="false">IFERROR(AVERAGEIFS('Recovery Tracker'!$E$5:$E$369,'Daily Tracker'!$C$5:$C$369,A15),"")</f>
        <v/>
      </c>
      <c r="M15" s="58" t="n">
        <f aca="false">SUMIFS('Workout Log'!$G$5:$G$504,'Workout Log'!$L$5:$L$504,A15)</f>
        <v>0</v>
      </c>
      <c r="N15" s="27" t="str">
        <f aca="false">IF(B15="","",TEXT(B15,"mmm"))</f>
        <v>Mar</v>
      </c>
    </row>
    <row r="16" customFormat="false" ht="15" hidden="false" customHeight="false" outlineLevel="0" collapsed="false">
      <c r="A16" s="36" t="n">
        <v>12</v>
      </c>
      <c r="B16" s="59" t="n">
        <f aca="false">StartDate+(A16-1)*7</f>
        <v>46100</v>
      </c>
      <c r="C16" s="60" t="n">
        <f aca="false">SUMIFS('Daily Tracker'!$E$5:$E$369,'Daily Tracker'!$C$5:$C$369,A16)</f>
        <v>0</v>
      </c>
      <c r="D16" s="48" t="str">
        <f aca="false">IFERROR(AVERAGEIFS('Daily Tracker'!$E$5:$E$369,'Daily Tracker'!$C$5:$C$369,A16),"")</f>
        <v/>
      </c>
      <c r="E16" s="48" t="str">
        <f aca="false">IFERROR(AVERAGEIFS('Daily Tracker'!$F$5:$F$369,'Daily Tracker'!$C$5:$C$369,A16),"")</f>
        <v/>
      </c>
      <c r="F16" s="60" t="n">
        <f aca="false">COUNTIFS('Daily Tracker'!$C$5:$C$369,A16,'Daily Tracker'!$X$5:$X$369,1)</f>
        <v>0</v>
      </c>
      <c r="G16" s="60" t="n">
        <f aca="false">SUMIFS('Daily Tracker'!$M$5:$M$369,'Daily Tracker'!$C$5:$C$369,A16)</f>
        <v>0</v>
      </c>
      <c r="H16" s="60" t="n">
        <f aca="false">SUMIFS('Daily Tracker'!$K$5:$K$369,'Daily Tracker'!$C$5:$C$369,A16)</f>
        <v>0</v>
      </c>
      <c r="I16" s="48" t="n">
        <f aca="false">SUMIFS('Daily Tracker'!$I$5:$I$369,'Daily Tracker'!$C$5:$C$369,A16)</f>
        <v>0</v>
      </c>
      <c r="J16" s="48" t="str">
        <f aca="false">IFERROR(AVERAGEIFS('Daily Tracker'!$G$5:$G$369,'Daily Tracker'!$C$5:$C$369,A16),"")</f>
        <v/>
      </c>
      <c r="K16" s="48" t="str">
        <f aca="false">IF(OR(J16="",J15=""),"",J16-J15)</f>
        <v/>
      </c>
      <c r="L16" s="38" t="str">
        <f aca="false">IFERROR(AVERAGEIFS('Recovery Tracker'!$E$5:$E$369,'Daily Tracker'!$C$5:$C$369,A16),"")</f>
        <v/>
      </c>
      <c r="M16" s="60" t="n">
        <f aca="false">SUMIFS('Workout Log'!$G$5:$G$504,'Workout Log'!$L$5:$L$504,A16)</f>
        <v>0</v>
      </c>
      <c r="N16" s="36" t="str">
        <f aca="false">IF(B16="","",TEXT(B16,"mmm"))</f>
        <v>Mar</v>
      </c>
    </row>
    <row r="17" customFormat="false" ht="15" hidden="false" customHeight="false" outlineLevel="0" collapsed="false">
      <c r="A17" s="27" t="n">
        <v>13</v>
      </c>
      <c r="B17" s="57" t="n">
        <f aca="false">StartDate+(A17-1)*7</f>
        <v>46107</v>
      </c>
      <c r="C17" s="58" t="n">
        <f aca="false">SUMIFS('Daily Tracker'!$E$5:$E$369,'Daily Tracker'!$C$5:$C$369,A17)</f>
        <v>0</v>
      </c>
      <c r="D17" s="47" t="str">
        <f aca="false">IFERROR(AVERAGEIFS('Daily Tracker'!$E$5:$E$369,'Daily Tracker'!$C$5:$C$369,A17),"")</f>
        <v/>
      </c>
      <c r="E17" s="47" t="str">
        <f aca="false">IFERROR(AVERAGEIFS('Daily Tracker'!$F$5:$F$369,'Daily Tracker'!$C$5:$C$369,A17),"")</f>
        <v/>
      </c>
      <c r="F17" s="58" t="n">
        <f aca="false">COUNTIFS('Daily Tracker'!$C$5:$C$369,A17,'Daily Tracker'!$X$5:$X$369,1)</f>
        <v>0</v>
      </c>
      <c r="G17" s="58" t="n">
        <f aca="false">SUMIFS('Daily Tracker'!$M$5:$M$369,'Daily Tracker'!$C$5:$C$369,A17)</f>
        <v>0</v>
      </c>
      <c r="H17" s="58" t="n">
        <f aca="false">SUMIFS('Daily Tracker'!$K$5:$K$369,'Daily Tracker'!$C$5:$C$369,A17)</f>
        <v>0</v>
      </c>
      <c r="I17" s="47" t="n">
        <f aca="false">SUMIFS('Daily Tracker'!$I$5:$I$369,'Daily Tracker'!$C$5:$C$369,A17)</f>
        <v>0</v>
      </c>
      <c r="J17" s="47" t="str">
        <f aca="false">IFERROR(AVERAGEIFS('Daily Tracker'!$G$5:$G$369,'Daily Tracker'!$C$5:$C$369,A17),"")</f>
        <v/>
      </c>
      <c r="K17" s="47" t="str">
        <f aca="false">IF(OR(J17="",J16=""),"",J17-J16)</f>
        <v/>
      </c>
      <c r="L17" s="34" t="str">
        <f aca="false">IFERROR(AVERAGEIFS('Recovery Tracker'!$E$5:$E$369,'Daily Tracker'!$C$5:$C$369,A17),"")</f>
        <v/>
      </c>
      <c r="M17" s="58" t="n">
        <f aca="false">SUMIFS('Workout Log'!$G$5:$G$504,'Workout Log'!$L$5:$L$504,A17)</f>
        <v>0</v>
      </c>
      <c r="N17" s="27" t="str">
        <f aca="false">IF(B17="","",TEXT(B17,"mmm"))</f>
        <v>Mar</v>
      </c>
    </row>
    <row r="18" customFormat="false" ht="15" hidden="false" customHeight="false" outlineLevel="0" collapsed="false">
      <c r="A18" s="36" t="n">
        <v>14</v>
      </c>
      <c r="B18" s="59" t="n">
        <f aca="false">StartDate+(A18-1)*7</f>
        <v>46114</v>
      </c>
      <c r="C18" s="60" t="n">
        <f aca="false">SUMIFS('Daily Tracker'!$E$5:$E$369,'Daily Tracker'!$C$5:$C$369,A18)</f>
        <v>0</v>
      </c>
      <c r="D18" s="48" t="str">
        <f aca="false">IFERROR(AVERAGEIFS('Daily Tracker'!$E$5:$E$369,'Daily Tracker'!$C$5:$C$369,A18),"")</f>
        <v/>
      </c>
      <c r="E18" s="48" t="str">
        <f aca="false">IFERROR(AVERAGEIFS('Daily Tracker'!$F$5:$F$369,'Daily Tracker'!$C$5:$C$369,A18),"")</f>
        <v/>
      </c>
      <c r="F18" s="60" t="n">
        <f aca="false">COUNTIFS('Daily Tracker'!$C$5:$C$369,A18,'Daily Tracker'!$X$5:$X$369,1)</f>
        <v>0</v>
      </c>
      <c r="G18" s="60" t="n">
        <f aca="false">SUMIFS('Daily Tracker'!$M$5:$M$369,'Daily Tracker'!$C$5:$C$369,A18)</f>
        <v>0</v>
      </c>
      <c r="H18" s="60" t="n">
        <f aca="false">SUMIFS('Daily Tracker'!$K$5:$K$369,'Daily Tracker'!$C$5:$C$369,A18)</f>
        <v>0</v>
      </c>
      <c r="I18" s="48" t="n">
        <f aca="false">SUMIFS('Daily Tracker'!$I$5:$I$369,'Daily Tracker'!$C$5:$C$369,A18)</f>
        <v>0</v>
      </c>
      <c r="J18" s="48" t="str">
        <f aca="false">IFERROR(AVERAGEIFS('Daily Tracker'!$G$5:$G$369,'Daily Tracker'!$C$5:$C$369,A18),"")</f>
        <v/>
      </c>
      <c r="K18" s="48" t="str">
        <f aca="false">IF(OR(J18="",J17=""),"",J18-J17)</f>
        <v/>
      </c>
      <c r="L18" s="38" t="str">
        <f aca="false">IFERROR(AVERAGEIFS('Recovery Tracker'!$E$5:$E$369,'Daily Tracker'!$C$5:$C$369,A18),"")</f>
        <v/>
      </c>
      <c r="M18" s="60" t="n">
        <f aca="false">SUMIFS('Workout Log'!$G$5:$G$504,'Workout Log'!$L$5:$L$504,A18)</f>
        <v>0</v>
      </c>
      <c r="N18" s="36" t="str">
        <f aca="false">IF(B18="","",TEXT(B18,"mmm"))</f>
        <v>Apr</v>
      </c>
    </row>
    <row r="19" customFormat="false" ht="15" hidden="false" customHeight="false" outlineLevel="0" collapsed="false">
      <c r="A19" s="27" t="n">
        <v>15</v>
      </c>
      <c r="B19" s="57" t="n">
        <f aca="false">StartDate+(A19-1)*7</f>
        <v>46121</v>
      </c>
      <c r="C19" s="58" t="n">
        <f aca="false">SUMIFS('Daily Tracker'!$E$5:$E$369,'Daily Tracker'!$C$5:$C$369,A19)</f>
        <v>0</v>
      </c>
      <c r="D19" s="47" t="str">
        <f aca="false">IFERROR(AVERAGEIFS('Daily Tracker'!$E$5:$E$369,'Daily Tracker'!$C$5:$C$369,A19),"")</f>
        <v/>
      </c>
      <c r="E19" s="47" t="str">
        <f aca="false">IFERROR(AVERAGEIFS('Daily Tracker'!$F$5:$F$369,'Daily Tracker'!$C$5:$C$369,A19),"")</f>
        <v/>
      </c>
      <c r="F19" s="58" t="n">
        <f aca="false">COUNTIFS('Daily Tracker'!$C$5:$C$369,A19,'Daily Tracker'!$X$5:$X$369,1)</f>
        <v>0</v>
      </c>
      <c r="G19" s="58" t="n">
        <f aca="false">SUMIFS('Daily Tracker'!$M$5:$M$369,'Daily Tracker'!$C$5:$C$369,A19)</f>
        <v>0</v>
      </c>
      <c r="H19" s="58" t="n">
        <f aca="false">SUMIFS('Daily Tracker'!$K$5:$K$369,'Daily Tracker'!$C$5:$C$369,A19)</f>
        <v>0</v>
      </c>
      <c r="I19" s="47" t="n">
        <f aca="false">SUMIFS('Daily Tracker'!$I$5:$I$369,'Daily Tracker'!$C$5:$C$369,A19)</f>
        <v>0</v>
      </c>
      <c r="J19" s="47" t="str">
        <f aca="false">IFERROR(AVERAGEIFS('Daily Tracker'!$G$5:$G$369,'Daily Tracker'!$C$5:$C$369,A19),"")</f>
        <v/>
      </c>
      <c r="K19" s="47" t="str">
        <f aca="false">IF(OR(J19="",J18=""),"",J19-J18)</f>
        <v/>
      </c>
      <c r="L19" s="34" t="str">
        <f aca="false">IFERROR(AVERAGEIFS('Recovery Tracker'!$E$5:$E$369,'Daily Tracker'!$C$5:$C$369,A19),"")</f>
        <v/>
      </c>
      <c r="M19" s="58" t="n">
        <f aca="false">SUMIFS('Workout Log'!$G$5:$G$504,'Workout Log'!$L$5:$L$504,A19)</f>
        <v>0</v>
      </c>
      <c r="N19" s="27" t="str">
        <f aca="false">IF(B19="","",TEXT(B19,"mmm"))</f>
        <v>Apr</v>
      </c>
    </row>
    <row r="20" customFormat="false" ht="15" hidden="false" customHeight="false" outlineLevel="0" collapsed="false">
      <c r="A20" s="36" t="n">
        <v>16</v>
      </c>
      <c r="B20" s="59" t="n">
        <f aca="false">StartDate+(A20-1)*7</f>
        <v>46128</v>
      </c>
      <c r="C20" s="60" t="n">
        <f aca="false">SUMIFS('Daily Tracker'!$E$5:$E$369,'Daily Tracker'!$C$5:$C$369,A20)</f>
        <v>0</v>
      </c>
      <c r="D20" s="48" t="str">
        <f aca="false">IFERROR(AVERAGEIFS('Daily Tracker'!$E$5:$E$369,'Daily Tracker'!$C$5:$C$369,A20),"")</f>
        <v/>
      </c>
      <c r="E20" s="48" t="str">
        <f aca="false">IFERROR(AVERAGEIFS('Daily Tracker'!$F$5:$F$369,'Daily Tracker'!$C$5:$C$369,A20),"")</f>
        <v/>
      </c>
      <c r="F20" s="60" t="n">
        <f aca="false">COUNTIFS('Daily Tracker'!$C$5:$C$369,A20,'Daily Tracker'!$X$5:$X$369,1)</f>
        <v>0</v>
      </c>
      <c r="G20" s="60" t="n">
        <f aca="false">SUMIFS('Daily Tracker'!$M$5:$M$369,'Daily Tracker'!$C$5:$C$369,A20)</f>
        <v>0</v>
      </c>
      <c r="H20" s="60" t="n">
        <f aca="false">SUMIFS('Daily Tracker'!$K$5:$K$369,'Daily Tracker'!$C$5:$C$369,A20)</f>
        <v>0</v>
      </c>
      <c r="I20" s="48" t="n">
        <f aca="false">SUMIFS('Daily Tracker'!$I$5:$I$369,'Daily Tracker'!$C$5:$C$369,A20)</f>
        <v>0</v>
      </c>
      <c r="J20" s="48" t="str">
        <f aca="false">IFERROR(AVERAGEIFS('Daily Tracker'!$G$5:$G$369,'Daily Tracker'!$C$5:$C$369,A20),"")</f>
        <v/>
      </c>
      <c r="K20" s="48" t="str">
        <f aca="false">IF(OR(J20="",J19=""),"",J20-J19)</f>
        <v/>
      </c>
      <c r="L20" s="38" t="str">
        <f aca="false">IFERROR(AVERAGEIFS('Recovery Tracker'!$E$5:$E$369,'Daily Tracker'!$C$5:$C$369,A20),"")</f>
        <v/>
      </c>
      <c r="M20" s="60" t="n">
        <f aca="false">SUMIFS('Workout Log'!$G$5:$G$504,'Workout Log'!$L$5:$L$504,A20)</f>
        <v>0</v>
      </c>
      <c r="N20" s="36" t="str">
        <f aca="false">IF(B20="","",TEXT(B20,"mmm"))</f>
        <v>Apr</v>
      </c>
    </row>
    <row r="21" customFormat="false" ht="15" hidden="false" customHeight="false" outlineLevel="0" collapsed="false">
      <c r="A21" s="27" t="n">
        <v>17</v>
      </c>
      <c r="B21" s="57" t="n">
        <f aca="false">StartDate+(A21-1)*7</f>
        <v>46135</v>
      </c>
      <c r="C21" s="58" t="n">
        <f aca="false">SUMIFS('Daily Tracker'!$E$5:$E$369,'Daily Tracker'!$C$5:$C$369,A21)</f>
        <v>0</v>
      </c>
      <c r="D21" s="47" t="str">
        <f aca="false">IFERROR(AVERAGEIFS('Daily Tracker'!$E$5:$E$369,'Daily Tracker'!$C$5:$C$369,A21),"")</f>
        <v/>
      </c>
      <c r="E21" s="47" t="str">
        <f aca="false">IFERROR(AVERAGEIFS('Daily Tracker'!$F$5:$F$369,'Daily Tracker'!$C$5:$C$369,A21),"")</f>
        <v/>
      </c>
      <c r="F21" s="58" t="n">
        <f aca="false">COUNTIFS('Daily Tracker'!$C$5:$C$369,A21,'Daily Tracker'!$X$5:$X$369,1)</f>
        <v>0</v>
      </c>
      <c r="G21" s="58" t="n">
        <f aca="false">SUMIFS('Daily Tracker'!$M$5:$M$369,'Daily Tracker'!$C$5:$C$369,A21)</f>
        <v>0</v>
      </c>
      <c r="H21" s="58" t="n">
        <f aca="false">SUMIFS('Daily Tracker'!$K$5:$K$369,'Daily Tracker'!$C$5:$C$369,A21)</f>
        <v>0</v>
      </c>
      <c r="I21" s="47" t="n">
        <f aca="false">SUMIFS('Daily Tracker'!$I$5:$I$369,'Daily Tracker'!$C$5:$C$369,A21)</f>
        <v>0</v>
      </c>
      <c r="J21" s="47" t="str">
        <f aca="false">IFERROR(AVERAGEIFS('Daily Tracker'!$G$5:$G$369,'Daily Tracker'!$C$5:$C$369,A21),"")</f>
        <v/>
      </c>
      <c r="K21" s="47" t="str">
        <f aca="false">IF(OR(J21="",J20=""),"",J21-J20)</f>
        <v/>
      </c>
      <c r="L21" s="34" t="str">
        <f aca="false">IFERROR(AVERAGEIFS('Recovery Tracker'!$E$5:$E$369,'Daily Tracker'!$C$5:$C$369,A21),"")</f>
        <v/>
      </c>
      <c r="M21" s="58" t="n">
        <f aca="false">SUMIFS('Workout Log'!$G$5:$G$504,'Workout Log'!$L$5:$L$504,A21)</f>
        <v>0</v>
      </c>
      <c r="N21" s="27" t="str">
        <f aca="false">IF(B21="","",TEXT(B21,"mmm"))</f>
        <v>Apr</v>
      </c>
    </row>
    <row r="22" customFormat="false" ht="15" hidden="false" customHeight="false" outlineLevel="0" collapsed="false">
      <c r="A22" s="36" t="n">
        <v>18</v>
      </c>
      <c r="B22" s="59" t="n">
        <f aca="false">StartDate+(A22-1)*7</f>
        <v>46142</v>
      </c>
      <c r="C22" s="60" t="n">
        <f aca="false">SUMIFS('Daily Tracker'!$E$5:$E$369,'Daily Tracker'!$C$5:$C$369,A22)</f>
        <v>0</v>
      </c>
      <c r="D22" s="48" t="str">
        <f aca="false">IFERROR(AVERAGEIFS('Daily Tracker'!$E$5:$E$369,'Daily Tracker'!$C$5:$C$369,A22),"")</f>
        <v/>
      </c>
      <c r="E22" s="48" t="str">
        <f aca="false">IFERROR(AVERAGEIFS('Daily Tracker'!$F$5:$F$369,'Daily Tracker'!$C$5:$C$369,A22),"")</f>
        <v/>
      </c>
      <c r="F22" s="60" t="n">
        <f aca="false">COUNTIFS('Daily Tracker'!$C$5:$C$369,A22,'Daily Tracker'!$X$5:$X$369,1)</f>
        <v>0</v>
      </c>
      <c r="G22" s="60" t="n">
        <f aca="false">SUMIFS('Daily Tracker'!$M$5:$M$369,'Daily Tracker'!$C$5:$C$369,A22)</f>
        <v>0</v>
      </c>
      <c r="H22" s="60" t="n">
        <f aca="false">SUMIFS('Daily Tracker'!$K$5:$K$369,'Daily Tracker'!$C$5:$C$369,A22)</f>
        <v>0</v>
      </c>
      <c r="I22" s="48" t="n">
        <f aca="false">SUMIFS('Daily Tracker'!$I$5:$I$369,'Daily Tracker'!$C$5:$C$369,A22)</f>
        <v>0</v>
      </c>
      <c r="J22" s="48" t="str">
        <f aca="false">IFERROR(AVERAGEIFS('Daily Tracker'!$G$5:$G$369,'Daily Tracker'!$C$5:$C$369,A22),"")</f>
        <v/>
      </c>
      <c r="K22" s="48" t="str">
        <f aca="false">IF(OR(J22="",J21=""),"",J22-J21)</f>
        <v/>
      </c>
      <c r="L22" s="38" t="str">
        <f aca="false">IFERROR(AVERAGEIFS('Recovery Tracker'!$E$5:$E$369,'Daily Tracker'!$C$5:$C$369,A22),"")</f>
        <v/>
      </c>
      <c r="M22" s="60" t="n">
        <f aca="false">SUMIFS('Workout Log'!$G$5:$G$504,'Workout Log'!$L$5:$L$504,A22)</f>
        <v>0</v>
      </c>
      <c r="N22" s="36" t="str">
        <f aca="false">IF(B22="","",TEXT(B22,"mmm"))</f>
        <v>Apr</v>
      </c>
    </row>
    <row r="23" customFormat="false" ht="15" hidden="false" customHeight="false" outlineLevel="0" collapsed="false">
      <c r="A23" s="27" t="n">
        <v>19</v>
      </c>
      <c r="B23" s="57" t="n">
        <f aca="false">StartDate+(A23-1)*7</f>
        <v>46149</v>
      </c>
      <c r="C23" s="58" t="n">
        <f aca="false">SUMIFS('Daily Tracker'!$E$5:$E$369,'Daily Tracker'!$C$5:$C$369,A23)</f>
        <v>0</v>
      </c>
      <c r="D23" s="47" t="str">
        <f aca="false">IFERROR(AVERAGEIFS('Daily Tracker'!$E$5:$E$369,'Daily Tracker'!$C$5:$C$369,A23),"")</f>
        <v/>
      </c>
      <c r="E23" s="47" t="str">
        <f aca="false">IFERROR(AVERAGEIFS('Daily Tracker'!$F$5:$F$369,'Daily Tracker'!$C$5:$C$369,A23),"")</f>
        <v/>
      </c>
      <c r="F23" s="58" t="n">
        <f aca="false">COUNTIFS('Daily Tracker'!$C$5:$C$369,A23,'Daily Tracker'!$X$5:$X$369,1)</f>
        <v>0</v>
      </c>
      <c r="G23" s="58" t="n">
        <f aca="false">SUMIFS('Daily Tracker'!$M$5:$M$369,'Daily Tracker'!$C$5:$C$369,A23)</f>
        <v>0</v>
      </c>
      <c r="H23" s="58" t="n">
        <f aca="false">SUMIFS('Daily Tracker'!$K$5:$K$369,'Daily Tracker'!$C$5:$C$369,A23)</f>
        <v>0</v>
      </c>
      <c r="I23" s="47" t="n">
        <f aca="false">SUMIFS('Daily Tracker'!$I$5:$I$369,'Daily Tracker'!$C$5:$C$369,A23)</f>
        <v>0</v>
      </c>
      <c r="J23" s="47" t="str">
        <f aca="false">IFERROR(AVERAGEIFS('Daily Tracker'!$G$5:$G$369,'Daily Tracker'!$C$5:$C$369,A23),"")</f>
        <v/>
      </c>
      <c r="K23" s="47" t="str">
        <f aca="false">IF(OR(J23="",J22=""),"",J23-J22)</f>
        <v/>
      </c>
      <c r="L23" s="34" t="str">
        <f aca="false">IFERROR(AVERAGEIFS('Recovery Tracker'!$E$5:$E$369,'Daily Tracker'!$C$5:$C$369,A23),"")</f>
        <v/>
      </c>
      <c r="M23" s="58" t="n">
        <f aca="false">SUMIFS('Workout Log'!$G$5:$G$504,'Workout Log'!$L$5:$L$504,A23)</f>
        <v>0</v>
      </c>
      <c r="N23" s="27" t="str">
        <f aca="false">IF(B23="","",TEXT(B23,"mmm"))</f>
        <v>May</v>
      </c>
    </row>
    <row r="24" customFormat="false" ht="15" hidden="false" customHeight="false" outlineLevel="0" collapsed="false">
      <c r="A24" s="36" t="n">
        <v>20</v>
      </c>
      <c r="B24" s="59" t="n">
        <f aca="false">StartDate+(A24-1)*7</f>
        <v>46156</v>
      </c>
      <c r="C24" s="60" t="n">
        <f aca="false">SUMIFS('Daily Tracker'!$E$5:$E$369,'Daily Tracker'!$C$5:$C$369,A24)</f>
        <v>0</v>
      </c>
      <c r="D24" s="48" t="str">
        <f aca="false">IFERROR(AVERAGEIFS('Daily Tracker'!$E$5:$E$369,'Daily Tracker'!$C$5:$C$369,A24),"")</f>
        <v/>
      </c>
      <c r="E24" s="48" t="str">
        <f aca="false">IFERROR(AVERAGEIFS('Daily Tracker'!$F$5:$F$369,'Daily Tracker'!$C$5:$C$369,A24),"")</f>
        <v/>
      </c>
      <c r="F24" s="60" t="n">
        <f aca="false">COUNTIFS('Daily Tracker'!$C$5:$C$369,A24,'Daily Tracker'!$X$5:$X$369,1)</f>
        <v>0</v>
      </c>
      <c r="G24" s="60" t="n">
        <f aca="false">SUMIFS('Daily Tracker'!$M$5:$M$369,'Daily Tracker'!$C$5:$C$369,A24)</f>
        <v>0</v>
      </c>
      <c r="H24" s="60" t="n">
        <f aca="false">SUMIFS('Daily Tracker'!$K$5:$K$369,'Daily Tracker'!$C$5:$C$369,A24)</f>
        <v>0</v>
      </c>
      <c r="I24" s="48" t="n">
        <f aca="false">SUMIFS('Daily Tracker'!$I$5:$I$369,'Daily Tracker'!$C$5:$C$369,A24)</f>
        <v>0</v>
      </c>
      <c r="J24" s="48" t="str">
        <f aca="false">IFERROR(AVERAGEIFS('Daily Tracker'!$G$5:$G$369,'Daily Tracker'!$C$5:$C$369,A24),"")</f>
        <v/>
      </c>
      <c r="K24" s="48" t="str">
        <f aca="false">IF(OR(J24="",J23=""),"",J24-J23)</f>
        <v/>
      </c>
      <c r="L24" s="38" t="str">
        <f aca="false">IFERROR(AVERAGEIFS('Recovery Tracker'!$E$5:$E$369,'Daily Tracker'!$C$5:$C$369,A24),"")</f>
        <v/>
      </c>
      <c r="M24" s="60" t="n">
        <f aca="false">SUMIFS('Workout Log'!$G$5:$G$504,'Workout Log'!$L$5:$L$504,A24)</f>
        <v>0</v>
      </c>
      <c r="N24" s="36" t="str">
        <f aca="false">IF(B24="","",TEXT(B24,"mmm"))</f>
        <v>May</v>
      </c>
    </row>
    <row r="25" customFormat="false" ht="15" hidden="false" customHeight="false" outlineLevel="0" collapsed="false">
      <c r="A25" s="27" t="n">
        <v>21</v>
      </c>
      <c r="B25" s="57" t="n">
        <f aca="false">StartDate+(A25-1)*7</f>
        <v>46163</v>
      </c>
      <c r="C25" s="58" t="n">
        <f aca="false">SUMIFS('Daily Tracker'!$E$5:$E$369,'Daily Tracker'!$C$5:$C$369,A25)</f>
        <v>0</v>
      </c>
      <c r="D25" s="47" t="str">
        <f aca="false">IFERROR(AVERAGEIFS('Daily Tracker'!$E$5:$E$369,'Daily Tracker'!$C$5:$C$369,A25),"")</f>
        <v/>
      </c>
      <c r="E25" s="47" t="str">
        <f aca="false">IFERROR(AVERAGEIFS('Daily Tracker'!$F$5:$F$369,'Daily Tracker'!$C$5:$C$369,A25),"")</f>
        <v/>
      </c>
      <c r="F25" s="58" t="n">
        <f aca="false">COUNTIFS('Daily Tracker'!$C$5:$C$369,A25,'Daily Tracker'!$X$5:$X$369,1)</f>
        <v>0</v>
      </c>
      <c r="G25" s="58" t="n">
        <f aca="false">SUMIFS('Daily Tracker'!$M$5:$M$369,'Daily Tracker'!$C$5:$C$369,A25)</f>
        <v>0</v>
      </c>
      <c r="H25" s="58" t="n">
        <f aca="false">SUMIFS('Daily Tracker'!$K$5:$K$369,'Daily Tracker'!$C$5:$C$369,A25)</f>
        <v>0</v>
      </c>
      <c r="I25" s="47" t="n">
        <f aca="false">SUMIFS('Daily Tracker'!$I$5:$I$369,'Daily Tracker'!$C$5:$C$369,A25)</f>
        <v>0</v>
      </c>
      <c r="J25" s="47" t="str">
        <f aca="false">IFERROR(AVERAGEIFS('Daily Tracker'!$G$5:$G$369,'Daily Tracker'!$C$5:$C$369,A25),"")</f>
        <v/>
      </c>
      <c r="K25" s="47" t="str">
        <f aca="false">IF(OR(J25="",J24=""),"",J25-J24)</f>
        <v/>
      </c>
      <c r="L25" s="34" t="str">
        <f aca="false">IFERROR(AVERAGEIFS('Recovery Tracker'!$E$5:$E$369,'Daily Tracker'!$C$5:$C$369,A25),"")</f>
        <v/>
      </c>
      <c r="M25" s="58" t="n">
        <f aca="false">SUMIFS('Workout Log'!$G$5:$G$504,'Workout Log'!$L$5:$L$504,A25)</f>
        <v>0</v>
      </c>
      <c r="N25" s="27" t="str">
        <f aca="false">IF(B25="","",TEXT(B25,"mmm"))</f>
        <v>May</v>
      </c>
    </row>
    <row r="26" customFormat="false" ht="15" hidden="false" customHeight="false" outlineLevel="0" collapsed="false">
      <c r="A26" s="36" t="n">
        <v>22</v>
      </c>
      <c r="B26" s="59" t="n">
        <f aca="false">StartDate+(A26-1)*7</f>
        <v>46170</v>
      </c>
      <c r="C26" s="60" t="n">
        <f aca="false">SUMIFS('Daily Tracker'!$E$5:$E$369,'Daily Tracker'!$C$5:$C$369,A26)</f>
        <v>0</v>
      </c>
      <c r="D26" s="48" t="str">
        <f aca="false">IFERROR(AVERAGEIFS('Daily Tracker'!$E$5:$E$369,'Daily Tracker'!$C$5:$C$369,A26),"")</f>
        <v/>
      </c>
      <c r="E26" s="48" t="str">
        <f aca="false">IFERROR(AVERAGEIFS('Daily Tracker'!$F$5:$F$369,'Daily Tracker'!$C$5:$C$369,A26),"")</f>
        <v/>
      </c>
      <c r="F26" s="60" t="n">
        <f aca="false">COUNTIFS('Daily Tracker'!$C$5:$C$369,A26,'Daily Tracker'!$X$5:$X$369,1)</f>
        <v>0</v>
      </c>
      <c r="G26" s="60" t="n">
        <f aca="false">SUMIFS('Daily Tracker'!$M$5:$M$369,'Daily Tracker'!$C$5:$C$369,A26)</f>
        <v>0</v>
      </c>
      <c r="H26" s="60" t="n">
        <f aca="false">SUMIFS('Daily Tracker'!$K$5:$K$369,'Daily Tracker'!$C$5:$C$369,A26)</f>
        <v>0</v>
      </c>
      <c r="I26" s="48" t="n">
        <f aca="false">SUMIFS('Daily Tracker'!$I$5:$I$369,'Daily Tracker'!$C$5:$C$369,A26)</f>
        <v>0</v>
      </c>
      <c r="J26" s="48" t="str">
        <f aca="false">IFERROR(AVERAGEIFS('Daily Tracker'!$G$5:$G$369,'Daily Tracker'!$C$5:$C$369,A26),"")</f>
        <v/>
      </c>
      <c r="K26" s="48" t="str">
        <f aca="false">IF(OR(J26="",J25=""),"",J26-J25)</f>
        <v/>
      </c>
      <c r="L26" s="38" t="str">
        <f aca="false">IFERROR(AVERAGEIFS('Recovery Tracker'!$E$5:$E$369,'Daily Tracker'!$C$5:$C$369,A26),"")</f>
        <v/>
      </c>
      <c r="M26" s="60" t="n">
        <f aca="false">SUMIFS('Workout Log'!$G$5:$G$504,'Workout Log'!$L$5:$L$504,A26)</f>
        <v>0</v>
      </c>
      <c r="N26" s="36" t="str">
        <f aca="false">IF(B26="","",TEXT(B26,"mmm"))</f>
        <v>May</v>
      </c>
    </row>
    <row r="27" customFormat="false" ht="15" hidden="false" customHeight="false" outlineLevel="0" collapsed="false">
      <c r="A27" s="27" t="n">
        <v>23</v>
      </c>
      <c r="B27" s="57" t="n">
        <f aca="false">StartDate+(A27-1)*7</f>
        <v>46177</v>
      </c>
      <c r="C27" s="58" t="n">
        <f aca="false">SUMIFS('Daily Tracker'!$E$5:$E$369,'Daily Tracker'!$C$5:$C$369,A27)</f>
        <v>0</v>
      </c>
      <c r="D27" s="47" t="str">
        <f aca="false">IFERROR(AVERAGEIFS('Daily Tracker'!$E$5:$E$369,'Daily Tracker'!$C$5:$C$369,A27),"")</f>
        <v/>
      </c>
      <c r="E27" s="47" t="str">
        <f aca="false">IFERROR(AVERAGEIFS('Daily Tracker'!$F$5:$F$369,'Daily Tracker'!$C$5:$C$369,A27),"")</f>
        <v/>
      </c>
      <c r="F27" s="58" t="n">
        <f aca="false">COUNTIFS('Daily Tracker'!$C$5:$C$369,A27,'Daily Tracker'!$X$5:$X$369,1)</f>
        <v>0</v>
      </c>
      <c r="G27" s="58" t="n">
        <f aca="false">SUMIFS('Daily Tracker'!$M$5:$M$369,'Daily Tracker'!$C$5:$C$369,A27)</f>
        <v>0</v>
      </c>
      <c r="H27" s="58" t="n">
        <f aca="false">SUMIFS('Daily Tracker'!$K$5:$K$369,'Daily Tracker'!$C$5:$C$369,A27)</f>
        <v>0</v>
      </c>
      <c r="I27" s="47" t="n">
        <f aca="false">SUMIFS('Daily Tracker'!$I$5:$I$369,'Daily Tracker'!$C$5:$C$369,A27)</f>
        <v>0</v>
      </c>
      <c r="J27" s="47" t="str">
        <f aca="false">IFERROR(AVERAGEIFS('Daily Tracker'!$G$5:$G$369,'Daily Tracker'!$C$5:$C$369,A27),"")</f>
        <v/>
      </c>
      <c r="K27" s="47" t="str">
        <f aca="false">IF(OR(J27="",J26=""),"",J27-J26)</f>
        <v/>
      </c>
      <c r="L27" s="34" t="str">
        <f aca="false">IFERROR(AVERAGEIFS('Recovery Tracker'!$E$5:$E$369,'Daily Tracker'!$C$5:$C$369,A27),"")</f>
        <v/>
      </c>
      <c r="M27" s="58" t="n">
        <f aca="false">SUMIFS('Workout Log'!$G$5:$G$504,'Workout Log'!$L$5:$L$504,A27)</f>
        <v>0</v>
      </c>
      <c r="N27" s="27" t="str">
        <f aca="false">IF(B27="","",TEXT(B27,"mmm"))</f>
        <v>Jun</v>
      </c>
    </row>
    <row r="28" customFormat="false" ht="15" hidden="false" customHeight="false" outlineLevel="0" collapsed="false">
      <c r="A28" s="36" t="n">
        <v>24</v>
      </c>
      <c r="B28" s="59" t="n">
        <f aca="false">StartDate+(A28-1)*7</f>
        <v>46184</v>
      </c>
      <c r="C28" s="60" t="n">
        <f aca="false">SUMIFS('Daily Tracker'!$E$5:$E$369,'Daily Tracker'!$C$5:$C$369,A28)</f>
        <v>0</v>
      </c>
      <c r="D28" s="48" t="str">
        <f aca="false">IFERROR(AVERAGEIFS('Daily Tracker'!$E$5:$E$369,'Daily Tracker'!$C$5:$C$369,A28),"")</f>
        <v/>
      </c>
      <c r="E28" s="48" t="str">
        <f aca="false">IFERROR(AVERAGEIFS('Daily Tracker'!$F$5:$F$369,'Daily Tracker'!$C$5:$C$369,A28),"")</f>
        <v/>
      </c>
      <c r="F28" s="60" t="n">
        <f aca="false">COUNTIFS('Daily Tracker'!$C$5:$C$369,A28,'Daily Tracker'!$X$5:$X$369,1)</f>
        <v>0</v>
      </c>
      <c r="G28" s="60" t="n">
        <f aca="false">SUMIFS('Daily Tracker'!$M$5:$M$369,'Daily Tracker'!$C$5:$C$369,A28)</f>
        <v>0</v>
      </c>
      <c r="H28" s="60" t="n">
        <f aca="false">SUMIFS('Daily Tracker'!$K$5:$K$369,'Daily Tracker'!$C$5:$C$369,A28)</f>
        <v>0</v>
      </c>
      <c r="I28" s="48" t="n">
        <f aca="false">SUMIFS('Daily Tracker'!$I$5:$I$369,'Daily Tracker'!$C$5:$C$369,A28)</f>
        <v>0</v>
      </c>
      <c r="J28" s="48" t="str">
        <f aca="false">IFERROR(AVERAGEIFS('Daily Tracker'!$G$5:$G$369,'Daily Tracker'!$C$5:$C$369,A28),"")</f>
        <v/>
      </c>
      <c r="K28" s="48" t="str">
        <f aca="false">IF(OR(J28="",J27=""),"",J28-J27)</f>
        <v/>
      </c>
      <c r="L28" s="38" t="str">
        <f aca="false">IFERROR(AVERAGEIFS('Recovery Tracker'!$E$5:$E$369,'Daily Tracker'!$C$5:$C$369,A28),"")</f>
        <v/>
      </c>
      <c r="M28" s="60" t="n">
        <f aca="false">SUMIFS('Workout Log'!$G$5:$G$504,'Workout Log'!$L$5:$L$504,A28)</f>
        <v>0</v>
      </c>
      <c r="N28" s="36" t="str">
        <f aca="false">IF(B28="","",TEXT(B28,"mmm"))</f>
        <v>Jun</v>
      </c>
    </row>
    <row r="29" customFormat="false" ht="15" hidden="false" customHeight="false" outlineLevel="0" collapsed="false">
      <c r="A29" s="27" t="n">
        <v>25</v>
      </c>
      <c r="B29" s="57" t="n">
        <f aca="false">StartDate+(A29-1)*7</f>
        <v>46191</v>
      </c>
      <c r="C29" s="58" t="n">
        <f aca="false">SUMIFS('Daily Tracker'!$E$5:$E$369,'Daily Tracker'!$C$5:$C$369,A29)</f>
        <v>0</v>
      </c>
      <c r="D29" s="47" t="str">
        <f aca="false">IFERROR(AVERAGEIFS('Daily Tracker'!$E$5:$E$369,'Daily Tracker'!$C$5:$C$369,A29),"")</f>
        <v/>
      </c>
      <c r="E29" s="47" t="str">
        <f aca="false">IFERROR(AVERAGEIFS('Daily Tracker'!$F$5:$F$369,'Daily Tracker'!$C$5:$C$369,A29),"")</f>
        <v/>
      </c>
      <c r="F29" s="58" t="n">
        <f aca="false">COUNTIFS('Daily Tracker'!$C$5:$C$369,A29,'Daily Tracker'!$X$5:$X$369,1)</f>
        <v>0</v>
      </c>
      <c r="G29" s="58" t="n">
        <f aca="false">SUMIFS('Daily Tracker'!$M$5:$M$369,'Daily Tracker'!$C$5:$C$369,A29)</f>
        <v>0</v>
      </c>
      <c r="H29" s="58" t="n">
        <f aca="false">SUMIFS('Daily Tracker'!$K$5:$K$369,'Daily Tracker'!$C$5:$C$369,A29)</f>
        <v>0</v>
      </c>
      <c r="I29" s="47" t="n">
        <f aca="false">SUMIFS('Daily Tracker'!$I$5:$I$369,'Daily Tracker'!$C$5:$C$369,A29)</f>
        <v>0</v>
      </c>
      <c r="J29" s="47" t="str">
        <f aca="false">IFERROR(AVERAGEIFS('Daily Tracker'!$G$5:$G$369,'Daily Tracker'!$C$5:$C$369,A29),"")</f>
        <v/>
      </c>
      <c r="K29" s="47" t="str">
        <f aca="false">IF(OR(J29="",J28=""),"",J29-J28)</f>
        <v/>
      </c>
      <c r="L29" s="34" t="str">
        <f aca="false">IFERROR(AVERAGEIFS('Recovery Tracker'!$E$5:$E$369,'Daily Tracker'!$C$5:$C$369,A29),"")</f>
        <v/>
      </c>
      <c r="M29" s="58" t="n">
        <f aca="false">SUMIFS('Workout Log'!$G$5:$G$504,'Workout Log'!$L$5:$L$504,A29)</f>
        <v>0</v>
      </c>
      <c r="N29" s="27" t="str">
        <f aca="false">IF(B29="","",TEXT(B29,"mmm"))</f>
        <v>Jun</v>
      </c>
    </row>
    <row r="30" customFormat="false" ht="15" hidden="false" customHeight="false" outlineLevel="0" collapsed="false">
      <c r="A30" s="36" t="n">
        <v>26</v>
      </c>
      <c r="B30" s="59" t="n">
        <f aca="false">StartDate+(A30-1)*7</f>
        <v>46198</v>
      </c>
      <c r="C30" s="60" t="n">
        <f aca="false">SUMIFS('Daily Tracker'!$E$5:$E$369,'Daily Tracker'!$C$5:$C$369,A30)</f>
        <v>0</v>
      </c>
      <c r="D30" s="48" t="str">
        <f aca="false">IFERROR(AVERAGEIFS('Daily Tracker'!$E$5:$E$369,'Daily Tracker'!$C$5:$C$369,A30),"")</f>
        <v/>
      </c>
      <c r="E30" s="48" t="str">
        <f aca="false">IFERROR(AVERAGEIFS('Daily Tracker'!$F$5:$F$369,'Daily Tracker'!$C$5:$C$369,A30),"")</f>
        <v/>
      </c>
      <c r="F30" s="60" t="n">
        <f aca="false">COUNTIFS('Daily Tracker'!$C$5:$C$369,A30,'Daily Tracker'!$X$5:$X$369,1)</f>
        <v>0</v>
      </c>
      <c r="G30" s="60" t="n">
        <f aca="false">SUMIFS('Daily Tracker'!$M$5:$M$369,'Daily Tracker'!$C$5:$C$369,A30)</f>
        <v>0</v>
      </c>
      <c r="H30" s="60" t="n">
        <f aca="false">SUMIFS('Daily Tracker'!$K$5:$K$369,'Daily Tracker'!$C$5:$C$369,A30)</f>
        <v>0</v>
      </c>
      <c r="I30" s="48" t="n">
        <f aca="false">SUMIFS('Daily Tracker'!$I$5:$I$369,'Daily Tracker'!$C$5:$C$369,A30)</f>
        <v>0</v>
      </c>
      <c r="J30" s="48" t="str">
        <f aca="false">IFERROR(AVERAGEIFS('Daily Tracker'!$G$5:$G$369,'Daily Tracker'!$C$5:$C$369,A30),"")</f>
        <v/>
      </c>
      <c r="K30" s="48" t="str">
        <f aca="false">IF(OR(J30="",J29=""),"",J30-J29)</f>
        <v/>
      </c>
      <c r="L30" s="38" t="str">
        <f aca="false">IFERROR(AVERAGEIFS('Recovery Tracker'!$E$5:$E$369,'Daily Tracker'!$C$5:$C$369,A30),"")</f>
        <v/>
      </c>
      <c r="M30" s="60" t="n">
        <f aca="false">SUMIFS('Workout Log'!$G$5:$G$504,'Workout Log'!$L$5:$L$504,A30)</f>
        <v>0</v>
      </c>
      <c r="N30" s="36" t="str">
        <f aca="false">IF(B30="","",TEXT(B30,"mmm"))</f>
        <v>Jun</v>
      </c>
    </row>
    <row r="31" customFormat="false" ht="15" hidden="false" customHeight="false" outlineLevel="0" collapsed="false">
      <c r="A31" s="27" t="n">
        <v>27</v>
      </c>
      <c r="B31" s="57" t="n">
        <f aca="false">StartDate+(A31-1)*7</f>
        <v>46205</v>
      </c>
      <c r="C31" s="58" t="n">
        <f aca="false">SUMIFS('Daily Tracker'!$E$5:$E$369,'Daily Tracker'!$C$5:$C$369,A31)</f>
        <v>0</v>
      </c>
      <c r="D31" s="47" t="str">
        <f aca="false">IFERROR(AVERAGEIFS('Daily Tracker'!$E$5:$E$369,'Daily Tracker'!$C$5:$C$369,A31),"")</f>
        <v/>
      </c>
      <c r="E31" s="47" t="str">
        <f aca="false">IFERROR(AVERAGEIFS('Daily Tracker'!$F$5:$F$369,'Daily Tracker'!$C$5:$C$369,A31),"")</f>
        <v/>
      </c>
      <c r="F31" s="58" t="n">
        <f aca="false">COUNTIFS('Daily Tracker'!$C$5:$C$369,A31,'Daily Tracker'!$X$5:$X$369,1)</f>
        <v>0</v>
      </c>
      <c r="G31" s="58" t="n">
        <f aca="false">SUMIFS('Daily Tracker'!$M$5:$M$369,'Daily Tracker'!$C$5:$C$369,A31)</f>
        <v>0</v>
      </c>
      <c r="H31" s="58" t="n">
        <f aca="false">SUMIFS('Daily Tracker'!$K$5:$K$369,'Daily Tracker'!$C$5:$C$369,A31)</f>
        <v>0</v>
      </c>
      <c r="I31" s="47" t="n">
        <f aca="false">SUMIFS('Daily Tracker'!$I$5:$I$369,'Daily Tracker'!$C$5:$C$369,A31)</f>
        <v>0</v>
      </c>
      <c r="J31" s="47" t="str">
        <f aca="false">IFERROR(AVERAGEIFS('Daily Tracker'!$G$5:$G$369,'Daily Tracker'!$C$5:$C$369,A31),"")</f>
        <v/>
      </c>
      <c r="K31" s="47" t="str">
        <f aca="false">IF(OR(J31="",J30=""),"",J31-J30)</f>
        <v/>
      </c>
      <c r="L31" s="34" t="str">
        <f aca="false">IFERROR(AVERAGEIFS('Recovery Tracker'!$E$5:$E$369,'Daily Tracker'!$C$5:$C$369,A31),"")</f>
        <v/>
      </c>
      <c r="M31" s="58" t="n">
        <f aca="false">SUMIFS('Workout Log'!$G$5:$G$504,'Workout Log'!$L$5:$L$504,A31)</f>
        <v>0</v>
      </c>
      <c r="N31" s="27" t="str">
        <f aca="false">IF(B31="","",TEXT(B31,"mmm"))</f>
        <v>Jul</v>
      </c>
    </row>
    <row r="32" customFormat="false" ht="15" hidden="false" customHeight="false" outlineLevel="0" collapsed="false">
      <c r="A32" s="36" t="n">
        <v>28</v>
      </c>
      <c r="B32" s="59" t="n">
        <f aca="false">StartDate+(A32-1)*7</f>
        <v>46212</v>
      </c>
      <c r="C32" s="60" t="n">
        <f aca="false">SUMIFS('Daily Tracker'!$E$5:$E$369,'Daily Tracker'!$C$5:$C$369,A32)</f>
        <v>0</v>
      </c>
      <c r="D32" s="48" t="str">
        <f aca="false">IFERROR(AVERAGEIFS('Daily Tracker'!$E$5:$E$369,'Daily Tracker'!$C$5:$C$369,A32),"")</f>
        <v/>
      </c>
      <c r="E32" s="48" t="str">
        <f aca="false">IFERROR(AVERAGEIFS('Daily Tracker'!$F$5:$F$369,'Daily Tracker'!$C$5:$C$369,A32),"")</f>
        <v/>
      </c>
      <c r="F32" s="60" t="n">
        <f aca="false">COUNTIFS('Daily Tracker'!$C$5:$C$369,A32,'Daily Tracker'!$X$5:$X$369,1)</f>
        <v>0</v>
      </c>
      <c r="G32" s="60" t="n">
        <f aca="false">SUMIFS('Daily Tracker'!$M$5:$M$369,'Daily Tracker'!$C$5:$C$369,A32)</f>
        <v>0</v>
      </c>
      <c r="H32" s="60" t="n">
        <f aca="false">SUMIFS('Daily Tracker'!$K$5:$K$369,'Daily Tracker'!$C$5:$C$369,A32)</f>
        <v>0</v>
      </c>
      <c r="I32" s="48" t="n">
        <f aca="false">SUMIFS('Daily Tracker'!$I$5:$I$369,'Daily Tracker'!$C$5:$C$369,A32)</f>
        <v>0</v>
      </c>
      <c r="J32" s="48" t="str">
        <f aca="false">IFERROR(AVERAGEIFS('Daily Tracker'!$G$5:$G$369,'Daily Tracker'!$C$5:$C$369,A32),"")</f>
        <v/>
      </c>
      <c r="K32" s="48" t="str">
        <f aca="false">IF(OR(J32="",J31=""),"",J32-J31)</f>
        <v/>
      </c>
      <c r="L32" s="38" t="str">
        <f aca="false">IFERROR(AVERAGEIFS('Recovery Tracker'!$E$5:$E$369,'Daily Tracker'!$C$5:$C$369,A32),"")</f>
        <v/>
      </c>
      <c r="M32" s="60" t="n">
        <f aca="false">SUMIFS('Workout Log'!$G$5:$G$504,'Workout Log'!$L$5:$L$504,A32)</f>
        <v>0</v>
      </c>
      <c r="N32" s="36" t="str">
        <f aca="false">IF(B32="","",TEXT(B32,"mmm"))</f>
        <v>Jul</v>
      </c>
    </row>
    <row r="33" customFormat="false" ht="15" hidden="false" customHeight="false" outlineLevel="0" collapsed="false">
      <c r="A33" s="27" t="n">
        <v>29</v>
      </c>
      <c r="B33" s="57" t="n">
        <f aca="false">StartDate+(A33-1)*7</f>
        <v>46219</v>
      </c>
      <c r="C33" s="58" t="n">
        <f aca="false">SUMIFS('Daily Tracker'!$E$5:$E$369,'Daily Tracker'!$C$5:$C$369,A33)</f>
        <v>0</v>
      </c>
      <c r="D33" s="47" t="str">
        <f aca="false">IFERROR(AVERAGEIFS('Daily Tracker'!$E$5:$E$369,'Daily Tracker'!$C$5:$C$369,A33),"")</f>
        <v/>
      </c>
      <c r="E33" s="47" t="str">
        <f aca="false">IFERROR(AVERAGEIFS('Daily Tracker'!$F$5:$F$369,'Daily Tracker'!$C$5:$C$369,A33),"")</f>
        <v/>
      </c>
      <c r="F33" s="58" t="n">
        <f aca="false">COUNTIFS('Daily Tracker'!$C$5:$C$369,A33,'Daily Tracker'!$X$5:$X$369,1)</f>
        <v>0</v>
      </c>
      <c r="G33" s="58" t="n">
        <f aca="false">SUMIFS('Daily Tracker'!$M$5:$M$369,'Daily Tracker'!$C$5:$C$369,A33)</f>
        <v>0</v>
      </c>
      <c r="H33" s="58" t="n">
        <f aca="false">SUMIFS('Daily Tracker'!$K$5:$K$369,'Daily Tracker'!$C$5:$C$369,A33)</f>
        <v>0</v>
      </c>
      <c r="I33" s="47" t="n">
        <f aca="false">SUMIFS('Daily Tracker'!$I$5:$I$369,'Daily Tracker'!$C$5:$C$369,A33)</f>
        <v>0</v>
      </c>
      <c r="J33" s="47" t="str">
        <f aca="false">IFERROR(AVERAGEIFS('Daily Tracker'!$G$5:$G$369,'Daily Tracker'!$C$5:$C$369,A33),"")</f>
        <v/>
      </c>
      <c r="K33" s="47" t="str">
        <f aca="false">IF(OR(J33="",J32=""),"",J33-J32)</f>
        <v/>
      </c>
      <c r="L33" s="34" t="str">
        <f aca="false">IFERROR(AVERAGEIFS('Recovery Tracker'!$E$5:$E$369,'Daily Tracker'!$C$5:$C$369,A33),"")</f>
        <v/>
      </c>
      <c r="M33" s="58" t="n">
        <f aca="false">SUMIFS('Workout Log'!$G$5:$G$504,'Workout Log'!$L$5:$L$504,A33)</f>
        <v>0</v>
      </c>
      <c r="N33" s="27" t="str">
        <f aca="false">IF(B33="","",TEXT(B33,"mmm"))</f>
        <v>Jul</v>
      </c>
    </row>
    <row r="34" customFormat="false" ht="15" hidden="false" customHeight="false" outlineLevel="0" collapsed="false">
      <c r="A34" s="36" t="n">
        <v>30</v>
      </c>
      <c r="B34" s="59" t="n">
        <f aca="false">StartDate+(A34-1)*7</f>
        <v>46226</v>
      </c>
      <c r="C34" s="60" t="n">
        <f aca="false">SUMIFS('Daily Tracker'!$E$5:$E$369,'Daily Tracker'!$C$5:$C$369,A34)</f>
        <v>0</v>
      </c>
      <c r="D34" s="48" t="str">
        <f aca="false">IFERROR(AVERAGEIFS('Daily Tracker'!$E$5:$E$369,'Daily Tracker'!$C$5:$C$369,A34),"")</f>
        <v/>
      </c>
      <c r="E34" s="48" t="str">
        <f aca="false">IFERROR(AVERAGEIFS('Daily Tracker'!$F$5:$F$369,'Daily Tracker'!$C$5:$C$369,A34),"")</f>
        <v/>
      </c>
      <c r="F34" s="60" t="n">
        <f aca="false">COUNTIFS('Daily Tracker'!$C$5:$C$369,A34,'Daily Tracker'!$X$5:$X$369,1)</f>
        <v>0</v>
      </c>
      <c r="G34" s="60" t="n">
        <f aca="false">SUMIFS('Daily Tracker'!$M$5:$M$369,'Daily Tracker'!$C$5:$C$369,A34)</f>
        <v>0</v>
      </c>
      <c r="H34" s="60" t="n">
        <f aca="false">SUMIFS('Daily Tracker'!$K$5:$K$369,'Daily Tracker'!$C$5:$C$369,A34)</f>
        <v>0</v>
      </c>
      <c r="I34" s="48" t="n">
        <f aca="false">SUMIFS('Daily Tracker'!$I$5:$I$369,'Daily Tracker'!$C$5:$C$369,A34)</f>
        <v>0</v>
      </c>
      <c r="J34" s="48" t="str">
        <f aca="false">IFERROR(AVERAGEIFS('Daily Tracker'!$G$5:$G$369,'Daily Tracker'!$C$5:$C$369,A34),"")</f>
        <v/>
      </c>
      <c r="K34" s="48" t="str">
        <f aca="false">IF(OR(J34="",J33=""),"",J34-J33)</f>
        <v/>
      </c>
      <c r="L34" s="38" t="str">
        <f aca="false">IFERROR(AVERAGEIFS('Recovery Tracker'!$E$5:$E$369,'Daily Tracker'!$C$5:$C$369,A34),"")</f>
        <v/>
      </c>
      <c r="M34" s="60" t="n">
        <f aca="false">SUMIFS('Workout Log'!$G$5:$G$504,'Workout Log'!$L$5:$L$504,A34)</f>
        <v>0</v>
      </c>
      <c r="N34" s="36" t="str">
        <f aca="false">IF(B34="","",TEXT(B34,"mmm"))</f>
        <v>Jul</v>
      </c>
    </row>
    <row r="35" customFormat="false" ht="15" hidden="false" customHeight="false" outlineLevel="0" collapsed="false">
      <c r="A35" s="27" t="n">
        <v>31</v>
      </c>
      <c r="B35" s="57" t="n">
        <f aca="false">StartDate+(A35-1)*7</f>
        <v>46233</v>
      </c>
      <c r="C35" s="58" t="n">
        <f aca="false">SUMIFS('Daily Tracker'!$E$5:$E$369,'Daily Tracker'!$C$5:$C$369,A35)</f>
        <v>0</v>
      </c>
      <c r="D35" s="47" t="str">
        <f aca="false">IFERROR(AVERAGEIFS('Daily Tracker'!$E$5:$E$369,'Daily Tracker'!$C$5:$C$369,A35),"")</f>
        <v/>
      </c>
      <c r="E35" s="47" t="str">
        <f aca="false">IFERROR(AVERAGEIFS('Daily Tracker'!$F$5:$F$369,'Daily Tracker'!$C$5:$C$369,A35),"")</f>
        <v/>
      </c>
      <c r="F35" s="58" t="n">
        <f aca="false">COUNTIFS('Daily Tracker'!$C$5:$C$369,A35,'Daily Tracker'!$X$5:$X$369,1)</f>
        <v>0</v>
      </c>
      <c r="G35" s="58" t="n">
        <f aca="false">SUMIFS('Daily Tracker'!$M$5:$M$369,'Daily Tracker'!$C$5:$C$369,A35)</f>
        <v>0</v>
      </c>
      <c r="H35" s="58" t="n">
        <f aca="false">SUMIFS('Daily Tracker'!$K$5:$K$369,'Daily Tracker'!$C$5:$C$369,A35)</f>
        <v>0</v>
      </c>
      <c r="I35" s="47" t="n">
        <f aca="false">SUMIFS('Daily Tracker'!$I$5:$I$369,'Daily Tracker'!$C$5:$C$369,A35)</f>
        <v>0</v>
      </c>
      <c r="J35" s="47" t="str">
        <f aca="false">IFERROR(AVERAGEIFS('Daily Tracker'!$G$5:$G$369,'Daily Tracker'!$C$5:$C$369,A35),"")</f>
        <v/>
      </c>
      <c r="K35" s="47" t="str">
        <f aca="false">IF(OR(J35="",J34=""),"",J35-J34)</f>
        <v/>
      </c>
      <c r="L35" s="34" t="str">
        <f aca="false">IFERROR(AVERAGEIFS('Recovery Tracker'!$E$5:$E$369,'Daily Tracker'!$C$5:$C$369,A35),"")</f>
        <v/>
      </c>
      <c r="M35" s="58" t="n">
        <f aca="false">SUMIFS('Workout Log'!$G$5:$G$504,'Workout Log'!$L$5:$L$504,A35)</f>
        <v>0</v>
      </c>
      <c r="N35" s="27" t="str">
        <f aca="false">IF(B35="","",TEXT(B35,"mmm"))</f>
        <v>Jul</v>
      </c>
    </row>
    <row r="36" customFormat="false" ht="15" hidden="false" customHeight="false" outlineLevel="0" collapsed="false">
      <c r="A36" s="36" t="n">
        <v>32</v>
      </c>
      <c r="B36" s="59" t="n">
        <f aca="false">StartDate+(A36-1)*7</f>
        <v>46240</v>
      </c>
      <c r="C36" s="60" t="n">
        <f aca="false">SUMIFS('Daily Tracker'!$E$5:$E$369,'Daily Tracker'!$C$5:$C$369,A36)</f>
        <v>0</v>
      </c>
      <c r="D36" s="48" t="str">
        <f aca="false">IFERROR(AVERAGEIFS('Daily Tracker'!$E$5:$E$369,'Daily Tracker'!$C$5:$C$369,A36),"")</f>
        <v/>
      </c>
      <c r="E36" s="48" t="str">
        <f aca="false">IFERROR(AVERAGEIFS('Daily Tracker'!$F$5:$F$369,'Daily Tracker'!$C$5:$C$369,A36),"")</f>
        <v/>
      </c>
      <c r="F36" s="60" t="n">
        <f aca="false">COUNTIFS('Daily Tracker'!$C$5:$C$369,A36,'Daily Tracker'!$X$5:$X$369,1)</f>
        <v>0</v>
      </c>
      <c r="G36" s="60" t="n">
        <f aca="false">SUMIFS('Daily Tracker'!$M$5:$M$369,'Daily Tracker'!$C$5:$C$369,A36)</f>
        <v>0</v>
      </c>
      <c r="H36" s="60" t="n">
        <f aca="false">SUMIFS('Daily Tracker'!$K$5:$K$369,'Daily Tracker'!$C$5:$C$369,A36)</f>
        <v>0</v>
      </c>
      <c r="I36" s="48" t="n">
        <f aca="false">SUMIFS('Daily Tracker'!$I$5:$I$369,'Daily Tracker'!$C$5:$C$369,A36)</f>
        <v>0</v>
      </c>
      <c r="J36" s="48" t="str">
        <f aca="false">IFERROR(AVERAGEIFS('Daily Tracker'!$G$5:$G$369,'Daily Tracker'!$C$5:$C$369,A36),"")</f>
        <v/>
      </c>
      <c r="K36" s="48" t="str">
        <f aca="false">IF(OR(J36="",J35=""),"",J36-J35)</f>
        <v/>
      </c>
      <c r="L36" s="38" t="str">
        <f aca="false">IFERROR(AVERAGEIFS('Recovery Tracker'!$E$5:$E$369,'Daily Tracker'!$C$5:$C$369,A36),"")</f>
        <v/>
      </c>
      <c r="M36" s="60" t="n">
        <f aca="false">SUMIFS('Workout Log'!$G$5:$G$504,'Workout Log'!$L$5:$L$504,A36)</f>
        <v>0</v>
      </c>
      <c r="N36" s="36" t="str">
        <f aca="false">IF(B36="","",TEXT(B36,"mmm"))</f>
        <v>Aug</v>
      </c>
    </row>
    <row r="37" customFormat="false" ht="15" hidden="false" customHeight="false" outlineLevel="0" collapsed="false">
      <c r="A37" s="27" t="n">
        <v>33</v>
      </c>
      <c r="B37" s="57" t="n">
        <f aca="false">StartDate+(A37-1)*7</f>
        <v>46247</v>
      </c>
      <c r="C37" s="58" t="n">
        <f aca="false">SUMIFS('Daily Tracker'!$E$5:$E$369,'Daily Tracker'!$C$5:$C$369,A37)</f>
        <v>0</v>
      </c>
      <c r="D37" s="47" t="str">
        <f aca="false">IFERROR(AVERAGEIFS('Daily Tracker'!$E$5:$E$369,'Daily Tracker'!$C$5:$C$369,A37),"")</f>
        <v/>
      </c>
      <c r="E37" s="47" t="str">
        <f aca="false">IFERROR(AVERAGEIFS('Daily Tracker'!$F$5:$F$369,'Daily Tracker'!$C$5:$C$369,A37),"")</f>
        <v/>
      </c>
      <c r="F37" s="58" t="n">
        <f aca="false">COUNTIFS('Daily Tracker'!$C$5:$C$369,A37,'Daily Tracker'!$X$5:$X$369,1)</f>
        <v>0</v>
      </c>
      <c r="G37" s="58" t="n">
        <f aca="false">SUMIFS('Daily Tracker'!$M$5:$M$369,'Daily Tracker'!$C$5:$C$369,A37)</f>
        <v>0</v>
      </c>
      <c r="H37" s="58" t="n">
        <f aca="false">SUMIFS('Daily Tracker'!$K$5:$K$369,'Daily Tracker'!$C$5:$C$369,A37)</f>
        <v>0</v>
      </c>
      <c r="I37" s="47" t="n">
        <f aca="false">SUMIFS('Daily Tracker'!$I$5:$I$369,'Daily Tracker'!$C$5:$C$369,A37)</f>
        <v>0</v>
      </c>
      <c r="J37" s="47" t="str">
        <f aca="false">IFERROR(AVERAGEIFS('Daily Tracker'!$G$5:$G$369,'Daily Tracker'!$C$5:$C$369,A37),"")</f>
        <v/>
      </c>
      <c r="K37" s="47" t="str">
        <f aca="false">IF(OR(J37="",J36=""),"",J37-J36)</f>
        <v/>
      </c>
      <c r="L37" s="34" t="str">
        <f aca="false">IFERROR(AVERAGEIFS('Recovery Tracker'!$E$5:$E$369,'Daily Tracker'!$C$5:$C$369,A37),"")</f>
        <v/>
      </c>
      <c r="M37" s="58" t="n">
        <f aca="false">SUMIFS('Workout Log'!$G$5:$G$504,'Workout Log'!$L$5:$L$504,A37)</f>
        <v>0</v>
      </c>
      <c r="N37" s="27" t="str">
        <f aca="false">IF(B37="","",TEXT(B37,"mmm"))</f>
        <v>Aug</v>
      </c>
    </row>
    <row r="38" customFormat="false" ht="15" hidden="false" customHeight="false" outlineLevel="0" collapsed="false">
      <c r="A38" s="36" t="n">
        <v>34</v>
      </c>
      <c r="B38" s="59" t="n">
        <f aca="false">StartDate+(A38-1)*7</f>
        <v>46254</v>
      </c>
      <c r="C38" s="60" t="n">
        <f aca="false">SUMIFS('Daily Tracker'!$E$5:$E$369,'Daily Tracker'!$C$5:$C$369,A38)</f>
        <v>0</v>
      </c>
      <c r="D38" s="48" t="str">
        <f aca="false">IFERROR(AVERAGEIFS('Daily Tracker'!$E$5:$E$369,'Daily Tracker'!$C$5:$C$369,A38),"")</f>
        <v/>
      </c>
      <c r="E38" s="48" t="str">
        <f aca="false">IFERROR(AVERAGEIFS('Daily Tracker'!$F$5:$F$369,'Daily Tracker'!$C$5:$C$369,A38),"")</f>
        <v/>
      </c>
      <c r="F38" s="60" t="n">
        <f aca="false">COUNTIFS('Daily Tracker'!$C$5:$C$369,A38,'Daily Tracker'!$X$5:$X$369,1)</f>
        <v>0</v>
      </c>
      <c r="G38" s="60" t="n">
        <f aca="false">SUMIFS('Daily Tracker'!$M$5:$M$369,'Daily Tracker'!$C$5:$C$369,A38)</f>
        <v>0</v>
      </c>
      <c r="H38" s="60" t="n">
        <f aca="false">SUMIFS('Daily Tracker'!$K$5:$K$369,'Daily Tracker'!$C$5:$C$369,A38)</f>
        <v>0</v>
      </c>
      <c r="I38" s="48" t="n">
        <f aca="false">SUMIFS('Daily Tracker'!$I$5:$I$369,'Daily Tracker'!$C$5:$C$369,A38)</f>
        <v>0</v>
      </c>
      <c r="J38" s="48" t="str">
        <f aca="false">IFERROR(AVERAGEIFS('Daily Tracker'!$G$5:$G$369,'Daily Tracker'!$C$5:$C$369,A38),"")</f>
        <v/>
      </c>
      <c r="K38" s="48" t="str">
        <f aca="false">IF(OR(J38="",J37=""),"",J38-J37)</f>
        <v/>
      </c>
      <c r="L38" s="38" t="str">
        <f aca="false">IFERROR(AVERAGEIFS('Recovery Tracker'!$E$5:$E$369,'Daily Tracker'!$C$5:$C$369,A38),"")</f>
        <v/>
      </c>
      <c r="M38" s="60" t="n">
        <f aca="false">SUMIFS('Workout Log'!$G$5:$G$504,'Workout Log'!$L$5:$L$504,A38)</f>
        <v>0</v>
      </c>
      <c r="N38" s="36" t="str">
        <f aca="false">IF(B38="","",TEXT(B38,"mmm"))</f>
        <v>Aug</v>
      </c>
    </row>
    <row r="39" customFormat="false" ht="15" hidden="false" customHeight="false" outlineLevel="0" collapsed="false">
      <c r="A39" s="27" t="n">
        <v>35</v>
      </c>
      <c r="B39" s="57" t="n">
        <f aca="false">StartDate+(A39-1)*7</f>
        <v>46261</v>
      </c>
      <c r="C39" s="58" t="n">
        <f aca="false">SUMIFS('Daily Tracker'!$E$5:$E$369,'Daily Tracker'!$C$5:$C$369,A39)</f>
        <v>0</v>
      </c>
      <c r="D39" s="47" t="str">
        <f aca="false">IFERROR(AVERAGEIFS('Daily Tracker'!$E$5:$E$369,'Daily Tracker'!$C$5:$C$369,A39),"")</f>
        <v/>
      </c>
      <c r="E39" s="47" t="str">
        <f aca="false">IFERROR(AVERAGEIFS('Daily Tracker'!$F$5:$F$369,'Daily Tracker'!$C$5:$C$369,A39),"")</f>
        <v/>
      </c>
      <c r="F39" s="58" t="n">
        <f aca="false">COUNTIFS('Daily Tracker'!$C$5:$C$369,A39,'Daily Tracker'!$X$5:$X$369,1)</f>
        <v>0</v>
      </c>
      <c r="G39" s="58" t="n">
        <f aca="false">SUMIFS('Daily Tracker'!$M$5:$M$369,'Daily Tracker'!$C$5:$C$369,A39)</f>
        <v>0</v>
      </c>
      <c r="H39" s="58" t="n">
        <f aca="false">SUMIFS('Daily Tracker'!$K$5:$K$369,'Daily Tracker'!$C$5:$C$369,A39)</f>
        <v>0</v>
      </c>
      <c r="I39" s="47" t="n">
        <f aca="false">SUMIFS('Daily Tracker'!$I$5:$I$369,'Daily Tracker'!$C$5:$C$369,A39)</f>
        <v>0</v>
      </c>
      <c r="J39" s="47" t="str">
        <f aca="false">IFERROR(AVERAGEIFS('Daily Tracker'!$G$5:$G$369,'Daily Tracker'!$C$5:$C$369,A39),"")</f>
        <v/>
      </c>
      <c r="K39" s="47" t="str">
        <f aca="false">IF(OR(J39="",J38=""),"",J39-J38)</f>
        <v/>
      </c>
      <c r="L39" s="34" t="str">
        <f aca="false">IFERROR(AVERAGEIFS('Recovery Tracker'!$E$5:$E$369,'Daily Tracker'!$C$5:$C$369,A39),"")</f>
        <v/>
      </c>
      <c r="M39" s="58" t="n">
        <f aca="false">SUMIFS('Workout Log'!$G$5:$G$504,'Workout Log'!$L$5:$L$504,A39)</f>
        <v>0</v>
      </c>
      <c r="N39" s="27" t="str">
        <f aca="false">IF(B39="","",TEXT(B39,"mmm"))</f>
        <v>Aug</v>
      </c>
    </row>
    <row r="40" customFormat="false" ht="15" hidden="false" customHeight="false" outlineLevel="0" collapsed="false">
      <c r="A40" s="36" t="n">
        <v>36</v>
      </c>
      <c r="B40" s="59" t="n">
        <f aca="false">StartDate+(A40-1)*7</f>
        <v>46268</v>
      </c>
      <c r="C40" s="60" t="n">
        <f aca="false">SUMIFS('Daily Tracker'!$E$5:$E$369,'Daily Tracker'!$C$5:$C$369,A40)</f>
        <v>0</v>
      </c>
      <c r="D40" s="48" t="str">
        <f aca="false">IFERROR(AVERAGEIFS('Daily Tracker'!$E$5:$E$369,'Daily Tracker'!$C$5:$C$369,A40),"")</f>
        <v/>
      </c>
      <c r="E40" s="48" t="str">
        <f aca="false">IFERROR(AVERAGEIFS('Daily Tracker'!$F$5:$F$369,'Daily Tracker'!$C$5:$C$369,A40),"")</f>
        <v/>
      </c>
      <c r="F40" s="60" t="n">
        <f aca="false">COUNTIFS('Daily Tracker'!$C$5:$C$369,A40,'Daily Tracker'!$X$5:$X$369,1)</f>
        <v>0</v>
      </c>
      <c r="G40" s="60" t="n">
        <f aca="false">SUMIFS('Daily Tracker'!$M$5:$M$369,'Daily Tracker'!$C$5:$C$369,A40)</f>
        <v>0</v>
      </c>
      <c r="H40" s="60" t="n">
        <f aca="false">SUMIFS('Daily Tracker'!$K$5:$K$369,'Daily Tracker'!$C$5:$C$369,A40)</f>
        <v>0</v>
      </c>
      <c r="I40" s="48" t="n">
        <f aca="false">SUMIFS('Daily Tracker'!$I$5:$I$369,'Daily Tracker'!$C$5:$C$369,A40)</f>
        <v>0</v>
      </c>
      <c r="J40" s="48" t="str">
        <f aca="false">IFERROR(AVERAGEIFS('Daily Tracker'!$G$5:$G$369,'Daily Tracker'!$C$5:$C$369,A40),"")</f>
        <v/>
      </c>
      <c r="K40" s="48" t="str">
        <f aca="false">IF(OR(J40="",J39=""),"",J40-J39)</f>
        <v/>
      </c>
      <c r="L40" s="38" t="str">
        <f aca="false">IFERROR(AVERAGEIFS('Recovery Tracker'!$E$5:$E$369,'Daily Tracker'!$C$5:$C$369,A40),"")</f>
        <v/>
      </c>
      <c r="M40" s="60" t="n">
        <f aca="false">SUMIFS('Workout Log'!$G$5:$G$504,'Workout Log'!$L$5:$L$504,A40)</f>
        <v>0</v>
      </c>
      <c r="N40" s="36" t="str">
        <f aca="false">IF(B40="","",TEXT(B40,"mmm"))</f>
        <v>Sep</v>
      </c>
    </row>
    <row r="41" customFormat="false" ht="15" hidden="false" customHeight="false" outlineLevel="0" collapsed="false">
      <c r="A41" s="27" t="n">
        <v>37</v>
      </c>
      <c r="B41" s="57" t="n">
        <f aca="false">StartDate+(A41-1)*7</f>
        <v>46275</v>
      </c>
      <c r="C41" s="58" t="n">
        <f aca="false">SUMIFS('Daily Tracker'!$E$5:$E$369,'Daily Tracker'!$C$5:$C$369,A41)</f>
        <v>0</v>
      </c>
      <c r="D41" s="47" t="str">
        <f aca="false">IFERROR(AVERAGEIFS('Daily Tracker'!$E$5:$E$369,'Daily Tracker'!$C$5:$C$369,A41),"")</f>
        <v/>
      </c>
      <c r="E41" s="47" t="str">
        <f aca="false">IFERROR(AVERAGEIFS('Daily Tracker'!$F$5:$F$369,'Daily Tracker'!$C$5:$C$369,A41),"")</f>
        <v/>
      </c>
      <c r="F41" s="58" t="n">
        <f aca="false">COUNTIFS('Daily Tracker'!$C$5:$C$369,A41,'Daily Tracker'!$X$5:$X$369,1)</f>
        <v>0</v>
      </c>
      <c r="G41" s="58" t="n">
        <f aca="false">SUMIFS('Daily Tracker'!$M$5:$M$369,'Daily Tracker'!$C$5:$C$369,A41)</f>
        <v>0</v>
      </c>
      <c r="H41" s="58" t="n">
        <f aca="false">SUMIFS('Daily Tracker'!$K$5:$K$369,'Daily Tracker'!$C$5:$C$369,A41)</f>
        <v>0</v>
      </c>
      <c r="I41" s="47" t="n">
        <f aca="false">SUMIFS('Daily Tracker'!$I$5:$I$369,'Daily Tracker'!$C$5:$C$369,A41)</f>
        <v>0</v>
      </c>
      <c r="J41" s="47" t="str">
        <f aca="false">IFERROR(AVERAGEIFS('Daily Tracker'!$G$5:$G$369,'Daily Tracker'!$C$5:$C$369,A41),"")</f>
        <v/>
      </c>
      <c r="K41" s="47" t="str">
        <f aca="false">IF(OR(J41="",J40=""),"",J41-J40)</f>
        <v/>
      </c>
      <c r="L41" s="34" t="str">
        <f aca="false">IFERROR(AVERAGEIFS('Recovery Tracker'!$E$5:$E$369,'Daily Tracker'!$C$5:$C$369,A41),"")</f>
        <v/>
      </c>
      <c r="M41" s="58" t="n">
        <f aca="false">SUMIFS('Workout Log'!$G$5:$G$504,'Workout Log'!$L$5:$L$504,A41)</f>
        <v>0</v>
      </c>
      <c r="N41" s="27" t="str">
        <f aca="false">IF(B41="","",TEXT(B41,"mmm"))</f>
        <v>Sep</v>
      </c>
    </row>
    <row r="42" customFormat="false" ht="15" hidden="false" customHeight="false" outlineLevel="0" collapsed="false">
      <c r="A42" s="36" t="n">
        <v>38</v>
      </c>
      <c r="B42" s="59" t="n">
        <f aca="false">StartDate+(A42-1)*7</f>
        <v>46282</v>
      </c>
      <c r="C42" s="60" t="n">
        <f aca="false">SUMIFS('Daily Tracker'!$E$5:$E$369,'Daily Tracker'!$C$5:$C$369,A42)</f>
        <v>0</v>
      </c>
      <c r="D42" s="48" t="str">
        <f aca="false">IFERROR(AVERAGEIFS('Daily Tracker'!$E$5:$E$369,'Daily Tracker'!$C$5:$C$369,A42),"")</f>
        <v/>
      </c>
      <c r="E42" s="48" t="str">
        <f aca="false">IFERROR(AVERAGEIFS('Daily Tracker'!$F$5:$F$369,'Daily Tracker'!$C$5:$C$369,A42),"")</f>
        <v/>
      </c>
      <c r="F42" s="60" t="n">
        <f aca="false">COUNTIFS('Daily Tracker'!$C$5:$C$369,A42,'Daily Tracker'!$X$5:$X$369,1)</f>
        <v>0</v>
      </c>
      <c r="G42" s="60" t="n">
        <f aca="false">SUMIFS('Daily Tracker'!$M$5:$M$369,'Daily Tracker'!$C$5:$C$369,A42)</f>
        <v>0</v>
      </c>
      <c r="H42" s="60" t="n">
        <f aca="false">SUMIFS('Daily Tracker'!$K$5:$K$369,'Daily Tracker'!$C$5:$C$369,A42)</f>
        <v>0</v>
      </c>
      <c r="I42" s="48" t="n">
        <f aca="false">SUMIFS('Daily Tracker'!$I$5:$I$369,'Daily Tracker'!$C$5:$C$369,A42)</f>
        <v>0</v>
      </c>
      <c r="J42" s="48" t="str">
        <f aca="false">IFERROR(AVERAGEIFS('Daily Tracker'!$G$5:$G$369,'Daily Tracker'!$C$5:$C$369,A42),"")</f>
        <v/>
      </c>
      <c r="K42" s="48" t="str">
        <f aca="false">IF(OR(J42="",J41=""),"",J42-J41)</f>
        <v/>
      </c>
      <c r="L42" s="38" t="str">
        <f aca="false">IFERROR(AVERAGEIFS('Recovery Tracker'!$E$5:$E$369,'Daily Tracker'!$C$5:$C$369,A42),"")</f>
        <v/>
      </c>
      <c r="M42" s="60" t="n">
        <f aca="false">SUMIFS('Workout Log'!$G$5:$G$504,'Workout Log'!$L$5:$L$504,A42)</f>
        <v>0</v>
      </c>
      <c r="N42" s="36" t="str">
        <f aca="false">IF(B42="","",TEXT(B42,"mmm"))</f>
        <v>Sep</v>
      </c>
    </row>
    <row r="43" customFormat="false" ht="15" hidden="false" customHeight="false" outlineLevel="0" collapsed="false">
      <c r="A43" s="27" t="n">
        <v>39</v>
      </c>
      <c r="B43" s="57" t="n">
        <f aca="false">StartDate+(A43-1)*7</f>
        <v>46289</v>
      </c>
      <c r="C43" s="58" t="n">
        <f aca="false">SUMIFS('Daily Tracker'!$E$5:$E$369,'Daily Tracker'!$C$5:$C$369,A43)</f>
        <v>0</v>
      </c>
      <c r="D43" s="47" t="str">
        <f aca="false">IFERROR(AVERAGEIFS('Daily Tracker'!$E$5:$E$369,'Daily Tracker'!$C$5:$C$369,A43),"")</f>
        <v/>
      </c>
      <c r="E43" s="47" t="str">
        <f aca="false">IFERROR(AVERAGEIFS('Daily Tracker'!$F$5:$F$369,'Daily Tracker'!$C$5:$C$369,A43),"")</f>
        <v/>
      </c>
      <c r="F43" s="58" t="n">
        <f aca="false">COUNTIFS('Daily Tracker'!$C$5:$C$369,A43,'Daily Tracker'!$X$5:$X$369,1)</f>
        <v>0</v>
      </c>
      <c r="G43" s="58" t="n">
        <f aca="false">SUMIFS('Daily Tracker'!$M$5:$M$369,'Daily Tracker'!$C$5:$C$369,A43)</f>
        <v>0</v>
      </c>
      <c r="H43" s="58" t="n">
        <f aca="false">SUMIFS('Daily Tracker'!$K$5:$K$369,'Daily Tracker'!$C$5:$C$369,A43)</f>
        <v>0</v>
      </c>
      <c r="I43" s="47" t="n">
        <f aca="false">SUMIFS('Daily Tracker'!$I$5:$I$369,'Daily Tracker'!$C$5:$C$369,A43)</f>
        <v>0</v>
      </c>
      <c r="J43" s="47" t="str">
        <f aca="false">IFERROR(AVERAGEIFS('Daily Tracker'!$G$5:$G$369,'Daily Tracker'!$C$5:$C$369,A43),"")</f>
        <v/>
      </c>
      <c r="K43" s="47" t="str">
        <f aca="false">IF(OR(J43="",J42=""),"",J43-J42)</f>
        <v/>
      </c>
      <c r="L43" s="34" t="str">
        <f aca="false">IFERROR(AVERAGEIFS('Recovery Tracker'!$E$5:$E$369,'Daily Tracker'!$C$5:$C$369,A43),"")</f>
        <v/>
      </c>
      <c r="M43" s="58" t="n">
        <f aca="false">SUMIFS('Workout Log'!$G$5:$G$504,'Workout Log'!$L$5:$L$504,A43)</f>
        <v>0</v>
      </c>
      <c r="N43" s="27" t="str">
        <f aca="false">IF(B43="","",TEXT(B43,"mmm"))</f>
        <v>Sep</v>
      </c>
    </row>
    <row r="44" customFormat="false" ht="15" hidden="false" customHeight="false" outlineLevel="0" collapsed="false">
      <c r="A44" s="36" t="n">
        <v>40</v>
      </c>
      <c r="B44" s="59" t="n">
        <f aca="false">StartDate+(A44-1)*7</f>
        <v>46296</v>
      </c>
      <c r="C44" s="60" t="n">
        <f aca="false">SUMIFS('Daily Tracker'!$E$5:$E$369,'Daily Tracker'!$C$5:$C$369,A44)</f>
        <v>0</v>
      </c>
      <c r="D44" s="48" t="str">
        <f aca="false">IFERROR(AVERAGEIFS('Daily Tracker'!$E$5:$E$369,'Daily Tracker'!$C$5:$C$369,A44),"")</f>
        <v/>
      </c>
      <c r="E44" s="48" t="str">
        <f aca="false">IFERROR(AVERAGEIFS('Daily Tracker'!$F$5:$F$369,'Daily Tracker'!$C$5:$C$369,A44),"")</f>
        <v/>
      </c>
      <c r="F44" s="60" t="n">
        <f aca="false">COUNTIFS('Daily Tracker'!$C$5:$C$369,A44,'Daily Tracker'!$X$5:$X$369,1)</f>
        <v>0</v>
      </c>
      <c r="G44" s="60" t="n">
        <f aca="false">SUMIFS('Daily Tracker'!$M$5:$M$369,'Daily Tracker'!$C$5:$C$369,A44)</f>
        <v>0</v>
      </c>
      <c r="H44" s="60" t="n">
        <f aca="false">SUMIFS('Daily Tracker'!$K$5:$K$369,'Daily Tracker'!$C$5:$C$369,A44)</f>
        <v>0</v>
      </c>
      <c r="I44" s="48" t="n">
        <f aca="false">SUMIFS('Daily Tracker'!$I$5:$I$369,'Daily Tracker'!$C$5:$C$369,A44)</f>
        <v>0</v>
      </c>
      <c r="J44" s="48" t="str">
        <f aca="false">IFERROR(AVERAGEIFS('Daily Tracker'!$G$5:$G$369,'Daily Tracker'!$C$5:$C$369,A44),"")</f>
        <v/>
      </c>
      <c r="K44" s="48" t="str">
        <f aca="false">IF(OR(J44="",J43=""),"",J44-J43)</f>
        <v/>
      </c>
      <c r="L44" s="38" t="str">
        <f aca="false">IFERROR(AVERAGEIFS('Recovery Tracker'!$E$5:$E$369,'Daily Tracker'!$C$5:$C$369,A44),"")</f>
        <v/>
      </c>
      <c r="M44" s="60" t="n">
        <f aca="false">SUMIFS('Workout Log'!$G$5:$G$504,'Workout Log'!$L$5:$L$504,A44)</f>
        <v>0</v>
      </c>
      <c r="N44" s="36" t="str">
        <f aca="false">IF(B44="","",TEXT(B44,"mmm"))</f>
        <v>Oct</v>
      </c>
    </row>
    <row r="45" customFormat="false" ht="15" hidden="false" customHeight="false" outlineLevel="0" collapsed="false">
      <c r="A45" s="27" t="n">
        <v>41</v>
      </c>
      <c r="B45" s="57" t="n">
        <f aca="false">StartDate+(A45-1)*7</f>
        <v>46303</v>
      </c>
      <c r="C45" s="58" t="n">
        <f aca="false">SUMIFS('Daily Tracker'!$E$5:$E$369,'Daily Tracker'!$C$5:$C$369,A45)</f>
        <v>0</v>
      </c>
      <c r="D45" s="47" t="str">
        <f aca="false">IFERROR(AVERAGEIFS('Daily Tracker'!$E$5:$E$369,'Daily Tracker'!$C$5:$C$369,A45),"")</f>
        <v/>
      </c>
      <c r="E45" s="47" t="str">
        <f aca="false">IFERROR(AVERAGEIFS('Daily Tracker'!$F$5:$F$369,'Daily Tracker'!$C$5:$C$369,A45),"")</f>
        <v/>
      </c>
      <c r="F45" s="58" t="n">
        <f aca="false">COUNTIFS('Daily Tracker'!$C$5:$C$369,A45,'Daily Tracker'!$X$5:$X$369,1)</f>
        <v>0</v>
      </c>
      <c r="G45" s="58" t="n">
        <f aca="false">SUMIFS('Daily Tracker'!$M$5:$M$369,'Daily Tracker'!$C$5:$C$369,A45)</f>
        <v>0</v>
      </c>
      <c r="H45" s="58" t="n">
        <f aca="false">SUMIFS('Daily Tracker'!$K$5:$K$369,'Daily Tracker'!$C$5:$C$369,A45)</f>
        <v>0</v>
      </c>
      <c r="I45" s="47" t="n">
        <f aca="false">SUMIFS('Daily Tracker'!$I$5:$I$369,'Daily Tracker'!$C$5:$C$369,A45)</f>
        <v>0</v>
      </c>
      <c r="J45" s="47" t="str">
        <f aca="false">IFERROR(AVERAGEIFS('Daily Tracker'!$G$5:$G$369,'Daily Tracker'!$C$5:$C$369,A45),"")</f>
        <v/>
      </c>
      <c r="K45" s="47" t="str">
        <f aca="false">IF(OR(J45="",J44=""),"",J45-J44)</f>
        <v/>
      </c>
      <c r="L45" s="34" t="str">
        <f aca="false">IFERROR(AVERAGEIFS('Recovery Tracker'!$E$5:$E$369,'Daily Tracker'!$C$5:$C$369,A45),"")</f>
        <v/>
      </c>
      <c r="M45" s="58" t="n">
        <f aca="false">SUMIFS('Workout Log'!$G$5:$G$504,'Workout Log'!$L$5:$L$504,A45)</f>
        <v>0</v>
      </c>
      <c r="N45" s="27" t="str">
        <f aca="false">IF(B45="","",TEXT(B45,"mmm"))</f>
        <v>Oct</v>
      </c>
    </row>
    <row r="46" customFormat="false" ht="15" hidden="false" customHeight="false" outlineLevel="0" collapsed="false">
      <c r="A46" s="36" t="n">
        <v>42</v>
      </c>
      <c r="B46" s="59" t="n">
        <f aca="false">StartDate+(A46-1)*7</f>
        <v>46310</v>
      </c>
      <c r="C46" s="60" t="n">
        <f aca="false">SUMIFS('Daily Tracker'!$E$5:$E$369,'Daily Tracker'!$C$5:$C$369,A46)</f>
        <v>0</v>
      </c>
      <c r="D46" s="48" t="str">
        <f aca="false">IFERROR(AVERAGEIFS('Daily Tracker'!$E$5:$E$369,'Daily Tracker'!$C$5:$C$369,A46),"")</f>
        <v/>
      </c>
      <c r="E46" s="48" t="str">
        <f aca="false">IFERROR(AVERAGEIFS('Daily Tracker'!$F$5:$F$369,'Daily Tracker'!$C$5:$C$369,A46),"")</f>
        <v/>
      </c>
      <c r="F46" s="60" t="n">
        <f aca="false">COUNTIFS('Daily Tracker'!$C$5:$C$369,A46,'Daily Tracker'!$X$5:$X$369,1)</f>
        <v>0</v>
      </c>
      <c r="G46" s="60" t="n">
        <f aca="false">SUMIFS('Daily Tracker'!$M$5:$M$369,'Daily Tracker'!$C$5:$C$369,A46)</f>
        <v>0</v>
      </c>
      <c r="H46" s="60" t="n">
        <f aca="false">SUMIFS('Daily Tracker'!$K$5:$K$369,'Daily Tracker'!$C$5:$C$369,A46)</f>
        <v>0</v>
      </c>
      <c r="I46" s="48" t="n">
        <f aca="false">SUMIFS('Daily Tracker'!$I$5:$I$369,'Daily Tracker'!$C$5:$C$369,A46)</f>
        <v>0</v>
      </c>
      <c r="J46" s="48" t="str">
        <f aca="false">IFERROR(AVERAGEIFS('Daily Tracker'!$G$5:$G$369,'Daily Tracker'!$C$5:$C$369,A46),"")</f>
        <v/>
      </c>
      <c r="K46" s="48" t="str">
        <f aca="false">IF(OR(J46="",J45=""),"",J46-J45)</f>
        <v/>
      </c>
      <c r="L46" s="38" t="str">
        <f aca="false">IFERROR(AVERAGEIFS('Recovery Tracker'!$E$5:$E$369,'Daily Tracker'!$C$5:$C$369,A46),"")</f>
        <v/>
      </c>
      <c r="M46" s="60" t="n">
        <f aca="false">SUMIFS('Workout Log'!$G$5:$G$504,'Workout Log'!$L$5:$L$504,A46)</f>
        <v>0</v>
      </c>
      <c r="N46" s="36" t="str">
        <f aca="false">IF(B46="","",TEXT(B46,"mmm"))</f>
        <v>Oct</v>
      </c>
    </row>
    <row r="47" customFormat="false" ht="15" hidden="false" customHeight="false" outlineLevel="0" collapsed="false">
      <c r="A47" s="27" t="n">
        <v>43</v>
      </c>
      <c r="B47" s="57" t="n">
        <f aca="false">StartDate+(A47-1)*7</f>
        <v>46317</v>
      </c>
      <c r="C47" s="58" t="n">
        <f aca="false">SUMIFS('Daily Tracker'!$E$5:$E$369,'Daily Tracker'!$C$5:$C$369,A47)</f>
        <v>0</v>
      </c>
      <c r="D47" s="47" t="str">
        <f aca="false">IFERROR(AVERAGEIFS('Daily Tracker'!$E$5:$E$369,'Daily Tracker'!$C$5:$C$369,A47),"")</f>
        <v/>
      </c>
      <c r="E47" s="47" t="str">
        <f aca="false">IFERROR(AVERAGEIFS('Daily Tracker'!$F$5:$F$369,'Daily Tracker'!$C$5:$C$369,A47),"")</f>
        <v/>
      </c>
      <c r="F47" s="58" t="n">
        <f aca="false">COUNTIFS('Daily Tracker'!$C$5:$C$369,A47,'Daily Tracker'!$X$5:$X$369,1)</f>
        <v>0</v>
      </c>
      <c r="G47" s="58" t="n">
        <f aca="false">SUMIFS('Daily Tracker'!$M$5:$M$369,'Daily Tracker'!$C$5:$C$369,A47)</f>
        <v>0</v>
      </c>
      <c r="H47" s="58" t="n">
        <f aca="false">SUMIFS('Daily Tracker'!$K$5:$K$369,'Daily Tracker'!$C$5:$C$369,A47)</f>
        <v>0</v>
      </c>
      <c r="I47" s="47" t="n">
        <f aca="false">SUMIFS('Daily Tracker'!$I$5:$I$369,'Daily Tracker'!$C$5:$C$369,A47)</f>
        <v>0</v>
      </c>
      <c r="J47" s="47" t="str">
        <f aca="false">IFERROR(AVERAGEIFS('Daily Tracker'!$G$5:$G$369,'Daily Tracker'!$C$5:$C$369,A47),"")</f>
        <v/>
      </c>
      <c r="K47" s="47" t="str">
        <f aca="false">IF(OR(J47="",J46=""),"",J47-J46)</f>
        <v/>
      </c>
      <c r="L47" s="34" t="str">
        <f aca="false">IFERROR(AVERAGEIFS('Recovery Tracker'!$E$5:$E$369,'Daily Tracker'!$C$5:$C$369,A47),"")</f>
        <v/>
      </c>
      <c r="M47" s="58" t="n">
        <f aca="false">SUMIFS('Workout Log'!$G$5:$G$504,'Workout Log'!$L$5:$L$504,A47)</f>
        <v>0</v>
      </c>
      <c r="N47" s="27" t="str">
        <f aca="false">IF(B47="","",TEXT(B47,"mmm"))</f>
        <v>Oct</v>
      </c>
    </row>
    <row r="48" customFormat="false" ht="15" hidden="false" customHeight="false" outlineLevel="0" collapsed="false">
      <c r="A48" s="36" t="n">
        <v>44</v>
      </c>
      <c r="B48" s="59" t="n">
        <f aca="false">StartDate+(A48-1)*7</f>
        <v>46324</v>
      </c>
      <c r="C48" s="60" t="n">
        <f aca="false">SUMIFS('Daily Tracker'!$E$5:$E$369,'Daily Tracker'!$C$5:$C$369,A48)</f>
        <v>0</v>
      </c>
      <c r="D48" s="48" t="str">
        <f aca="false">IFERROR(AVERAGEIFS('Daily Tracker'!$E$5:$E$369,'Daily Tracker'!$C$5:$C$369,A48),"")</f>
        <v/>
      </c>
      <c r="E48" s="48" t="str">
        <f aca="false">IFERROR(AVERAGEIFS('Daily Tracker'!$F$5:$F$369,'Daily Tracker'!$C$5:$C$369,A48),"")</f>
        <v/>
      </c>
      <c r="F48" s="60" t="n">
        <f aca="false">COUNTIFS('Daily Tracker'!$C$5:$C$369,A48,'Daily Tracker'!$X$5:$X$369,1)</f>
        <v>0</v>
      </c>
      <c r="G48" s="60" t="n">
        <f aca="false">SUMIFS('Daily Tracker'!$M$5:$M$369,'Daily Tracker'!$C$5:$C$369,A48)</f>
        <v>0</v>
      </c>
      <c r="H48" s="60" t="n">
        <f aca="false">SUMIFS('Daily Tracker'!$K$5:$K$369,'Daily Tracker'!$C$5:$C$369,A48)</f>
        <v>0</v>
      </c>
      <c r="I48" s="48" t="n">
        <f aca="false">SUMIFS('Daily Tracker'!$I$5:$I$369,'Daily Tracker'!$C$5:$C$369,A48)</f>
        <v>0</v>
      </c>
      <c r="J48" s="48" t="str">
        <f aca="false">IFERROR(AVERAGEIFS('Daily Tracker'!$G$5:$G$369,'Daily Tracker'!$C$5:$C$369,A48),"")</f>
        <v/>
      </c>
      <c r="K48" s="48" t="str">
        <f aca="false">IF(OR(J48="",J47=""),"",J48-J47)</f>
        <v/>
      </c>
      <c r="L48" s="38" t="str">
        <f aca="false">IFERROR(AVERAGEIFS('Recovery Tracker'!$E$5:$E$369,'Daily Tracker'!$C$5:$C$369,A48),"")</f>
        <v/>
      </c>
      <c r="M48" s="60" t="n">
        <f aca="false">SUMIFS('Workout Log'!$G$5:$G$504,'Workout Log'!$L$5:$L$504,A48)</f>
        <v>0</v>
      </c>
      <c r="N48" s="36" t="str">
        <f aca="false">IF(B48="","",TEXT(B48,"mmm"))</f>
        <v>Oct</v>
      </c>
    </row>
    <row r="49" customFormat="false" ht="15" hidden="false" customHeight="false" outlineLevel="0" collapsed="false">
      <c r="A49" s="27" t="n">
        <v>45</v>
      </c>
      <c r="B49" s="57" t="n">
        <f aca="false">StartDate+(A49-1)*7</f>
        <v>46331</v>
      </c>
      <c r="C49" s="58" t="n">
        <f aca="false">SUMIFS('Daily Tracker'!$E$5:$E$369,'Daily Tracker'!$C$5:$C$369,A49)</f>
        <v>0</v>
      </c>
      <c r="D49" s="47" t="str">
        <f aca="false">IFERROR(AVERAGEIFS('Daily Tracker'!$E$5:$E$369,'Daily Tracker'!$C$5:$C$369,A49),"")</f>
        <v/>
      </c>
      <c r="E49" s="47" t="str">
        <f aca="false">IFERROR(AVERAGEIFS('Daily Tracker'!$F$5:$F$369,'Daily Tracker'!$C$5:$C$369,A49),"")</f>
        <v/>
      </c>
      <c r="F49" s="58" t="n">
        <f aca="false">COUNTIFS('Daily Tracker'!$C$5:$C$369,A49,'Daily Tracker'!$X$5:$X$369,1)</f>
        <v>0</v>
      </c>
      <c r="G49" s="58" t="n">
        <f aca="false">SUMIFS('Daily Tracker'!$M$5:$M$369,'Daily Tracker'!$C$5:$C$369,A49)</f>
        <v>0</v>
      </c>
      <c r="H49" s="58" t="n">
        <f aca="false">SUMIFS('Daily Tracker'!$K$5:$K$369,'Daily Tracker'!$C$5:$C$369,A49)</f>
        <v>0</v>
      </c>
      <c r="I49" s="47" t="n">
        <f aca="false">SUMIFS('Daily Tracker'!$I$5:$I$369,'Daily Tracker'!$C$5:$C$369,A49)</f>
        <v>0</v>
      </c>
      <c r="J49" s="47" t="str">
        <f aca="false">IFERROR(AVERAGEIFS('Daily Tracker'!$G$5:$G$369,'Daily Tracker'!$C$5:$C$369,A49),"")</f>
        <v/>
      </c>
      <c r="K49" s="47" t="str">
        <f aca="false">IF(OR(J49="",J48=""),"",J49-J48)</f>
        <v/>
      </c>
      <c r="L49" s="34" t="str">
        <f aca="false">IFERROR(AVERAGEIFS('Recovery Tracker'!$E$5:$E$369,'Daily Tracker'!$C$5:$C$369,A49),"")</f>
        <v/>
      </c>
      <c r="M49" s="58" t="n">
        <f aca="false">SUMIFS('Workout Log'!$G$5:$G$504,'Workout Log'!$L$5:$L$504,A49)</f>
        <v>0</v>
      </c>
      <c r="N49" s="27" t="str">
        <f aca="false">IF(B49="","",TEXT(B49,"mmm"))</f>
        <v>Nov</v>
      </c>
    </row>
    <row r="50" customFormat="false" ht="15" hidden="false" customHeight="false" outlineLevel="0" collapsed="false">
      <c r="A50" s="36" t="n">
        <v>46</v>
      </c>
      <c r="B50" s="59" t="n">
        <f aca="false">StartDate+(A50-1)*7</f>
        <v>46338</v>
      </c>
      <c r="C50" s="60" t="n">
        <f aca="false">SUMIFS('Daily Tracker'!$E$5:$E$369,'Daily Tracker'!$C$5:$C$369,A50)</f>
        <v>0</v>
      </c>
      <c r="D50" s="48" t="str">
        <f aca="false">IFERROR(AVERAGEIFS('Daily Tracker'!$E$5:$E$369,'Daily Tracker'!$C$5:$C$369,A50),"")</f>
        <v/>
      </c>
      <c r="E50" s="48" t="str">
        <f aca="false">IFERROR(AVERAGEIFS('Daily Tracker'!$F$5:$F$369,'Daily Tracker'!$C$5:$C$369,A50),"")</f>
        <v/>
      </c>
      <c r="F50" s="60" t="n">
        <f aca="false">COUNTIFS('Daily Tracker'!$C$5:$C$369,A50,'Daily Tracker'!$X$5:$X$369,1)</f>
        <v>0</v>
      </c>
      <c r="G50" s="60" t="n">
        <f aca="false">SUMIFS('Daily Tracker'!$M$5:$M$369,'Daily Tracker'!$C$5:$C$369,A50)</f>
        <v>0</v>
      </c>
      <c r="H50" s="60" t="n">
        <f aca="false">SUMIFS('Daily Tracker'!$K$5:$K$369,'Daily Tracker'!$C$5:$C$369,A50)</f>
        <v>0</v>
      </c>
      <c r="I50" s="48" t="n">
        <f aca="false">SUMIFS('Daily Tracker'!$I$5:$I$369,'Daily Tracker'!$C$5:$C$369,A50)</f>
        <v>0</v>
      </c>
      <c r="J50" s="48" t="str">
        <f aca="false">IFERROR(AVERAGEIFS('Daily Tracker'!$G$5:$G$369,'Daily Tracker'!$C$5:$C$369,A50),"")</f>
        <v/>
      </c>
      <c r="K50" s="48" t="str">
        <f aca="false">IF(OR(J50="",J49=""),"",J50-J49)</f>
        <v/>
      </c>
      <c r="L50" s="38" t="str">
        <f aca="false">IFERROR(AVERAGEIFS('Recovery Tracker'!$E$5:$E$369,'Daily Tracker'!$C$5:$C$369,A50),"")</f>
        <v/>
      </c>
      <c r="M50" s="60" t="n">
        <f aca="false">SUMIFS('Workout Log'!$G$5:$G$504,'Workout Log'!$L$5:$L$504,A50)</f>
        <v>0</v>
      </c>
      <c r="N50" s="36" t="str">
        <f aca="false">IF(B50="","",TEXT(B50,"mmm"))</f>
        <v>Nov</v>
      </c>
    </row>
    <row r="51" customFormat="false" ht="15" hidden="false" customHeight="false" outlineLevel="0" collapsed="false">
      <c r="A51" s="27" t="n">
        <v>47</v>
      </c>
      <c r="B51" s="57" t="n">
        <f aca="false">StartDate+(A51-1)*7</f>
        <v>46345</v>
      </c>
      <c r="C51" s="58" t="n">
        <f aca="false">SUMIFS('Daily Tracker'!$E$5:$E$369,'Daily Tracker'!$C$5:$C$369,A51)</f>
        <v>0</v>
      </c>
      <c r="D51" s="47" t="str">
        <f aca="false">IFERROR(AVERAGEIFS('Daily Tracker'!$E$5:$E$369,'Daily Tracker'!$C$5:$C$369,A51),"")</f>
        <v/>
      </c>
      <c r="E51" s="47" t="str">
        <f aca="false">IFERROR(AVERAGEIFS('Daily Tracker'!$F$5:$F$369,'Daily Tracker'!$C$5:$C$369,A51),"")</f>
        <v/>
      </c>
      <c r="F51" s="58" t="n">
        <f aca="false">COUNTIFS('Daily Tracker'!$C$5:$C$369,A51,'Daily Tracker'!$X$5:$X$369,1)</f>
        <v>0</v>
      </c>
      <c r="G51" s="58" t="n">
        <f aca="false">SUMIFS('Daily Tracker'!$M$5:$M$369,'Daily Tracker'!$C$5:$C$369,A51)</f>
        <v>0</v>
      </c>
      <c r="H51" s="58" t="n">
        <f aca="false">SUMIFS('Daily Tracker'!$K$5:$K$369,'Daily Tracker'!$C$5:$C$369,A51)</f>
        <v>0</v>
      </c>
      <c r="I51" s="47" t="n">
        <f aca="false">SUMIFS('Daily Tracker'!$I$5:$I$369,'Daily Tracker'!$C$5:$C$369,A51)</f>
        <v>0</v>
      </c>
      <c r="J51" s="47" t="str">
        <f aca="false">IFERROR(AVERAGEIFS('Daily Tracker'!$G$5:$G$369,'Daily Tracker'!$C$5:$C$369,A51),"")</f>
        <v/>
      </c>
      <c r="K51" s="47" t="str">
        <f aca="false">IF(OR(J51="",J50=""),"",J51-J50)</f>
        <v/>
      </c>
      <c r="L51" s="34" t="str">
        <f aca="false">IFERROR(AVERAGEIFS('Recovery Tracker'!$E$5:$E$369,'Daily Tracker'!$C$5:$C$369,A51),"")</f>
        <v/>
      </c>
      <c r="M51" s="58" t="n">
        <f aca="false">SUMIFS('Workout Log'!$G$5:$G$504,'Workout Log'!$L$5:$L$504,A51)</f>
        <v>0</v>
      </c>
      <c r="N51" s="27" t="str">
        <f aca="false">IF(B51="","",TEXT(B51,"mmm"))</f>
        <v>Nov</v>
      </c>
    </row>
    <row r="52" customFormat="false" ht="15" hidden="false" customHeight="false" outlineLevel="0" collapsed="false">
      <c r="A52" s="36" t="n">
        <v>48</v>
      </c>
      <c r="B52" s="59" t="n">
        <f aca="false">StartDate+(A52-1)*7</f>
        <v>46352</v>
      </c>
      <c r="C52" s="60" t="n">
        <f aca="false">SUMIFS('Daily Tracker'!$E$5:$E$369,'Daily Tracker'!$C$5:$C$369,A52)</f>
        <v>0</v>
      </c>
      <c r="D52" s="48" t="str">
        <f aca="false">IFERROR(AVERAGEIFS('Daily Tracker'!$E$5:$E$369,'Daily Tracker'!$C$5:$C$369,A52),"")</f>
        <v/>
      </c>
      <c r="E52" s="48" t="str">
        <f aca="false">IFERROR(AVERAGEIFS('Daily Tracker'!$F$5:$F$369,'Daily Tracker'!$C$5:$C$369,A52),"")</f>
        <v/>
      </c>
      <c r="F52" s="60" t="n">
        <f aca="false">COUNTIFS('Daily Tracker'!$C$5:$C$369,A52,'Daily Tracker'!$X$5:$X$369,1)</f>
        <v>0</v>
      </c>
      <c r="G52" s="60" t="n">
        <f aca="false">SUMIFS('Daily Tracker'!$M$5:$M$369,'Daily Tracker'!$C$5:$C$369,A52)</f>
        <v>0</v>
      </c>
      <c r="H52" s="60" t="n">
        <f aca="false">SUMIFS('Daily Tracker'!$K$5:$K$369,'Daily Tracker'!$C$5:$C$369,A52)</f>
        <v>0</v>
      </c>
      <c r="I52" s="48" t="n">
        <f aca="false">SUMIFS('Daily Tracker'!$I$5:$I$369,'Daily Tracker'!$C$5:$C$369,A52)</f>
        <v>0</v>
      </c>
      <c r="J52" s="48" t="str">
        <f aca="false">IFERROR(AVERAGEIFS('Daily Tracker'!$G$5:$G$369,'Daily Tracker'!$C$5:$C$369,A52),"")</f>
        <v/>
      </c>
      <c r="K52" s="48" t="str">
        <f aca="false">IF(OR(J52="",J51=""),"",J52-J51)</f>
        <v/>
      </c>
      <c r="L52" s="38" t="str">
        <f aca="false">IFERROR(AVERAGEIFS('Recovery Tracker'!$E$5:$E$369,'Daily Tracker'!$C$5:$C$369,A52),"")</f>
        <v/>
      </c>
      <c r="M52" s="60" t="n">
        <f aca="false">SUMIFS('Workout Log'!$G$5:$G$504,'Workout Log'!$L$5:$L$504,A52)</f>
        <v>0</v>
      </c>
      <c r="N52" s="36" t="str">
        <f aca="false">IF(B52="","",TEXT(B52,"mmm"))</f>
        <v>Nov</v>
      </c>
    </row>
    <row r="53" customFormat="false" ht="15" hidden="false" customHeight="false" outlineLevel="0" collapsed="false">
      <c r="A53" s="27" t="n">
        <v>49</v>
      </c>
      <c r="B53" s="57" t="n">
        <f aca="false">StartDate+(A53-1)*7</f>
        <v>46359</v>
      </c>
      <c r="C53" s="58" t="n">
        <f aca="false">SUMIFS('Daily Tracker'!$E$5:$E$369,'Daily Tracker'!$C$5:$C$369,A53)</f>
        <v>0</v>
      </c>
      <c r="D53" s="47" t="str">
        <f aca="false">IFERROR(AVERAGEIFS('Daily Tracker'!$E$5:$E$369,'Daily Tracker'!$C$5:$C$369,A53),"")</f>
        <v/>
      </c>
      <c r="E53" s="47" t="str">
        <f aca="false">IFERROR(AVERAGEIFS('Daily Tracker'!$F$5:$F$369,'Daily Tracker'!$C$5:$C$369,A53),"")</f>
        <v/>
      </c>
      <c r="F53" s="58" t="n">
        <f aca="false">COUNTIFS('Daily Tracker'!$C$5:$C$369,A53,'Daily Tracker'!$X$5:$X$369,1)</f>
        <v>0</v>
      </c>
      <c r="G53" s="58" t="n">
        <f aca="false">SUMIFS('Daily Tracker'!$M$5:$M$369,'Daily Tracker'!$C$5:$C$369,A53)</f>
        <v>0</v>
      </c>
      <c r="H53" s="58" t="n">
        <f aca="false">SUMIFS('Daily Tracker'!$K$5:$K$369,'Daily Tracker'!$C$5:$C$369,A53)</f>
        <v>0</v>
      </c>
      <c r="I53" s="47" t="n">
        <f aca="false">SUMIFS('Daily Tracker'!$I$5:$I$369,'Daily Tracker'!$C$5:$C$369,A53)</f>
        <v>0</v>
      </c>
      <c r="J53" s="47" t="str">
        <f aca="false">IFERROR(AVERAGEIFS('Daily Tracker'!$G$5:$G$369,'Daily Tracker'!$C$5:$C$369,A53),"")</f>
        <v/>
      </c>
      <c r="K53" s="47" t="str">
        <f aca="false">IF(OR(J53="",J52=""),"",J53-J52)</f>
        <v/>
      </c>
      <c r="L53" s="34" t="str">
        <f aca="false">IFERROR(AVERAGEIFS('Recovery Tracker'!$E$5:$E$369,'Daily Tracker'!$C$5:$C$369,A53),"")</f>
        <v/>
      </c>
      <c r="M53" s="58" t="n">
        <f aca="false">SUMIFS('Workout Log'!$G$5:$G$504,'Workout Log'!$L$5:$L$504,A53)</f>
        <v>0</v>
      </c>
      <c r="N53" s="27" t="str">
        <f aca="false">IF(B53="","",TEXT(B53,"mmm"))</f>
        <v>Dec</v>
      </c>
    </row>
    <row r="54" customFormat="false" ht="15" hidden="false" customHeight="false" outlineLevel="0" collapsed="false">
      <c r="A54" s="36" t="n">
        <v>50</v>
      </c>
      <c r="B54" s="59" t="n">
        <f aca="false">StartDate+(A54-1)*7</f>
        <v>46366</v>
      </c>
      <c r="C54" s="60" t="n">
        <f aca="false">SUMIFS('Daily Tracker'!$E$5:$E$369,'Daily Tracker'!$C$5:$C$369,A54)</f>
        <v>0</v>
      </c>
      <c r="D54" s="48" t="str">
        <f aca="false">IFERROR(AVERAGEIFS('Daily Tracker'!$E$5:$E$369,'Daily Tracker'!$C$5:$C$369,A54),"")</f>
        <v/>
      </c>
      <c r="E54" s="48" t="str">
        <f aca="false">IFERROR(AVERAGEIFS('Daily Tracker'!$F$5:$F$369,'Daily Tracker'!$C$5:$C$369,A54),"")</f>
        <v/>
      </c>
      <c r="F54" s="60" t="n">
        <f aca="false">COUNTIFS('Daily Tracker'!$C$5:$C$369,A54,'Daily Tracker'!$X$5:$X$369,1)</f>
        <v>0</v>
      </c>
      <c r="G54" s="60" t="n">
        <f aca="false">SUMIFS('Daily Tracker'!$M$5:$M$369,'Daily Tracker'!$C$5:$C$369,A54)</f>
        <v>0</v>
      </c>
      <c r="H54" s="60" t="n">
        <f aca="false">SUMIFS('Daily Tracker'!$K$5:$K$369,'Daily Tracker'!$C$5:$C$369,A54)</f>
        <v>0</v>
      </c>
      <c r="I54" s="48" t="n">
        <f aca="false">SUMIFS('Daily Tracker'!$I$5:$I$369,'Daily Tracker'!$C$5:$C$369,A54)</f>
        <v>0</v>
      </c>
      <c r="J54" s="48" t="str">
        <f aca="false">IFERROR(AVERAGEIFS('Daily Tracker'!$G$5:$G$369,'Daily Tracker'!$C$5:$C$369,A54),"")</f>
        <v/>
      </c>
      <c r="K54" s="48" t="str">
        <f aca="false">IF(OR(J54="",J53=""),"",J54-J53)</f>
        <v/>
      </c>
      <c r="L54" s="38" t="str">
        <f aca="false">IFERROR(AVERAGEIFS('Recovery Tracker'!$E$5:$E$369,'Daily Tracker'!$C$5:$C$369,A54),"")</f>
        <v/>
      </c>
      <c r="M54" s="60" t="n">
        <f aca="false">SUMIFS('Workout Log'!$G$5:$G$504,'Workout Log'!$L$5:$L$504,A54)</f>
        <v>0</v>
      </c>
      <c r="N54" s="36" t="str">
        <f aca="false">IF(B54="","",TEXT(B54,"mmm"))</f>
        <v>Dec</v>
      </c>
    </row>
    <row r="55" customFormat="false" ht="15" hidden="false" customHeight="false" outlineLevel="0" collapsed="false">
      <c r="A55" s="27" t="n">
        <v>51</v>
      </c>
      <c r="B55" s="57" t="n">
        <f aca="false">StartDate+(A55-1)*7</f>
        <v>46373</v>
      </c>
      <c r="C55" s="58" t="n">
        <f aca="false">SUMIFS('Daily Tracker'!$E$5:$E$369,'Daily Tracker'!$C$5:$C$369,A55)</f>
        <v>0</v>
      </c>
      <c r="D55" s="47" t="str">
        <f aca="false">IFERROR(AVERAGEIFS('Daily Tracker'!$E$5:$E$369,'Daily Tracker'!$C$5:$C$369,A55),"")</f>
        <v/>
      </c>
      <c r="E55" s="47" t="str">
        <f aca="false">IFERROR(AVERAGEIFS('Daily Tracker'!$F$5:$F$369,'Daily Tracker'!$C$5:$C$369,A55),"")</f>
        <v/>
      </c>
      <c r="F55" s="58" t="n">
        <f aca="false">COUNTIFS('Daily Tracker'!$C$5:$C$369,A55,'Daily Tracker'!$X$5:$X$369,1)</f>
        <v>0</v>
      </c>
      <c r="G55" s="58" t="n">
        <f aca="false">SUMIFS('Daily Tracker'!$M$5:$M$369,'Daily Tracker'!$C$5:$C$369,A55)</f>
        <v>0</v>
      </c>
      <c r="H55" s="58" t="n">
        <f aca="false">SUMIFS('Daily Tracker'!$K$5:$K$369,'Daily Tracker'!$C$5:$C$369,A55)</f>
        <v>0</v>
      </c>
      <c r="I55" s="47" t="n">
        <f aca="false">SUMIFS('Daily Tracker'!$I$5:$I$369,'Daily Tracker'!$C$5:$C$369,A55)</f>
        <v>0</v>
      </c>
      <c r="J55" s="47" t="str">
        <f aca="false">IFERROR(AVERAGEIFS('Daily Tracker'!$G$5:$G$369,'Daily Tracker'!$C$5:$C$369,A55),"")</f>
        <v/>
      </c>
      <c r="K55" s="47" t="str">
        <f aca="false">IF(OR(J55="",J54=""),"",J55-J54)</f>
        <v/>
      </c>
      <c r="L55" s="34" t="str">
        <f aca="false">IFERROR(AVERAGEIFS('Recovery Tracker'!$E$5:$E$369,'Daily Tracker'!$C$5:$C$369,A55),"")</f>
        <v/>
      </c>
      <c r="M55" s="58" t="n">
        <f aca="false">SUMIFS('Workout Log'!$G$5:$G$504,'Workout Log'!$L$5:$L$504,A55)</f>
        <v>0</v>
      </c>
      <c r="N55" s="27" t="str">
        <f aca="false">IF(B55="","",TEXT(B55,"mmm"))</f>
        <v>Dec</v>
      </c>
    </row>
    <row r="56" customFormat="false" ht="15" hidden="false" customHeight="false" outlineLevel="0" collapsed="false">
      <c r="A56" s="36" t="n">
        <v>52</v>
      </c>
      <c r="B56" s="59" t="n">
        <f aca="false">StartDate+(A56-1)*7</f>
        <v>46380</v>
      </c>
      <c r="C56" s="60" t="n">
        <f aca="false">SUMIFS('Daily Tracker'!$E$5:$E$369,'Daily Tracker'!$C$5:$C$369,A56)</f>
        <v>0</v>
      </c>
      <c r="D56" s="48" t="str">
        <f aca="false">IFERROR(AVERAGEIFS('Daily Tracker'!$E$5:$E$369,'Daily Tracker'!$C$5:$C$369,A56),"")</f>
        <v/>
      </c>
      <c r="E56" s="48" t="str">
        <f aca="false">IFERROR(AVERAGEIFS('Daily Tracker'!$F$5:$F$369,'Daily Tracker'!$C$5:$C$369,A56),"")</f>
        <v/>
      </c>
      <c r="F56" s="60" t="n">
        <f aca="false">COUNTIFS('Daily Tracker'!$C$5:$C$369,A56,'Daily Tracker'!$X$5:$X$369,1)</f>
        <v>0</v>
      </c>
      <c r="G56" s="60" t="n">
        <f aca="false">SUMIFS('Daily Tracker'!$M$5:$M$369,'Daily Tracker'!$C$5:$C$369,A56)</f>
        <v>0</v>
      </c>
      <c r="H56" s="60" t="n">
        <f aca="false">SUMIFS('Daily Tracker'!$K$5:$K$369,'Daily Tracker'!$C$5:$C$369,A56)</f>
        <v>0</v>
      </c>
      <c r="I56" s="48" t="n">
        <f aca="false">SUMIFS('Daily Tracker'!$I$5:$I$369,'Daily Tracker'!$C$5:$C$369,A56)</f>
        <v>0</v>
      </c>
      <c r="J56" s="48" t="str">
        <f aca="false">IFERROR(AVERAGEIFS('Daily Tracker'!$G$5:$G$369,'Daily Tracker'!$C$5:$C$369,A56),"")</f>
        <v/>
      </c>
      <c r="K56" s="48" t="str">
        <f aca="false">IF(OR(J56="",J55=""),"",J56-J55)</f>
        <v/>
      </c>
      <c r="L56" s="38" t="str">
        <f aca="false">IFERROR(AVERAGEIFS('Recovery Tracker'!$E$5:$E$369,'Daily Tracker'!$C$5:$C$369,A56),"")</f>
        <v/>
      </c>
      <c r="M56" s="60" t="n">
        <f aca="false">SUMIFS('Workout Log'!$G$5:$G$504,'Workout Log'!$L$5:$L$504,A56)</f>
        <v>0</v>
      </c>
      <c r="N56" s="36" t="str">
        <f aca="false">IF(B56="","",TEXT(B56,"mmm"))</f>
        <v>Dec</v>
      </c>
    </row>
    <row r="57" customFormat="false" ht="15" hidden="false" customHeight="false" outlineLevel="0" collapsed="false">
      <c r="A57" s="27" t="n">
        <v>53</v>
      </c>
      <c r="B57" s="57" t="n">
        <f aca="false">StartDate+(A57-1)*7</f>
        <v>46387</v>
      </c>
      <c r="C57" s="58" t="n">
        <f aca="false">SUMIFS('Daily Tracker'!$E$5:$E$369,'Daily Tracker'!$C$5:$C$369,A57)</f>
        <v>0</v>
      </c>
      <c r="D57" s="47" t="str">
        <f aca="false">IFERROR(AVERAGEIFS('Daily Tracker'!$E$5:$E$369,'Daily Tracker'!$C$5:$C$369,A57),"")</f>
        <v/>
      </c>
      <c r="E57" s="47" t="str">
        <f aca="false">IFERROR(AVERAGEIFS('Daily Tracker'!$F$5:$F$369,'Daily Tracker'!$C$5:$C$369,A57),"")</f>
        <v/>
      </c>
      <c r="F57" s="58" t="n">
        <f aca="false">COUNTIFS('Daily Tracker'!$C$5:$C$369,A57,'Daily Tracker'!$X$5:$X$369,1)</f>
        <v>0</v>
      </c>
      <c r="G57" s="58" t="n">
        <f aca="false">SUMIFS('Daily Tracker'!$M$5:$M$369,'Daily Tracker'!$C$5:$C$369,A57)</f>
        <v>0</v>
      </c>
      <c r="H57" s="58" t="n">
        <f aca="false">SUMIFS('Daily Tracker'!$K$5:$K$369,'Daily Tracker'!$C$5:$C$369,A57)</f>
        <v>0</v>
      </c>
      <c r="I57" s="47" t="n">
        <f aca="false">SUMIFS('Daily Tracker'!$I$5:$I$369,'Daily Tracker'!$C$5:$C$369,A57)</f>
        <v>0</v>
      </c>
      <c r="J57" s="47" t="str">
        <f aca="false">IFERROR(AVERAGEIFS('Daily Tracker'!$G$5:$G$369,'Daily Tracker'!$C$5:$C$369,A57),"")</f>
        <v/>
      </c>
      <c r="K57" s="47" t="str">
        <f aca="false">IF(OR(J57="",J56=""),"",J57-J56)</f>
        <v/>
      </c>
      <c r="L57" s="34" t="str">
        <f aca="false">IFERROR(AVERAGEIFS('Recovery Tracker'!$E$5:$E$369,'Daily Tracker'!$C$5:$C$369,A57),"")</f>
        <v/>
      </c>
      <c r="M57" s="58" t="n">
        <f aca="false">SUMIFS('Workout Log'!$G$5:$G$504,'Workout Log'!$L$5:$L$504,A57)</f>
        <v>0</v>
      </c>
      <c r="N57" s="27" t="str">
        <f aca="false">IF(B57="","",TEXT(B57,"mmm"))</f>
        <v>Dec</v>
      </c>
    </row>
  </sheetData>
  <mergeCells count="2">
    <mergeCell ref="A1:M1"/>
    <mergeCell ref="A2:M2"/>
  </mergeCells>
  <conditionalFormatting sqref="L5:L57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3" right="0.3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&amp;N&amp;R&amp;F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true"/>
  </sheetPr>
  <dimension ref="A1:Q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2" min="10" style="0" width="12"/>
    <col collapsed="false" customWidth="true" hidden="false" outlineLevel="0" max="13" min="13" style="0" width="11"/>
    <col collapsed="false" customWidth="true" hidden="false" outlineLevel="0" max="14" min="14" style="0" width="12"/>
  </cols>
  <sheetData>
    <row r="1" customFormat="false" ht="39.75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21.75" hidden="false" customHeight="true" outlineLevel="0" collapsed="false">
      <c r="A4" s="24" t="s">
        <v>40</v>
      </c>
      <c r="B4" s="24" t="s">
        <v>146</v>
      </c>
      <c r="C4" s="24" t="s">
        <v>159</v>
      </c>
      <c r="D4" s="24" t="s">
        <v>148</v>
      </c>
      <c r="E4" s="24" t="s">
        <v>160</v>
      </c>
      <c r="F4" s="24" t="s">
        <v>161</v>
      </c>
      <c r="G4" s="24" t="s">
        <v>151</v>
      </c>
      <c r="H4" s="24" t="s">
        <v>152</v>
      </c>
      <c r="I4" s="24" t="s">
        <v>153</v>
      </c>
      <c r="J4" s="24" t="s">
        <v>154</v>
      </c>
      <c r="K4" s="24" t="s">
        <v>162</v>
      </c>
      <c r="L4" s="24" t="s">
        <v>163</v>
      </c>
      <c r="M4" s="24" t="s">
        <v>164</v>
      </c>
      <c r="N4" s="24" t="s">
        <v>165</v>
      </c>
      <c r="P4" s="61" t="s">
        <v>166</v>
      </c>
      <c r="Q4" s="61"/>
    </row>
    <row r="5" customFormat="false" ht="15" hidden="false" customHeight="false" outlineLevel="0" collapsed="false">
      <c r="A5" s="27" t="s">
        <v>167</v>
      </c>
      <c r="B5" s="58" t="n">
        <f aca="false">SUMIFS('Daily Tracker'!$E$5:$E$369,'Daily Tracker'!$D$5:$D$369,A5)</f>
        <v>11500</v>
      </c>
      <c r="C5" s="47" t="n">
        <f aca="false">IFERROR(AVERAGEIFS('Daily Tracker'!$E$5:$E$369,'Daily Tracker'!$D$5:$D$369,A5),"")</f>
        <v>11500</v>
      </c>
      <c r="D5" s="47" t="n">
        <f aca="false">IFERROR(AVERAGEIFS('Daily Tracker'!$F$5:$F$369,'Daily Tracker'!$D$5:$D$369,A5),"")</f>
        <v>7.5</v>
      </c>
      <c r="E5" s="58" t="n">
        <f aca="false">COUNTIFS('Daily Tracker'!$D$5:$D$369,A5,'Daily Tracker'!$X$5:$X$369,1)</f>
        <v>1</v>
      </c>
      <c r="F5" s="58" t="n">
        <f aca="false">SUMIFS('Daily Tracker'!$M$5:$M$369,'Daily Tracker'!$D$5:$D$369,A5)/60</f>
        <v>1.25</v>
      </c>
      <c r="G5" s="58" t="n">
        <f aca="false">SUMIFS('Daily Tracker'!$K$5:$K$369,'Daily Tracker'!$D$5:$D$369,A5)</f>
        <v>3100</v>
      </c>
      <c r="H5" s="58" t="n">
        <f aca="false">SUMIFS('Daily Tracker'!$I$5:$I$369,'Daily Tracker'!$D$5:$D$369,A5)</f>
        <v>4.2</v>
      </c>
      <c r="I5" s="47" t="n">
        <f aca="false">IFERROR(AVERAGEIFS('Daily Tracker'!$G$5:$G$369,'Daily Tracker'!$D$5:$D$369,A5),"")</f>
        <v>76</v>
      </c>
      <c r="J5" s="47"/>
      <c r="K5" s="58" t="n">
        <f aca="false">IFERROR(_xlfn.MAXIFS('Weekly Dashboard'!$M$5:$M$57,'Weekly Dashboard'!$N$5:$N$57,A5),0)</f>
        <v>6880</v>
      </c>
      <c r="L5" s="58" t="n">
        <f aca="false">IFERROR(_xlfn.MAXIFS('Daily Tracker'!$Y$5:$Y$369,'Daily Tracker'!$D$5:$D$369,A5),0)</f>
        <v>1</v>
      </c>
      <c r="M5" s="34" t="n">
        <f aca="false">IFERROR(AVERAGEIFS('Recovery Tracker'!$E$5:$E$369,'Daily Tracker'!$D$5:$D$369,A5),"")</f>
        <v>84</v>
      </c>
      <c r="N5" s="33" t="n">
        <f aca="false">IFERROR(E5/(SessionsGoal/7*DAY(EOMONTH(DATE(YEAR(StartDate),1,1),0))),0)</f>
        <v>0.0451612903225807</v>
      </c>
      <c r="P5" s="39" t="s">
        <v>67</v>
      </c>
      <c r="Q5" s="62" t="n">
        <f aca="false">COUNTIF('Daily Tracker'!$L$5:$L$369,"Powerlifting")</f>
        <v>1</v>
      </c>
    </row>
    <row r="6" customFormat="false" ht="15" hidden="false" customHeight="false" outlineLevel="0" collapsed="false">
      <c r="A6" s="36" t="s">
        <v>168</v>
      </c>
      <c r="B6" s="60" t="n">
        <f aca="false">SUMIFS('Daily Tracker'!$E$5:$E$369,'Daily Tracker'!$D$5:$D$369,A6)</f>
        <v>0</v>
      </c>
      <c r="C6" s="48" t="str">
        <f aca="false">IFERROR(AVERAGEIFS('Daily Tracker'!$E$5:$E$369,'Daily Tracker'!$D$5:$D$369,A6),"")</f>
        <v/>
      </c>
      <c r="D6" s="48" t="str">
        <f aca="false">IFERROR(AVERAGEIFS('Daily Tracker'!$F$5:$F$369,'Daily Tracker'!$D$5:$D$369,A6),"")</f>
        <v/>
      </c>
      <c r="E6" s="60" t="n">
        <f aca="false">COUNTIFS('Daily Tracker'!$D$5:$D$369,A6,'Daily Tracker'!$X$5:$X$369,1)</f>
        <v>0</v>
      </c>
      <c r="F6" s="60" t="n">
        <f aca="false">SUMIFS('Daily Tracker'!$M$5:$M$369,'Daily Tracker'!$D$5:$D$369,A6)/60</f>
        <v>0</v>
      </c>
      <c r="G6" s="60" t="n">
        <f aca="false">SUMIFS('Daily Tracker'!$K$5:$K$369,'Daily Tracker'!$D$5:$D$369,A6)</f>
        <v>0</v>
      </c>
      <c r="H6" s="60" t="n">
        <f aca="false">SUMIFS('Daily Tracker'!$I$5:$I$369,'Daily Tracker'!$D$5:$D$369,A6)</f>
        <v>0</v>
      </c>
      <c r="I6" s="48" t="str">
        <f aca="false">IFERROR(AVERAGEIFS('Daily Tracker'!$G$5:$G$369,'Daily Tracker'!$D$5:$D$369,A6),"")</f>
        <v/>
      </c>
      <c r="J6" s="48" t="str">
        <f aca="false">IF(OR(I6="",I5=""),"",I6-I5)</f>
        <v/>
      </c>
      <c r="K6" s="60" t="n">
        <f aca="false">IFERROR(_xlfn.MAXIFS('Weekly Dashboard'!$M$5:$M$57,'Weekly Dashboard'!$N$5:$N$57,A6),0)</f>
        <v>0</v>
      </c>
      <c r="L6" s="60" t="n">
        <f aca="false">IFERROR(_xlfn.MAXIFS('Daily Tracker'!$Y$5:$Y$369,'Daily Tracker'!$D$5:$D$369,A6),0)</f>
        <v>0</v>
      </c>
      <c r="M6" s="38" t="str">
        <f aca="false">IFERROR(AVERAGEIFS('Recovery Tracker'!$E$5:$E$369,'Daily Tracker'!$D$5:$D$369,A6),"")</f>
        <v/>
      </c>
      <c r="N6" s="37" t="n">
        <f aca="false">IFERROR(E6/(SessionsGoal/7*DAY(EOMONTH(DATE(YEAR(StartDate),2,1),0))),0)</f>
        <v>0</v>
      </c>
      <c r="P6" s="41" t="s">
        <v>169</v>
      </c>
      <c r="Q6" s="63" t="n">
        <f aca="false">COUNTIF('Daily Tracker'!$L$5:$L$369,"CrossFit")</f>
        <v>0</v>
      </c>
    </row>
    <row r="7" customFormat="false" ht="15" hidden="false" customHeight="false" outlineLevel="0" collapsed="false">
      <c r="A7" s="27" t="s">
        <v>170</v>
      </c>
      <c r="B7" s="58" t="n">
        <f aca="false">SUMIFS('Daily Tracker'!$E$5:$E$369,'Daily Tracker'!$D$5:$D$369,A7)</f>
        <v>0</v>
      </c>
      <c r="C7" s="47" t="str">
        <f aca="false">IFERROR(AVERAGEIFS('Daily Tracker'!$E$5:$E$369,'Daily Tracker'!$D$5:$D$369,A7),"")</f>
        <v/>
      </c>
      <c r="D7" s="47" t="str">
        <f aca="false">IFERROR(AVERAGEIFS('Daily Tracker'!$F$5:$F$369,'Daily Tracker'!$D$5:$D$369,A7),"")</f>
        <v/>
      </c>
      <c r="E7" s="58" t="n">
        <f aca="false">COUNTIFS('Daily Tracker'!$D$5:$D$369,A7,'Daily Tracker'!$X$5:$X$369,1)</f>
        <v>0</v>
      </c>
      <c r="F7" s="58" t="n">
        <f aca="false">SUMIFS('Daily Tracker'!$M$5:$M$369,'Daily Tracker'!$D$5:$D$369,A7)/60</f>
        <v>0</v>
      </c>
      <c r="G7" s="58" t="n">
        <f aca="false">SUMIFS('Daily Tracker'!$K$5:$K$369,'Daily Tracker'!$D$5:$D$369,A7)</f>
        <v>0</v>
      </c>
      <c r="H7" s="58" t="n">
        <f aca="false">SUMIFS('Daily Tracker'!$I$5:$I$369,'Daily Tracker'!$D$5:$D$369,A7)</f>
        <v>0</v>
      </c>
      <c r="I7" s="47" t="str">
        <f aca="false">IFERROR(AVERAGEIFS('Daily Tracker'!$G$5:$G$369,'Daily Tracker'!$D$5:$D$369,A7),"")</f>
        <v/>
      </c>
      <c r="J7" s="47" t="str">
        <f aca="false">IF(OR(I7="",I6=""),"",I7-I6)</f>
        <v/>
      </c>
      <c r="K7" s="58" t="n">
        <f aca="false">IFERROR(_xlfn.MAXIFS('Weekly Dashboard'!$M$5:$M$57,'Weekly Dashboard'!$N$5:$N$57,A7),0)</f>
        <v>0</v>
      </c>
      <c r="L7" s="58" t="n">
        <f aca="false">IFERROR(_xlfn.MAXIFS('Daily Tracker'!$Y$5:$Y$369,'Daily Tracker'!$D$5:$D$369,A7),0)</f>
        <v>0</v>
      </c>
      <c r="M7" s="34" t="str">
        <f aca="false">IFERROR(AVERAGEIFS('Recovery Tracker'!$E$5:$E$369,'Daily Tracker'!$D$5:$D$369,A7),"")</f>
        <v/>
      </c>
      <c r="N7" s="33" t="n">
        <f aca="false">IFERROR(E7/(SessionsGoal/7*DAY(EOMONTH(DATE(YEAR(StartDate),3,1),0))),0)</f>
        <v>0</v>
      </c>
      <c r="P7" s="39" t="s">
        <v>171</v>
      </c>
      <c r="Q7" s="62" t="n">
        <f aca="false">COUNTIF('Daily Tracker'!$L$5:$L$369,"HYROX")</f>
        <v>0</v>
      </c>
    </row>
    <row r="8" customFormat="false" ht="15" hidden="false" customHeight="false" outlineLevel="0" collapsed="false">
      <c r="A8" s="36" t="s">
        <v>172</v>
      </c>
      <c r="B8" s="60" t="n">
        <f aca="false">SUMIFS('Daily Tracker'!$E$5:$E$369,'Daily Tracker'!$D$5:$D$369,A8)</f>
        <v>0</v>
      </c>
      <c r="C8" s="48" t="str">
        <f aca="false">IFERROR(AVERAGEIFS('Daily Tracker'!$E$5:$E$369,'Daily Tracker'!$D$5:$D$369,A8),"")</f>
        <v/>
      </c>
      <c r="D8" s="48" t="str">
        <f aca="false">IFERROR(AVERAGEIFS('Daily Tracker'!$F$5:$F$369,'Daily Tracker'!$D$5:$D$369,A8),"")</f>
        <v/>
      </c>
      <c r="E8" s="60" t="n">
        <f aca="false">COUNTIFS('Daily Tracker'!$D$5:$D$369,A8,'Daily Tracker'!$X$5:$X$369,1)</f>
        <v>0</v>
      </c>
      <c r="F8" s="60" t="n">
        <f aca="false">SUMIFS('Daily Tracker'!$M$5:$M$369,'Daily Tracker'!$D$5:$D$369,A8)/60</f>
        <v>0</v>
      </c>
      <c r="G8" s="60" t="n">
        <f aca="false">SUMIFS('Daily Tracker'!$K$5:$K$369,'Daily Tracker'!$D$5:$D$369,A8)</f>
        <v>0</v>
      </c>
      <c r="H8" s="60" t="n">
        <f aca="false">SUMIFS('Daily Tracker'!$I$5:$I$369,'Daily Tracker'!$D$5:$D$369,A8)</f>
        <v>0</v>
      </c>
      <c r="I8" s="48" t="str">
        <f aca="false">IFERROR(AVERAGEIFS('Daily Tracker'!$G$5:$G$369,'Daily Tracker'!$D$5:$D$369,A8),"")</f>
        <v/>
      </c>
      <c r="J8" s="48" t="str">
        <f aca="false">IF(OR(I8="",I7=""),"",I8-I7)</f>
        <v/>
      </c>
      <c r="K8" s="60" t="n">
        <f aca="false">IFERROR(_xlfn.MAXIFS('Weekly Dashboard'!$M$5:$M$57,'Weekly Dashboard'!$N$5:$N$57,A8),0)</f>
        <v>0</v>
      </c>
      <c r="L8" s="60" t="n">
        <f aca="false">IFERROR(_xlfn.MAXIFS('Daily Tracker'!$Y$5:$Y$369,'Daily Tracker'!$D$5:$D$369,A8),0)</f>
        <v>0</v>
      </c>
      <c r="M8" s="38" t="str">
        <f aca="false">IFERROR(AVERAGEIFS('Recovery Tracker'!$E$5:$E$369,'Daily Tracker'!$D$5:$D$369,A8),"")</f>
        <v/>
      </c>
      <c r="N8" s="37" t="n">
        <f aca="false">IFERROR(E8/(SessionsGoal/7*DAY(EOMONTH(DATE(YEAR(StartDate),4,1),0))),0)</f>
        <v>0</v>
      </c>
      <c r="P8" s="41" t="s">
        <v>173</v>
      </c>
      <c r="Q8" s="63" t="n">
        <f aca="false">COUNTIF('Daily Tracker'!$L$5:$L$369,"Strength")</f>
        <v>0</v>
      </c>
    </row>
    <row r="9" customFormat="false" ht="15" hidden="false" customHeight="false" outlineLevel="0" collapsed="false">
      <c r="A9" s="27" t="s">
        <v>174</v>
      </c>
      <c r="B9" s="58" t="n">
        <f aca="false">SUMIFS('Daily Tracker'!$E$5:$E$369,'Daily Tracker'!$D$5:$D$369,A9)</f>
        <v>0</v>
      </c>
      <c r="C9" s="47" t="str">
        <f aca="false">IFERROR(AVERAGEIFS('Daily Tracker'!$E$5:$E$369,'Daily Tracker'!$D$5:$D$369,A9),"")</f>
        <v/>
      </c>
      <c r="D9" s="47" t="str">
        <f aca="false">IFERROR(AVERAGEIFS('Daily Tracker'!$F$5:$F$369,'Daily Tracker'!$D$5:$D$369,A9),"")</f>
        <v/>
      </c>
      <c r="E9" s="58" t="n">
        <f aca="false">COUNTIFS('Daily Tracker'!$D$5:$D$369,A9,'Daily Tracker'!$X$5:$X$369,1)</f>
        <v>0</v>
      </c>
      <c r="F9" s="58" t="n">
        <f aca="false">SUMIFS('Daily Tracker'!$M$5:$M$369,'Daily Tracker'!$D$5:$D$369,A9)/60</f>
        <v>0</v>
      </c>
      <c r="G9" s="58" t="n">
        <f aca="false">SUMIFS('Daily Tracker'!$K$5:$K$369,'Daily Tracker'!$D$5:$D$369,A9)</f>
        <v>0</v>
      </c>
      <c r="H9" s="58" t="n">
        <f aca="false">SUMIFS('Daily Tracker'!$I$5:$I$369,'Daily Tracker'!$D$5:$D$369,A9)</f>
        <v>0</v>
      </c>
      <c r="I9" s="47" t="str">
        <f aca="false">IFERROR(AVERAGEIFS('Daily Tracker'!$G$5:$G$369,'Daily Tracker'!$D$5:$D$369,A9),"")</f>
        <v/>
      </c>
      <c r="J9" s="47" t="str">
        <f aca="false">IF(OR(I9="",I8=""),"",I9-I8)</f>
        <v/>
      </c>
      <c r="K9" s="58" t="n">
        <f aca="false">IFERROR(_xlfn.MAXIFS('Weekly Dashboard'!$M$5:$M$57,'Weekly Dashboard'!$N$5:$N$57,A9),0)</f>
        <v>0</v>
      </c>
      <c r="L9" s="58" t="n">
        <f aca="false">IFERROR(_xlfn.MAXIFS('Daily Tracker'!$Y$5:$Y$369,'Daily Tracker'!$D$5:$D$369,A9),0)</f>
        <v>0</v>
      </c>
      <c r="M9" s="34" t="str">
        <f aca="false">IFERROR(AVERAGEIFS('Recovery Tracker'!$E$5:$E$369,'Daily Tracker'!$D$5:$D$369,A9),"")</f>
        <v/>
      </c>
      <c r="N9" s="33" t="n">
        <f aca="false">IFERROR(E9/(SessionsGoal/7*DAY(EOMONTH(DATE(YEAR(StartDate),5,1),0))),0)</f>
        <v>0</v>
      </c>
      <c r="P9" s="39" t="s">
        <v>116</v>
      </c>
      <c r="Q9" s="62" t="n">
        <f aca="false">COUNTIF('Daily Tracker'!$L$5:$L$369,"Running")</f>
        <v>0</v>
      </c>
    </row>
    <row r="10" customFormat="false" ht="15" hidden="false" customHeight="false" outlineLevel="0" collapsed="false">
      <c r="A10" s="36" t="s">
        <v>175</v>
      </c>
      <c r="B10" s="60" t="n">
        <f aca="false">SUMIFS('Daily Tracker'!$E$5:$E$369,'Daily Tracker'!$D$5:$D$369,A10)</f>
        <v>0</v>
      </c>
      <c r="C10" s="48" t="str">
        <f aca="false">IFERROR(AVERAGEIFS('Daily Tracker'!$E$5:$E$369,'Daily Tracker'!$D$5:$D$369,A10),"")</f>
        <v/>
      </c>
      <c r="D10" s="48" t="str">
        <f aca="false">IFERROR(AVERAGEIFS('Daily Tracker'!$F$5:$F$369,'Daily Tracker'!$D$5:$D$369,A10),"")</f>
        <v/>
      </c>
      <c r="E10" s="60" t="n">
        <f aca="false">COUNTIFS('Daily Tracker'!$D$5:$D$369,A10,'Daily Tracker'!$X$5:$X$369,1)</f>
        <v>0</v>
      </c>
      <c r="F10" s="60" t="n">
        <f aca="false">SUMIFS('Daily Tracker'!$M$5:$M$369,'Daily Tracker'!$D$5:$D$369,A10)/60</f>
        <v>0</v>
      </c>
      <c r="G10" s="60" t="n">
        <f aca="false">SUMIFS('Daily Tracker'!$K$5:$K$369,'Daily Tracker'!$D$5:$D$369,A10)</f>
        <v>0</v>
      </c>
      <c r="H10" s="60" t="n">
        <f aca="false">SUMIFS('Daily Tracker'!$I$5:$I$369,'Daily Tracker'!$D$5:$D$369,A10)</f>
        <v>0</v>
      </c>
      <c r="I10" s="48" t="str">
        <f aca="false">IFERROR(AVERAGEIFS('Daily Tracker'!$G$5:$G$369,'Daily Tracker'!$D$5:$D$369,A10),"")</f>
        <v/>
      </c>
      <c r="J10" s="48" t="str">
        <f aca="false">IF(OR(I10="",I9=""),"",I10-I9)</f>
        <v/>
      </c>
      <c r="K10" s="60" t="n">
        <f aca="false">IFERROR(_xlfn.MAXIFS('Weekly Dashboard'!$M$5:$M$57,'Weekly Dashboard'!$N$5:$N$57,A10),0)</f>
        <v>0</v>
      </c>
      <c r="L10" s="60" t="n">
        <f aca="false">IFERROR(_xlfn.MAXIFS('Daily Tracker'!$Y$5:$Y$369,'Daily Tracker'!$D$5:$D$369,A10),0)</f>
        <v>0</v>
      </c>
      <c r="M10" s="38" t="str">
        <f aca="false">IFERROR(AVERAGEIFS('Recovery Tracker'!$E$5:$E$369,'Daily Tracker'!$D$5:$D$369,A10),"")</f>
        <v/>
      </c>
      <c r="N10" s="37" t="n">
        <f aca="false">IFERROR(E10/(SessionsGoal/7*DAY(EOMONTH(DATE(YEAR(StartDate),6,1),0))),0)</f>
        <v>0</v>
      </c>
      <c r="P10" s="41" t="s">
        <v>176</v>
      </c>
      <c r="Q10" s="63" t="n">
        <f aca="false">COUNTIF('Daily Tracker'!$L$5:$L$369,"Conditioning")</f>
        <v>0</v>
      </c>
    </row>
    <row r="11" customFormat="false" ht="15" hidden="false" customHeight="false" outlineLevel="0" collapsed="false">
      <c r="A11" s="27" t="s">
        <v>177</v>
      </c>
      <c r="B11" s="58" t="n">
        <f aca="false">SUMIFS('Daily Tracker'!$E$5:$E$369,'Daily Tracker'!$D$5:$D$369,A11)</f>
        <v>0</v>
      </c>
      <c r="C11" s="47" t="str">
        <f aca="false">IFERROR(AVERAGEIFS('Daily Tracker'!$E$5:$E$369,'Daily Tracker'!$D$5:$D$369,A11),"")</f>
        <v/>
      </c>
      <c r="D11" s="47" t="str">
        <f aca="false">IFERROR(AVERAGEIFS('Daily Tracker'!$F$5:$F$369,'Daily Tracker'!$D$5:$D$369,A11),"")</f>
        <v/>
      </c>
      <c r="E11" s="58" t="n">
        <f aca="false">COUNTIFS('Daily Tracker'!$D$5:$D$369,A11,'Daily Tracker'!$X$5:$X$369,1)</f>
        <v>0</v>
      </c>
      <c r="F11" s="58" t="n">
        <f aca="false">SUMIFS('Daily Tracker'!$M$5:$M$369,'Daily Tracker'!$D$5:$D$369,A11)/60</f>
        <v>0</v>
      </c>
      <c r="G11" s="58" t="n">
        <f aca="false">SUMIFS('Daily Tracker'!$K$5:$K$369,'Daily Tracker'!$D$5:$D$369,A11)</f>
        <v>0</v>
      </c>
      <c r="H11" s="58" t="n">
        <f aca="false">SUMIFS('Daily Tracker'!$I$5:$I$369,'Daily Tracker'!$D$5:$D$369,A11)</f>
        <v>0</v>
      </c>
      <c r="I11" s="47" t="str">
        <f aca="false">IFERROR(AVERAGEIFS('Daily Tracker'!$G$5:$G$369,'Daily Tracker'!$D$5:$D$369,A11),"")</f>
        <v/>
      </c>
      <c r="J11" s="47" t="str">
        <f aca="false">IF(OR(I11="",I10=""),"",I11-I10)</f>
        <v/>
      </c>
      <c r="K11" s="58" t="n">
        <f aca="false">IFERROR(_xlfn.MAXIFS('Weekly Dashboard'!$M$5:$M$57,'Weekly Dashboard'!$N$5:$N$57,A11),0)</f>
        <v>0</v>
      </c>
      <c r="L11" s="58" t="n">
        <f aca="false">IFERROR(_xlfn.MAXIFS('Daily Tracker'!$Y$5:$Y$369,'Daily Tracker'!$D$5:$D$369,A11),0)</f>
        <v>0</v>
      </c>
      <c r="M11" s="34" t="str">
        <f aca="false">IFERROR(AVERAGEIFS('Recovery Tracker'!$E$5:$E$369,'Daily Tracker'!$D$5:$D$369,A11),"")</f>
        <v/>
      </c>
      <c r="N11" s="33" t="n">
        <f aca="false">IFERROR(E11/(SessionsGoal/7*DAY(EOMONTH(DATE(YEAR(StartDate),7,1),0))),0)</f>
        <v>0</v>
      </c>
      <c r="P11" s="39" t="s">
        <v>53</v>
      </c>
      <c r="Q11" s="62" t="n">
        <f aca="false">COUNTIF('Daily Tracker'!$L$5:$L$369,"Recovery")</f>
        <v>0</v>
      </c>
    </row>
    <row r="12" customFormat="false" ht="15" hidden="false" customHeight="false" outlineLevel="0" collapsed="false">
      <c r="A12" s="36" t="s">
        <v>178</v>
      </c>
      <c r="B12" s="60" t="n">
        <f aca="false">SUMIFS('Daily Tracker'!$E$5:$E$369,'Daily Tracker'!$D$5:$D$369,A12)</f>
        <v>0</v>
      </c>
      <c r="C12" s="48" t="str">
        <f aca="false">IFERROR(AVERAGEIFS('Daily Tracker'!$E$5:$E$369,'Daily Tracker'!$D$5:$D$369,A12),"")</f>
        <v/>
      </c>
      <c r="D12" s="48" t="str">
        <f aca="false">IFERROR(AVERAGEIFS('Daily Tracker'!$F$5:$F$369,'Daily Tracker'!$D$5:$D$369,A12),"")</f>
        <v/>
      </c>
      <c r="E12" s="60" t="n">
        <f aca="false">COUNTIFS('Daily Tracker'!$D$5:$D$369,A12,'Daily Tracker'!$X$5:$X$369,1)</f>
        <v>0</v>
      </c>
      <c r="F12" s="60" t="n">
        <f aca="false">SUMIFS('Daily Tracker'!$M$5:$M$369,'Daily Tracker'!$D$5:$D$369,A12)/60</f>
        <v>0</v>
      </c>
      <c r="G12" s="60" t="n">
        <f aca="false">SUMIFS('Daily Tracker'!$K$5:$K$369,'Daily Tracker'!$D$5:$D$369,A12)</f>
        <v>0</v>
      </c>
      <c r="H12" s="60" t="n">
        <f aca="false">SUMIFS('Daily Tracker'!$I$5:$I$369,'Daily Tracker'!$D$5:$D$369,A12)</f>
        <v>0</v>
      </c>
      <c r="I12" s="48" t="str">
        <f aca="false">IFERROR(AVERAGEIFS('Daily Tracker'!$G$5:$G$369,'Daily Tracker'!$D$5:$D$369,A12),"")</f>
        <v/>
      </c>
      <c r="J12" s="48" t="str">
        <f aca="false">IF(OR(I12="",I11=""),"",I12-I11)</f>
        <v/>
      </c>
      <c r="K12" s="60" t="n">
        <f aca="false">IFERROR(_xlfn.MAXIFS('Weekly Dashboard'!$M$5:$M$57,'Weekly Dashboard'!$N$5:$N$57,A12),0)</f>
        <v>0</v>
      </c>
      <c r="L12" s="60" t="n">
        <f aca="false">IFERROR(_xlfn.MAXIFS('Daily Tracker'!$Y$5:$Y$369,'Daily Tracker'!$D$5:$D$369,A12),0)</f>
        <v>0</v>
      </c>
      <c r="M12" s="38" t="str">
        <f aca="false">IFERROR(AVERAGEIFS('Recovery Tracker'!$E$5:$E$369,'Daily Tracker'!$D$5:$D$369,A12),"")</f>
        <v/>
      </c>
      <c r="N12" s="37" t="n">
        <f aca="false">IFERROR(E12/(SessionsGoal/7*DAY(EOMONTH(DATE(YEAR(StartDate),8,1),0))),0)</f>
        <v>0</v>
      </c>
      <c r="P12" s="41" t="s">
        <v>179</v>
      </c>
      <c r="Q12" s="63" t="n">
        <f aca="false">COUNTIF('Daily Tracker'!$L$5:$L$369,"Mobility")</f>
        <v>0</v>
      </c>
    </row>
    <row r="13" customFormat="false" ht="15" hidden="false" customHeight="false" outlineLevel="0" collapsed="false">
      <c r="A13" s="27" t="s">
        <v>180</v>
      </c>
      <c r="B13" s="58" t="n">
        <f aca="false">SUMIFS('Daily Tracker'!$E$5:$E$369,'Daily Tracker'!$D$5:$D$369,A13)</f>
        <v>0</v>
      </c>
      <c r="C13" s="47" t="str">
        <f aca="false">IFERROR(AVERAGEIFS('Daily Tracker'!$E$5:$E$369,'Daily Tracker'!$D$5:$D$369,A13),"")</f>
        <v/>
      </c>
      <c r="D13" s="47" t="str">
        <f aca="false">IFERROR(AVERAGEIFS('Daily Tracker'!$F$5:$F$369,'Daily Tracker'!$D$5:$D$369,A13),"")</f>
        <v/>
      </c>
      <c r="E13" s="58" t="n">
        <f aca="false">COUNTIFS('Daily Tracker'!$D$5:$D$369,A13,'Daily Tracker'!$X$5:$X$369,1)</f>
        <v>0</v>
      </c>
      <c r="F13" s="58" t="n">
        <f aca="false">SUMIFS('Daily Tracker'!$M$5:$M$369,'Daily Tracker'!$D$5:$D$369,A13)/60</f>
        <v>0</v>
      </c>
      <c r="G13" s="58" t="n">
        <f aca="false">SUMIFS('Daily Tracker'!$K$5:$K$369,'Daily Tracker'!$D$5:$D$369,A13)</f>
        <v>0</v>
      </c>
      <c r="H13" s="58" t="n">
        <f aca="false">SUMIFS('Daily Tracker'!$I$5:$I$369,'Daily Tracker'!$D$5:$D$369,A13)</f>
        <v>0</v>
      </c>
      <c r="I13" s="47" t="str">
        <f aca="false">IFERROR(AVERAGEIFS('Daily Tracker'!$G$5:$G$369,'Daily Tracker'!$D$5:$D$369,A13),"")</f>
        <v/>
      </c>
      <c r="J13" s="47" t="str">
        <f aca="false">IF(OR(I13="",I12=""),"",I13-I12)</f>
        <v/>
      </c>
      <c r="K13" s="58" t="n">
        <f aca="false">IFERROR(_xlfn.MAXIFS('Weekly Dashboard'!$M$5:$M$57,'Weekly Dashboard'!$N$5:$N$57,A13),0)</f>
        <v>0</v>
      </c>
      <c r="L13" s="58" t="n">
        <f aca="false">IFERROR(_xlfn.MAXIFS('Daily Tracker'!$Y$5:$Y$369,'Daily Tracker'!$D$5:$D$369,A13),0)</f>
        <v>0</v>
      </c>
      <c r="M13" s="34" t="str">
        <f aca="false">IFERROR(AVERAGEIFS('Recovery Tracker'!$E$5:$E$369,'Daily Tracker'!$D$5:$D$369,A13),"")</f>
        <v/>
      </c>
      <c r="N13" s="33" t="n">
        <f aca="false">IFERROR(E13/(SessionsGoal/7*DAY(EOMONTH(DATE(YEAR(StartDate),9,1),0))),0)</f>
        <v>0</v>
      </c>
      <c r="P13" s="39" t="s">
        <v>181</v>
      </c>
      <c r="Q13" s="62" t="n">
        <f aca="false">COUNTIF('Daily Tracker'!$L$5:$L$369,"Rest Day")</f>
        <v>0</v>
      </c>
    </row>
    <row r="14" customFormat="false" ht="15" hidden="false" customHeight="false" outlineLevel="0" collapsed="false">
      <c r="A14" s="36" t="s">
        <v>182</v>
      </c>
      <c r="B14" s="60" t="n">
        <f aca="false">SUMIFS('Daily Tracker'!$E$5:$E$369,'Daily Tracker'!$D$5:$D$369,A14)</f>
        <v>0</v>
      </c>
      <c r="C14" s="48" t="str">
        <f aca="false">IFERROR(AVERAGEIFS('Daily Tracker'!$E$5:$E$369,'Daily Tracker'!$D$5:$D$369,A14),"")</f>
        <v/>
      </c>
      <c r="D14" s="48" t="str">
        <f aca="false">IFERROR(AVERAGEIFS('Daily Tracker'!$F$5:$F$369,'Daily Tracker'!$D$5:$D$369,A14),"")</f>
        <v/>
      </c>
      <c r="E14" s="60" t="n">
        <f aca="false">COUNTIFS('Daily Tracker'!$D$5:$D$369,A14,'Daily Tracker'!$X$5:$X$369,1)</f>
        <v>0</v>
      </c>
      <c r="F14" s="60" t="n">
        <f aca="false">SUMIFS('Daily Tracker'!$M$5:$M$369,'Daily Tracker'!$D$5:$D$369,A14)/60</f>
        <v>0</v>
      </c>
      <c r="G14" s="60" t="n">
        <f aca="false">SUMIFS('Daily Tracker'!$K$5:$K$369,'Daily Tracker'!$D$5:$D$369,A14)</f>
        <v>0</v>
      </c>
      <c r="H14" s="60" t="n">
        <f aca="false">SUMIFS('Daily Tracker'!$I$5:$I$369,'Daily Tracker'!$D$5:$D$369,A14)</f>
        <v>0</v>
      </c>
      <c r="I14" s="48" t="str">
        <f aca="false">IFERROR(AVERAGEIFS('Daily Tracker'!$G$5:$G$369,'Daily Tracker'!$D$5:$D$369,A14),"")</f>
        <v/>
      </c>
      <c r="J14" s="48" t="str">
        <f aca="false">IF(OR(I14="",I13=""),"",I14-I13)</f>
        <v/>
      </c>
      <c r="K14" s="60" t="n">
        <f aca="false">IFERROR(_xlfn.MAXIFS('Weekly Dashboard'!$M$5:$M$57,'Weekly Dashboard'!$N$5:$N$57,A14),0)</f>
        <v>0</v>
      </c>
      <c r="L14" s="60" t="n">
        <f aca="false">IFERROR(_xlfn.MAXIFS('Daily Tracker'!$Y$5:$Y$369,'Daily Tracker'!$D$5:$D$369,A14),0)</f>
        <v>0</v>
      </c>
      <c r="M14" s="38" t="str">
        <f aca="false">IFERROR(AVERAGEIFS('Recovery Tracker'!$E$5:$E$369,'Daily Tracker'!$D$5:$D$369,A14),"")</f>
        <v/>
      </c>
      <c r="N14" s="37" t="n">
        <f aca="false">IFERROR(E14/(SessionsGoal/7*DAY(EOMONTH(DATE(YEAR(StartDate),10,1),0))),0)</f>
        <v>0</v>
      </c>
    </row>
    <row r="15" customFormat="false" ht="15" hidden="false" customHeight="false" outlineLevel="0" collapsed="false">
      <c r="A15" s="27" t="s">
        <v>183</v>
      </c>
      <c r="B15" s="58" t="n">
        <f aca="false">SUMIFS('Daily Tracker'!$E$5:$E$369,'Daily Tracker'!$D$5:$D$369,A15)</f>
        <v>0</v>
      </c>
      <c r="C15" s="47" t="str">
        <f aca="false">IFERROR(AVERAGEIFS('Daily Tracker'!$E$5:$E$369,'Daily Tracker'!$D$5:$D$369,A15),"")</f>
        <v/>
      </c>
      <c r="D15" s="47" t="str">
        <f aca="false">IFERROR(AVERAGEIFS('Daily Tracker'!$F$5:$F$369,'Daily Tracker'!$D$5:$D$369,A15),"")</f>
        <v/>
      </c>
      <c r="E15" s="58" t="n">
        <f aca="false">COUNTIFS('Daily Tracker'!$D$5:$D$369,A15,'Daily Tracker'!$X$5:$X$369,1)</f>
        <v>0</v>
      </c>
      <c r="F15" s="58" t="n">
        <f aca="false">SUMIFS('Daily Tracker'!$M$5:$M$369,'Daily Tracker'!$D$5:$D$369,A15)/60</f>
        <v>0</v>
      </c>
      <c r="G15" s="58" t="n">
        <f aca="false">SUMIFS('Daily Tracker'!$K$5:$K$369,'Daily Tracker'!$D$5:$D$369,A15)</f>
        <v>0</v>
      </c>
      <c r="H15" s="58" t="n">
        <f aca="false">SUMIFS('Daily Tracker'!$I$5:$I$369,'Daily Tracker'!$D$5:$D$369,A15)</f>
        <v>0</v>
      </c>
      <c r="I15" s="47" t="str">
        <f aca="false">IFERROR(AVERAGEIFS('Daily Tracker'!$G$5:$G$369,'Daily Tracker'!$D$5:$D$369,A15),"")</f>
        <v/>
      </c>
      <c r="J15" s="47" t="str">
        <f aca="false">IF(OR(I15="",I14=""),"",I15-I14)</f>
        <v/>
      </c>
      <c r="K15" s="58" t="n">
        <f aca="false">IFERROR(_xlfn.MAXIFS('Weekly Dashboard'!$M$5:$M$57,'Weekly Dashboard'!$N$5:$N$57,A15),0)</f>
        <v>0</v>
      </c>
      <c r="L15" s="58" t="n">
        <f aca="false">IFERROR(_xlfn.MAXIFS('Daily Tracker'!$Y$5:$Y$369,'Daily Tracker'!$D$5:$D$369,A15),0)</f>
        <v>0</v>
      </c>
      <c r="M15" s="34" t="str">
        <f aca="false">IFERROR(AVERAGEIFS('Recovery Tracker'!$E$5:$E$369,'Daily Tracker'!$D$5:$D$369,A15),"")</f>
        <v/>
      </c>
      <c r="N15" s="33" t="n">
        <f aca="false">IFERROR(E15/(SessionsGoal/7*DAY(EOMONTH(DATE(YEAR(StartDate),11,1),0))),0)</f>
        <v>0</v>
      </c>
    </row>
    <row r="16" customFormat="false" ht="15" hidden="false" customHeight="false" outlineLevel="0" collapsed="false">
      <c r="A16" s="36" t="s">
        <v>184</v>
      </c>
      <c r="B16" s="60" t="n">
        <f aca="false">SUMIFS('Daily Tracker'!$E$5:$E$369,'Daily Tracker'!$D$5:$D$369,A16)</f>
        <v>0</v>
      </c>
      <c r="C16" s="48" t="str">
        <f aca="false">IFERROR(AVERAGEIFS('Daily Tracker'!$E$5:$E$369,'Daily Tracker'!$D$5:$D$369,A16),"")</f>
        <v/>
      </c>
      <c r="D16" s="48" t="str">
        <f aca="false">IFERROR(AVERAGEIFS('Daily Tracker'!$F$5:$F$369,'Daily Tracker'!$D$5:$D$369,A16),"")</f>
        <v/>
      </c>
      <c r="E16" s="60" t="n">
        <f aca="false">COUNTIFS('Daily Tracker'!$D$5:$D$369,A16,'Daily Tracker'!$X$5:$X$369,1)</f>
        <v>0</v>
      </c>
      <c r="F16" s="60" t="n">
        <f aca="false">SUMIFS('Daily Tracker'!$M$5:$M$369,'Daily Tracker'!$D$5:$D$369,A16)/60</f>
        <v>0</v>
      </c>
      <c r="G16" s="60" t="n">
        <f aca="false">SUMIFS('Daily Tracker'!$K$5:$K$369,'Daily Tracker'!$D$5:$D$369,A16)</f>
        <v>0</v>
      </c>
      <c r="H16" s="60" t="n">
        <f aca="false">SUMIFS('Daily Tracker'!$I$5:$I$369,'Daily Tracker'!$D$5:$D$369,A16)</f>
        <v>0</v>
      </c>
      <c r="I16" s="48" t="str">
        <f aca="false">IFERROR(AVERAGEIFS('Daily Tracker'!$G$5:$G$369,'Daily Tracker'!$D$5:$D$369,A16),"")</f>
        <v/>
      </c>
      <c r="J16" s="48" t="str">
        <f aca="false">IF(OR(I16="",I15=""),"",I16-I15)</f>
        <v/>
      </c>
      <c r="K16" s="60" t="n">
        <f aca="false">IFERROR(_xlfn.MAXIFS('Weekly Dashboard'!$M$5:$M$57,'Weekly Dashboard'!$N$5:$N$57,A16),0)</f>
        <v>0</v>
      </c>
      <c r="L16" s="60" t="n">
        <f aca="false">IFERROR(_xlfn.MAXIFS('Daily Tracker'!$Y$5:$Y$369,'Daily Tracker'!$D$5:$D$369,A16),0)</f>
        <v>0</v>
      </c>
      <c r="M16" s="38" t="str">
        <f aca="false">IFERROR(AVERAGEIFS('Recovery Tracker'!$E$5:$E$369,'Daily Tracker'!$D$5:$D$369,A16),"")</f>
        <v/>
      </c>
      <c r="N16" s="37" t="n">
        <f aca="false">IFERROR(E16/(SessionsGoal/7*DAY(EOMONTH(DATE(YEAR(StartDate),12,1),0))),0)</f>
        <v>0</v>
      </c>
    </row>
  </sheetData>
  <mergeCells count="3">
    <mergeCell ref="A1:N1"/>
    <mergeCell ref="A2:N2"/>
    <mergeCell ref="P4:Q4"/>
  </mergeCells>
  <conditionalFormatting sqref="M5:M16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N5:N16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3" right="0.3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&amp;N&amp;R&amp;F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5"/>
  </cols>
  <sheetData>
    <row r="1" customFormat="false" ht="39.75" hidden="false" customHeight="true" outlineLevel="0" collapsed="false">
      <c r="A1" s="1" t="s">
        <v>185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186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5" hidden="false" customHeight="false" outlineLevel="0" collapsed="false">
      <c r="A4" s="6" t="s">
        <v>187</v>
      </c>
      <c r="B4" s="6"/>
      <c r="C4" s="6"/>
      <c r="D4" s="6" t="s">
        <v>188</v>
      </c>
      <c r="E4" s="6"/>
      <c r="F4" s="6"/>
    </row>
    <row r="5" customFormat="false" ht="22.05" hidden="false" customHeight="false" outlineLevel="0" collapsed="false">
      <c r="A5" s="64" t="n">
        <f aca="false">ROUND(C7+C10+C13,0)</f>
        <v>405</v>
      </c>
      <c r="B5" s="64"/>
      <c r="C5" s="64"/>
      <c r="D5" s="65" t="str">
        <f aca="true">IF(COUNTIFS('Workout Log'!$A$5:$A$504,"&gt;="&amp;(TODAY()-7),'Workout Log'!$I$5:$I$504,"Yes")&gt;0,"🏆 Yes","—")</f>
        <v>—</v>
      </c>
      <c r="E5" s="65"/>
      <c r="F5" s="65"/>
    </row>
    <row r="6" customFormat="false" ht="30" hidden="false" customHeight="true" outlineLevel="0" collapsed="false">
      <c r="A6" s="24" t="s">
        <v>189</v>
      </c>
      <c r="B6" s="24" t="s">
        <v>190</v>
      </c>
      <c r="C6" s="24" t="s">
        <v>191</v>
      </c>
      <c r="D6" s="24" t="s">
        <v>192</v>
      </c>
      <c r="E6" s="24" t="s">
        <v>193</v>
      </c>
      <c r="F6" s="24" t="s">
        <v>194</v>
      </c>
    </row>
    <row r="7" customFormat="false" ht="15" hidden="false" customHeight="false" outlineLevel="0" collapsed="false">
      <c r="A7" s="66" t="s">
        <v>195</v>
      </c>
      <c r="B7" s="27" t="s">
        <v>196</v>
      </c>
      <c r="C7" s="67" t="n">
        <f aca="false">IFERROR(_xlfn.MAXIFS('Workout Log'!$F$5:$F$504,'Workout Log'!$C$5:$C$504,"*squat*",'Workout Log'!$E$5:$E$504,1),0)</f>
        <v>140</v>
      </c>
      <c r="D7" s="68" t="n">
        <f aca="false">IFERROR(_xlfn.MAXIFS('Workout Log'!$F$5:$F$504,'Workout Log'!$C$5:$C$504,"*squat*",'Workout Log'!$E$5:$E$504,1,'Workout Log'!$A$5:$A$504,F7),0)</f>
        <v>140</v>
      </c>
      <c r="E7" s="68" t="n">
        <f aca="false">IFERROR(_xlfn.MAXIFS('Workout Log'!$F$5:$F$504,'Workout Log'!$C$5:$C$504,"*squat*",'Workout Log'!$E$5:$E$504,1,'Workout Log'!$F$5:$F$504,"&lt;"&amp;C7),0)</f>
        <v>0</v>
      </c>
      <c r="F7" s="57" t="n">
        <f aca="false">IF(C7=0,"",IFERROR(_xlfn.MAXIFS('Workout Log'!$A$5:$A$504,'Workout Log'!$C$5:$C$504,"*squat*",'Workout Log'!$E$5:$E$504,1,'Workout Log'!$F$5:$F$504,C7),""))</f>
        <v>46023</v>
      </c>
    </row>
    <row r="8" customFormat="false" ht="15" hidden="false" customHeight="false" outlineLevel="0" collapsed="false">
      <c r="A8" s="69" t="s">
        <v>195</v>
      </c>
      <c r="B8" s="36" t="s">
        <v>197</v>
      </c>
      <c r="C8" s="70" t="n">
        <f aca="false">IFERROR(_xlfn.MAXIFS('Workout Log'!$F$5:$F$504,'Workout Log'!$C$5:$C$504,"*squat*",'Workout Log'!$E$5:$E$504,3),0)</f>
        <v>0</v>
      </c>
      <c r="D8" s="71" t="n">
        <f aca="false">IFERROR(_xlfn.MAXIFS('Workout Log'!$F$5:$F$504,'Workout Log'!$C$5:$C$504,"*squat*",'Workout Log'!$E$5:$E$504,3,'Workout Log'!$A$5:$A$504,F8),0)</f>
        <v>0</v>
      </c>
      <c r="E8" s="71" t="n">
        <f aca="false">IFERROR(_xlfn.MAXIFS('Workout Log'!$F$5:$F$504,'Workout Log'!$C$5:$C$504,"*squat*",'Workout Log'!$E$5:$E$504,3,'Workout Log'!$F$5:$F$504,"&lt;"&amp;C8),0)</f>
        <v>0</v>
      </c>
      <c r="F8" s="59" t="str">
        <f aca="false">IF(C8=0,"",IFERROR(_xlfn.MAXIFS('Workout Log'!$A$5:$A$504,'Workout Log'!$C$5:$C$504,"*squat*",'Workout Log'!$E$5:$E$504,3,'Workout Log'!$F$5:$F$504,C8),""))</f>
        <v/>
      </c>
    </row>
    <row r="9" customFormat="false" ht="15" hidden="false" customHeight="false" outlineLevel="0" collapsed="false">
      <c r="A9" s="66" t="s">
        <v>195</v>
      </c>
      <c r="B9" s="27" t="s">
        <v>198</v>
      </c>
      <c r="C9" s="67" t="n">
        <f aca="false">IFERROR(_xlfn.MAXIFS('Workout Log'!$F$5:$F$504,'Workout Log'!$C$5:$C$504,"*squat*",'Workout Log'!$E$5:$E$504,5),0)</f>
        <v>120</v>
      </c>
      <c r="D9" s="68" t="n">
        <f aca="false">IFERROR(_xlfn.MAXIFS('Workout Log'!$F$5:$F$504,'Workout Log'!$C$5:$C$504,"*squat*",'Workout Log'!$E$5:$E$504,5,'Workout Log'!$A$5:$A$504,F9),0)</f>
        <v>120</v>
      </c>
      <c r="E9" s="68" t="n">
        <f aca="false">IFERROR(_xlfn.MAXIFS('Workout Log'!$F$5:$F$504,'Workout Log'!$C$5:$C$504,"*squat*",'Workout Log'!$E$5:$E$504,5,'Workout Log'!$F$5:$F$504,"&lt;"&amp;C9),0)</f>
        <v>0</v>
      </c>
      <c r="F9" s="57" t="n">
        <f aca="false">IF(C9=0,"",IFERROR(_xlfn.MAXIFS('Workout Log'!$A$5:$A$504,'Workout Log'!$C$5:$C$504,"*squat*",'Workout Log'!$E$5:$E$504,5,'Workout Log'!$F$5:$F$504,C9),""))</f>
        <v>46023</v>
      </c>
    </row>
    <row r="10" customFormat="false" ht="15" hidden="false" customHeight="false" outlineLevel="0" collapsed="false">
      <c r="A10" s="69" t="s">
        <v>97</v>
      </c>
      <c r="B10" s="36" t="s">
        <v>196</v>
      </c>
      <c r="C10" s="70" t="n">
        <f aca="false">IFERROR(_xlfn.MAXIFS('Workout Log'!$F$5:$F$504,'Workout Log'!$C$5:$C$504,"*bench*",'Workout Log'!$E$5:$E$504,1),0)</f>
        <v>95</v>
      </c>
      <c r="D10" s="71" t="n">
        <f aca="false">IFERROR(_xlfn.MAXIFS('Workout Log'!$F$5:$F$504,'Workout Log'!$C$5:$C$504,"*bench*",'Workout Log'!$E$5:$E$504,1,'Workout Log'!$A$5:$A$504,F10),0)</f>
        <v>95</v>
      </c>
      <c r="E10" s="71" t="n">
        <f aca="false">IFERROR(_xlfn.MAXIFS('Workout Log'!$F$5:$F$504,'Workout Log'!$C$5:$C$504,"*bench*",'Workout Log'!$E$5:$E$504,1,'Workout Log'!$F$5:$F$504,"&lt;"&amp;C10),0)</f>
        <v>0</v>
      </c>
      <c r="F10" s="59" t="n">
        <f aca="false">IF(C10=0,"",IFERROR(_xlfn.MAXIFS('Workout Log'!$A$5:$A$504,'Workout Log'!$C$5:$C$504,"*bench*",'Workout Log'!$E$5:$E$504,1,'Workout Log'!$F$5:$F$504,C10),""))</f>
        <v>46023</v>
      </c>
    </row>
    <row r="11" customFormat="false" ht="15" hidden="false" customHeight="false" outlineLevel="0" collapsed="false">
      <c r="A11" s="66" t="s">
        <v>97</v>
      </c>
      <c r="B11" s="27" t="s">
        <v>197</v>
      </c>
      <c r="C11" s="67" t="n">
        <f aca="false">IFERROR(_xlfn.MAXIFS('Workout Log'!$F$5:$F$504,'Workout Log'!$C$5:$C$504,"*bench*",'Workout Log'!$E$5:$E$504,3),0)</f>
        <v>0</v>
      </c>
      <c r="D11" s="68" t="n">
        <f aca="false">IFERROR(_xlfn.MAXIFS('Workout Log'!$F$5:$F$504,'Workout Log'!$C$5:$C$504,"*bench*",'Workout Log'!$E$5:$E$504,3,'Workout Log'!$A$5:$A$504,F11),0)</f>
        <v>0</v>
      </c>
      <c r="E11" s="68" t="n">
        <f aca="false">IFERROR(_xlfn.MAXIFS('Workout Log'!$F$5:$F$504,'Workout Log'!$C$5:$C$504,"*bench*",'Workout Log'!$E$5:$E$504,3,'Workout Log'!$F$5:$F$504,"&lt;"&amp;C11),0)</f>
        <v>0</v>
      </c>
      <c r="F11" s="57" t="str">
        <f aca="false">IF(C11=0,"",IFERROR(_xlfn.MAXIFS('Workout Log'!$A$5:$A$504,'Workout Log'!$C$5:$C$504,"*bench*",'Workout Log'!$E$5:$E$504,3,'Workout Log'!$F$5:$F$504,C11),""))</f>
        <v/>
      </c>
    </row>
    <row r="12" customFormat="false" ht="15" hidden="false" customHeight="false" outlineLevel="0" collapsed="false">
      <c r="A12" s="69" t="s">
        <v>97</v>
      </c>
      <c r="B12" s="36" t="s">
        <v>198</v>
      </c>
      <c r="C12" s="70" t="n">
        <f aca="false">IFERROR(_xlfn.MAXIFS('Workout Log'!$F$5:$F$504,'Workout Log'!$C$5:$C$504,"*bench*",'Workout Log'!$E$5:$E$504,5),0)</f>
        <v>85</v>
      </c>
      <c r="D12" s="71" t="n">
        <f aca="false">IFERROR(_xlfn.MAXIFS('Workout Log'!$F$5:$F$504,'Workout Log'!$C$5:$C$504,"*bench*",'Workout Log'!$E$5:$E$504,5,'Workout Log'!$A$5:$A$504,F12),0)</f>
        <v>85</v>
      </c>
      <c r="E12" s="71" t="n">
        <f aca="false">IFERROR(_xlfn.MAXIFS('Workout Log'!$F$5:$F$504,'Workout Log'!$C$5:$C$504,"*bench*",'Workout Log'!$E$5:$E$504,5,'Workout Log'!$F$5:$F$504,"&lt;"&amp;C12),0)</f>
        <v>0</v>
      </c>
      <c r="F12" s="59" t="n">
        <f aca="false">IF(C12=0,"",IFERROR(_xlfn.MAXIFS('Workout Log'!$A$5:$A$504,'Workout Log'!$C$5:$C$504,"*bench*",'Workout Log'!$E$5:$E$504,5,'Workout Log'!$F$5:$F$504,C12),""))</f>
        <v>46023</v>
      </c>
    </row>
    <row r="13" customFormat="false" ht="15" hidden="false" customHeight="false" outlineLevel="0" collapsed="false">
      <c r="A13" s="66" t="s">
        <v>99</v>
      </c>
      <c r="B13" s="27" t="s">
        <v>196</v>
      </c>
      <c r="C13" s="67" t="n">
        <f aca="false">IFERROR(_xlfn.MAXIFS('Workout Log'!$F$5:$F$504,'Workout Log'!$C$5:$C$504,"*deadlift*",'Workout Log'!$E$5:$E$504,1),0)</f>
        <v>170</v>
      </c>
      <c r="D13" s="68" t="n">
        <f aca="false">IFERROR(_xlfn.MAXIFS('Workout Log'!$F$5:$F$504,'Workout Log'!$C$5:$C$504,"*deadlift*",'Workout Log'!$E$5:$E$504,1,'Workout Log'!$A$5:$A$504,F13),0)</f>
        <v>170</v>
      </c>
      <c r="E13" s="68" t="n">
        <f aca="false">IFERROR(_xlfn.MAXIFS('Workout Log'!$F$5:$F$504,'Workout Log'!$C$5:$C$504,"*deadlift*",'Workout Log'!$E$5:$E$504,1,'Workout Log'!$F$5:$F$504,"&lt;"&amp;C13),0)</f>
        <v>0</v>
      </c>
      <c r="F13" s="57" t="n">
        <f aca="false">IF(C13=0,"",IFERROR(_xlfn.MAXIFS('Workout Log'!$A$5:$A$504,'Workout Log'!$C$5:$C$504,"*deadlift*",'Workout Log'!$E$5:$E$504,1,'Workout Log'!$F$5:$F$504,C13),""))</f>
        <v>46023</v>
      </c>
    </row>
    <row r="14" customFormat="false" ht="15" hidden="false" customHeight="false" outlineLevel="0" collapsed="false">
      <c r="A14" s="69" t="s">
        <v>99</v>
      </c>
      <c r="B14" s="36" t="s">
        <v>197</v>
      </c>
      <c r="C14" s="70" t="n">
        <f aca="false">IFERROR(_xlfn.MAXIFS('Workout Log'!$F$5:$F$504,'Workout Log'!$C$5:$C$504,"*deadlift*",'Workout Log'!$E$5:$E$504,3),0)</f>
        <v>150</v>
      </c>
      <c r="D14" s="71" t="n">
        <f aca="false">IFERROR(_xlfn.MAXIFS('Workout Log'!$F$5:$F$504,'Workout Log'!$C$5:$C$504,"*deadlift*",'Workout Log'!$E$5:$E$504,3,'Workout Log'!$A$5:$A$504,F14),0)</f>
        <v>150</v>
      </c>
      <c r="E14" s="71" t="n">
        <f aca="false">IFERROR(_xlfn.MAXIFS('Workout Log'!$F$5:$F$504,'Workout Log'!$C$5:$C$504,"*deadlift*",'Workout Log'!$E$5:$E$504,3,'Workout Log'!$F$5:$F$504,"&lt;"&amp;C14),0)</f>
        <v>0</v>
      </c>
      <c r="F14" s="59" t="n">
        <f aca="false">IF(C14=0,"",IFERROR(_xlfn.MAXIFS('Workout Log'!$A$5:$A$504,'Workout Log'!$C$5:$C$504,"*deadlift*",'Workout Log'!$E$5:$E$504,3,'Workout Log'!$F$5:$F$504,C14),""))</f>
        <v>46023</v>
      </c>
    </row>
    <row r="15" customFormat="false" ht="15" hidden="false" customHeight="false" outlineLevel="0" collapsed="false">
      <c r="A15" s="66" t="s">
        <v>99</v>
      </c>
      <c r="B15" s="27" t="s">
        <v>198</v>
      </c>
      <c r="C15" s="67" t="n">
        <f aca="false">IFERROR(_xlfn.MAXIFS('Workout Log'!$F$5:$F$504,'Workout Log'!$C$5:$C$504,"*deadlift*",'Workout Log'!$E$5:$E$504,5),0)</f>
        <v>0</v>
      </c>
      <c r="D15" s="68" t="n">
        <f aca="false">IFERROR(_xlfn.MAXIFS('Workout Log'!$F$5:$F$504,'Workout Log'!$C$5:$C$504,"*deadlift*",'Workout Log'!$E$5:$E$504,5,'Workout Log'!$A$5:$A$504,F15),0)</f>
        <v>0</v>
      </c>
      <c r="E15" s="68" t="n">
        <f aca="false">IFERROR(_xlfn.MAXIFS('Workout Log'!$F$5:$F$504,'Workout Log'!$C$5:$C$504,"*deadlift*",'Workout Log'!$E$5:$E$504,5,'Workout Log'!$F$5:$F$504,"&lt;"&amp;C15),0)</f>
        <v>0</v>
      </c>
      <c r="F15" s="57" t="str">
        <f aca="false">IF(C15=0,"",IFERROR(_xlfn.MAXIFS('Workout Log'!$A$5:$A$504,'Workout Log'!$C$5:$C$504,"*deadlift*",'Workout Log'!$E$5:$E$504,5,'Workout Log'!$F$5:$F$504,C15),""))</f>
        <v/>
      </c>
    </row>
    <row r="17" customFormat="false" ht="15" hidden="false" customHeight="false" outlineLevel="0" collapsed="false">
      <c r="A17" s="72" t="s">
        <v>199</v>
      </c>
      <c r="B17" s="72"/>
      <c r="C17" s="73" t="n">
        <f aca="false">C7+C10+C13</f>
        <v>405</v>
      </c>
      <c r="D17" s="4"/>
      <c r="E17" s="4"/>
      <c r="F17" s="4"/>
    </row>
  </sheetData>
  <mergeCells count="7">
    <mergeCell ref="A1:F1"/>
    <mergeCell ref="A2:F2"/>
    <mergeCell ref="A4:C4"/>
    <mergeCell ref="D4:F4"/>
    <mergeCell ref="A5:C5"/>
    <mergeCell ref="D5:F5"/>
    <mergeCell ref="A17:B17"/>
  </mergeCells>
  <printOptions headings="false" gridLines="false" gridLinesSet="true" horizontalCentered="false" verticalCentered="false"/>
  <pageMargins left="0.3" right="0.3" top="0.4" bottom="0.4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&amp;N&amp;R&amp;F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39.75" hidden="false" customHeight="true" outlineLevel="0" collapsed="false">
      <c r="A1" s="1" t="s">
        <v>200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201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74" t="s">
        <v>202</v>
      </c>
      <c r="C4" s="74"/>
      <c r="D4" s="74"/>
    </row>
    <row r="5" customFormat="false" ht="15" hidden="false" customHeight="false" outlineLevel="0" collapsed="false">
      <c r="B5" s="75" t="s">
        <v>203</v>
      </c>
      <c r="C5" s="76" t="s">
        <v>204</v>
      </c>
    </row>
    <row r="6" customFormat="false" ht="15" hidden="false" customHeight="false" outlineLevel="0" collapsed="false">
      <c r="B6" s="75" t="s">
        <v>205</v>
      </c>
      <c r="C6" s="77" t="n">
        <v>46023</v>
      </c>
    </row>
    <row r="7" customFormat="false" ht="15" hidden="false" customHeight="false" outlineLevel="0" collapsed="false">
      <c r="B7" s="75" t="s">
        <v>206</v>
      </c>
      <c r="C7" s="78" t="n">
        <v>75</v>
      </c>
    </row>
    <row r="8" customFormat="false" ht="15" hidden="false" customHeight="false" outlineLevel="0" collapsed="false">
      <c r="B8" s="75" t="s">
        <v>207</v>
      </c>
      <c r="C8" s="78" t="n">
        <v>59</v>
      </c>
    </row>
    <row r="10" customFormat="false" ht="21.75" hidden="false" customHeight="true" outlineLevel="0" collapsed="false">
      <c r="B10" s="74" t="s">
        <v>208</v>
      </c>
      <c r="C10" s="74"/>
      <c r="D10" s="74"/>
    </row>
    <row r="11" customFormat="false" ht="15" hidden="false" customHeight="false" outlineLevel="0" collapsed="false">
      <c r="B11" s="75" t="s">
        <v>209</v>
      </c>
      <c r="C11" s="79" t="n">
        <v>10000</v>
      </c>
    </row>
    <row r="12" customFormat="false" ht="15" hidden="false" customHeight="false" outlineLevel="0" collapsed="false">
      <c r="B12" s="75" t="s">
        <v>210</v>
      </c>
      <c r="C12" s="78" t="n">
        <v>8</v>
      </c>
    </row>
    <row r="13" customFormat="false" ht="15" hidden="false" customHeight="false" outlineLevel="0" collapsed="false">
      <c r="B13" s="75" t="s">
        <v>211</v>
      </c>
      <c r="C13" s="78" t="n">
        <v>4</v>
      </c>
    </row>
    <row r="14" customFormat="false" ht="15" hidden="false" customHeight="false" outlineLevel="0" collapsed="false">
      <c r="B14" s="75" t="s">
        <v>212</v>
      </c>
      <c r="C14" s="80" t="n">
        <v>5</v>
      </c>
    </row>
    <row r="15" customFormat="false" ht="15" hidden="false" customHeight="false" outlineLevel="0" collapsed="false">
      <c r="B15" s="75" t="s">
        <v>213</v>
      </c>
      <c r="C15" s="79" t="n">
        <v>2800</v>
      </c>
    </row>
    <row r="16" customFormat="false" ht="15" hidden="false" customHeight="false" outlineLevel="0" collapsed="false">
      <c r="B16" s="75" t="s">
        <v>214</v>
      </c>
      <c r="C16" s="79" t="n">
        <v>160</v>
      </c>
    </row>
    <row r="17" customFormat="false" ht="15" hidden="false" customHeight="false" outlineLevel="0" collapsed="false">
      <c r="B17" s="75" t="s">
        <v>215</v>
      </c>
      <c r="C17" s="79" t="n">
        <v>300</v>
      </c>
    </row>
    <row r="18" customFormat="false" ht="15" hidden="false" customHeight="false" outlineLevel="0" collapsed="false">
      <c r="B18" s="75" t="s">
        <v>216</v>
      </c>
      <c r="C18" s="79" t="n">
        <v>80</v>
      </c>
    </row>
    <row r="19" customFormat="false" ht="15" hidden="false" customHeight="false" outlineLevel="0" collapsed="false">
      <c r="B19" s="75" t="s">
        <v>217</v>
      </c>
      <c r="C19" s="79" t="n">
        <v>30</v>
      </c>
    </row>
    <row r="21" customFormat="false" ht="21.75" hidden="false" customHeight="true" outlineLevel="0" collapsed="false">
      <c r="B21" s="25" t="s">
        <v>218</v>
      </c>
      <c r="C21" s="25"/>
      <c r="D21" s="25"/>
    </row>
    <row r="22" customFormat="false" ht="15" hidden="false" customHeight="false" outlineLevel="0" collapsed="false">
      <c r="B22" s="75" t="s">
        <v>219</v>
      </c>
      <c r="C22" s="80" t="n">
        <v>65</v>
      </c>
    </row>
    <row r="23" customFormat="false" ht="15" hidden="false" customHeight="false" outlineLevel="0" collapsed="false">
      <c r="B23" s="75" t="s">
        <v>220</v>
      </c>
      <c r="C23" s="80" t="n">
        <v>45</v>
      </c>
    </row>
    <row r="24" customFormat="false" ht="15" hidden="false" customHeight="false" outlineLevel="0" collapsed="false">
      <c r="B24" s="75" t="s">
        <v>221</v>
      </c>
      <c r="C24" s="80" t="n">
        <v>75</v>
      </c>
    </row>
    <row r="26" customFormat="false" ht="21.75" hidden="false" customHeight="true" outlineLevel="0" collapsed="false">
      <c r="B26" s="61" t="s">
        <v>222</v>
      </c>
      <c r="C26" s="61"/>
      <c r="D26" s="61"/>
      <c r="E26" s="61"/>
      <c r="F26" s="61"/>
      <c r="G26" s="61"/>
      <c r="H26" s="61"/>
      <c r="I26" s="61"/>
    </row>
    <row r="27" customFormat="false" ht="15" hidden="false" customHeight="false" outlineLevel="0" collapsed="false">
      <c r="B27" s="81" t="s">
        <v>48</v>
      </c>
      <c r="E27" s="81" t="s">
        <v>223</v>
      </c>
      <c r="H27" s="81" t="s">
        <v>224</v>
      </c>
    </row>
    <row r="28" customFormat="false" ht="15" hidden="false" customHeight="false" outlineLevel="0" collapsed="false">
      <c r="C28" s="82" t="s">
        <v>67</v>
      </c>
      <c r="F28" s="82" t="s">
        <v>116</v>
      </c>
      <c r="I28" s="82" t="s">
        <v>225</v>
      </c>
    </row>
    <row r="29" customFormat="false" ht="15" hidden="false" customHeight="false" outlineLevel="0" collapsed="false">
      <c r="C29" s="82" t="s">
        <v>169</v>
      </c>
      <c r="F29" s="82" t="s">
        <v>226</v>
      </c>
      <c r="I29" s="82" t="s">
        <v>227</v>
      </c>
    </row>
    <row r="30" customFormat="false" ht="15" hidden="false" customHeight="false" outlineLevel="0" collapsed="false">
      <c r="C30" s="82" t="s">
        <v>171</v>
      </c>
      <c r="F30" s="82" t="s">
        <v>228</v>
      </c>
    </row>
    <row r="31" customFormat="false" ht="15" hidden="false" customHeight="false" outlineLevel="0" collapsed="false">
      <c r="C31" s="82" t="s">
        <v>173</v>
      </c>
      <c r="F31" s="82" t="s">
        <v>229</v>
      </c>
    </row>
    <row r="32" customFormat="false" ht="15" hidden="false" customHeight="false" outlineLevel="0" collapsed="false">
      <c r="C32" s="82" t="s">
        <v>116</v>
      </c>
      <c r="F32" s="82" t="s">
        <v>230</v>
      </c>
    </row>
    <row r="33" customFormat="false" ht="15" hidden="false" customHeight="false" outlineLevel="0" collapsed="false">
      <c r="C33" s="82" t="s">
        <v>176</v>
      </c>
      <c r="F33" s="82" t="s">
        <v>231</v>
      </c>
    </row>
    <row r="34" customFormat="false" ht="15" hidden="false" customHeight="false" outlineLevel="0" collapsed="false">
      <c r="C34" s="82" t="s">
        <v>53</v>
      </c>
      <c r="F34" s="82" t="s">
        <v>232</v>
      </c>
    </row>
    <row r="35" customFormat="false" ht="15" hidden="false" customHeight="false" outlineLevel="0" collapsed="false">
      <c r="C35" s="82" t="s">
        <v>179</v>
      </c>
      <c r="F35" s="82" t="s">
        <v>233</v>
      </c>
    </row>
    <row r="36" customFormat="false" ht="15" hidden="false" customHeight="false" outlineLevel="0" collapsed="false">
      <c r="C36" s="82" t="s">
        <v>181</v>
      </c>
      <c r="F36" s="82" t="s">
        <v>234</v>
      </c>
    </row>
  </sheetData>
  <mergeCells count="6">
    <mergeCell ref="A1:I1"/>
    <mergeCell ref="A2:I2"/>
    <mergeCell ref="B4:D4"/>
    <mergeCell ref="B10:D10"/>
    <mergeCell ref="B21:D21"/>
    <mergeCell ref="B26:I26"/>
  </mergeCells>
  <printOptions headings="false" gridLines="false" gridLinesSet="true" horizontalCentered="false" verticalCentered="false"/>
  <pageMargins left="0.3" right="0.3" top="0.4" bottom="0.4" header="0.511811023622047" footer="0.2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2026-07-30T23:34:10Z</dcterms:created>
  <dc:creator>Claude</dc:creator>
  <dc:description/>
  <dc:language>en-US</dc:language>
  <cp:lastModifiedBy/>
  <dcterms:modified xsi:type="dcterms:W3CDTF">2026-07-30T23:34:21Z</dcterms:modified>
  <cp:revision>1</cp:revision>
  <dc:subject/>
  <dc:title>Athlete Performance &amp; Lifestyle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